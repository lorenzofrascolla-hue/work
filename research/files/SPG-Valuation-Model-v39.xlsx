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Cover" sheetId="1" state="visible" r:id="rId3"/>
    <sheet name="01_Inputs" sheetId="2" state="visible" r:id="rId4"/>
    <sheet name="05_Unit_Economics" sheetId="3" state="visible" r:id="rId5"/>
    <sheet name="06_Free_Cooling" sheetId="4" state="visible" r:id="rId6"/>
    <sheet name="07_Black_Scholes" sheetId="5" state="visible" r:id="rId7"/>
    <sheet name="09_Arrhenius" sheetId="6" state="visible" r:id="rId8"/>
    <sheet name="19_Variant_Bridge" sheetId="7" state="visible" r:id="rId9"/>
    <sheet name="20_Robustness" sheetId="8" state="visible" r:id="rId10"/>
    <sheet name="21_Two_Name_Book" sheetId="9" state="visible" r:id="rId11"/>
  </sheets>
  <definedNames>
    <definedName function="false" hidden="false" localSheetId="0" name="_xlnm.Print_Area" vbProcedure="false">00_Cover!$A$1:$D$39</definedName>
    <definedName function="false" hidden="false" localSheetId="1" name="_xlnm.Print_Area" vbProcedure="false">01_Inputs!$A$1:$E$73</definedName>
    <definedName function="false" hidden="false" localSheetId="1" name="_xlnm.Print_Titles" vbProcedure="false">01_Inputs!$1:$1</definedName>
    <definedName function="false" hidden="false" localSheetId="2" name="_xlnm.Print_Area" vbProcedure="false">05_Unit_Economics!$A$1:$D$22</definedName>
    <definedName function="false" hidden="false" localSheetId="2" name="_xlnm.Print_Titles" vbProcedure="false">05_Unit_Economics!$1:$1</definedName>
    <definedName function="false" hidden="false" localSheetId="3" name="_xlnm.Print_Area" vbProcedure="false">06_Free_Cooling!$A$1:$F$18</definedName>
    <definedName function="false" hidden="false" localSheetId="3" name="_xlnm.Print_Titles" vbProcedure="false">06_Free_Cooling!$1:$1</definedName>
    <definedName function="false" hidden="false" localSheetId="4" name="_xlnm.Print_Area" vbProcedure="false">07_Black_Scholes!$A$1:$D$37</definedName>
    <definedName function="false" hidden="false" localSheetId="4" name="_xlnm.Print_Titles" vbProcedure="false">07_Black_Scholes!$1:$1</definedName>
    <definedName function="false" hidden="false" localSheetId="5" name="_xlnm.Print_Area" vbProcedure="false">09_Arrhenius!$A$1:$J$29</definedName>
    <definedName function="false" hidden="false" localSheetId="5" name="_xlnm.Print_Titles" vbProcedure="false">09_Arrhenius!$1:$1</definedName>
    <definedName function="false" hidden="false" localSheetId="6" name="_xlnm.Print_Area" vbProcedure="false">19_Variant_Bridge!$A$1:$E$29</definedName>
    <definedName function="false" hidden="false" localSheetId="6" name="_xlnm.Print_Titles" vbProcedure="false">19_Variant_Bridge!$1:$1</definedName>
    <definedName function="false" hidden="false" localSheetId="7" name="_xlnm.Print_Area" vbProcedure="false">20_Robustness!$A$1:$G$23</definedName>
    <definedName function="false" hidden="false" localSheetId="7" name="_xlnm.Print_Titles" vbProcedure="false">20_Robustness!$1:$1</definedName>
    <definedName function="false" hidden="false" localSheetId="8" name="_xlnm.Print_Area" vbProcedure="false">21_Two_Name_Book!$A$1:$E$17</definedName>
    <definedName function="false" hidden="false" localSheetId="8" name="_xlnm.Print_Titles" vbProcedure="false">21_Two_Name_Book!$1:$1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<sst xmlns="http://schemas.openxmlformats.org/spreadsheetml/2006/main" count="621" uniqueCount="412">
  <si>
    <t xml:space="preserve">SIMANCAS CAPITAL  |  LORENZO FRASCOLLA</t>
  </si>
  <si>
    <t xml:space="preserve">The Silicon-Power Gap</t>
  </si>
  <si>
    <t xml:space="preserve">Valuation Model, companion to paper version 39</t>
  </si>
  <si>
    <t xml:space="preserve">ABOUT THIS WORKBOOK</t>
  </si>
  <si>
    <t xml:space="preserve">Thesis</t>
  </si>
  <si>
    <t xml:space="preserve">High-voltage transformer supply, not chips, is the binding constraint on AI compute in the next two to four years. This workbook reproduces every valuation figure in Section I of the paper with live formulas, so each number can be traced to its inputs.</t>
  </si>
  <si>
    <t xml:space="preserve">Operators</t>
  </si>
  <si>
    <t xml:space="preserve">Operator X: hypothetical Sun Belt landlord with 16 secured 75 MW transformer slots (Digital Realty-sized for scale). Operator H: hypothetical Nordic operator with 16 Helsinki / Luleå 100 MVA units. Both are long legs.</t>
  </si>
  <si>
    <t xml:space="preserve">Paper version</t>
  </si>
  <si>
    <t xml:space="preserve">v39, August 2026. Market inputs as of 1 June 2026.</t>
  </si>
  <si>
    <t xml:space="preserve">Units</t>
  </si>
  <si>
    <t xml:space="preserve">US$ millions unless a row states otherwise.</t>
  </si>
  <si>
    <t xml:space="preserve">Tab numbering</t>
  </si>
  <si>
    <t xml:space="preserve">Follows the full model's numbering, which the paper cites (for example, the sensitivity surface in 20_Robustness).</t>
  </si>
  <si>
    <t xml:space="preserve">HEADLINE OUTPUTS</t>
  </si>
  <si>
    <t xml:space="preserve">Slot option value per slot ($M)</t>
  </si>
  <si>
    <t xml:space="preserve">Black-Scholes, 75 MW slot (paper: $19.7M)</t>
  </si>
  <si>
    <t xml:space="preserve">Option book, 16 slots ($M)</t>
  </si>
  <si>
    <t xml:space="preserve">Before the liquidity discount (paper: $315M)</t>
  </si>
  <si>
    <t xml:space="preserve">Operator X net hidden value ($M)</t>
  </si>
  <si>
    <t xml:space="preserve">After liquidity and Miami thermal liability (paper: $276M)</t>
  </si>
  <si>
    <t xml:space="preserve">Operator H net hidden value ($M)</t>
  </si>
  <si>
    <t xml:space="preserve">Free cooling, aging, insurance and siting lines (paper: $104M)</t>
  </si>
  <si>
    <t xml:space="preserve">Combined two-name book ($M)</t>
  </si>
  <si>
    <t xml:space="preserve">Both legs long (paper: about $380M)</t>
  </si>
  <si>
    <t xml:space="preserve">HOW TO READ IT</t>
  </si>
  <si>
    <t xml:space="preserve">1,200</t>
  </si>
  <si>
    <t xml:space="preserve">Hardcoded input. Every input is sourced on the 01_Inputs tab; all other figures are live formulas.</t>
  </si>
  <si>
    <t xml:space="preserve">SECTION</t>
  </si>
  <si>
    <t xml:space="preserve">Section band</t>
  </si>
  <si>
    <t xml:space="preserve">Bold</t>
  </si>
  <si>
    <t xml:space="preserve">Key result row</t>
  </si>
  <si>
    <t xml:space="preserve">Click a tab name below to jump to it. Each tab has a Contents link in its top row to return here.</t>
  </si>
  <si>
    <t xml:space="preserve">CONTENTS</t>
  </si>
  <si>
    <t xml:space="preserve">Tab</t>
  </si>
  <si>
    <t xml:space="preserve">What it shows</t>
  </si>
  <si>
    <t xml:space="preserve">01_Inputs</t>
  </si>
  <si>
    <t xml:space="preserve">Every hardcoded assumption, with its value, unit and source. Every other figure in the workbook is a live formula built from this tab.</t>
  </si>
  <si>
    <t xml:space="preserve">05_Unit_Economics</t>
  </si>
  <si>
    <t xml:space="preserve">Paper §I.A.3 to §I.A.4: the megawatt-to-revenue bridge, then how the option's underlying S and strike K are built.</t>
  </si>
  <si>
    <t xml:space="preserve">06_Free_Cooling</t>
  </si>
  <si>
    <t xml:space="preserve">Paper §I.D.3: realized PUE from free-cooling hours, and the cooling-energy gap between Miami and the Nordic sites.</t>
  </si>
  <si>
    <t xml:space="preserve">07_Black_Scholes</t>
  </si>
  <si>
    <t xml:space="preserve">Paper §I.A.4: each secured 75 MW slot valued as a European call on accelerated deployment, then aggregated across 16 slots.</t>
  </si>
  <si>
    <t xml:space="preserve">09_Arrhenius</t>
  </si>
  <si>
    <t xml:space="preserve">Paper §I.B.3 to §I.B.4 and §I.D.3: insulation aging by site, competing-risks life, replacement reserve and insurance, and the Miami fleet liability.</t>
  </si>
  <si>
    <t xml:space="preserve">19_Variant_Bridge</t>
  </si>
  <si>
    <t xml:space="preserve">Paper Tables A5 and A6 (§I.C.4, §I.D.4): the off-balance-sheet value of each operator, line by line.</t>
  </si>
  <si>
    <t xml:space="preserve">20_Robustness</t>
  </si>
  <si>
    <t xml:space="preserve">Paper Table A1 and §I.A.4: per-slot value across volatility and time to expiry, plus the stress tests quoted in the text.</t>
  </si>
  <si>
    <t xml:space="preserve">21_Two_Name_Book</t>
  </si>
  <si>
    <t xml:space="preserve">Paper Table A7 (§I.D.4): both legs long; the Miami thermal drag sits inside Operator X rather than as a separate short.</t>
  </si>
  <si>
    <t xml:space="preserve">Lorenzo Frascolla  |  Simancas Capital</t>
  </si>
  <si>
    <t xml:space="preserve">Illustrative research model. Operators are hypothetical; values are order-of-magnitude estimates built on the cited sources and stated assumptions. Not investment advice.</t>
  </si>
  <si>
    <r>
      <rPr>
        <b val="true"/>
        <sz val="14"/>
        <color rgb="FF000000"/>
        <rFont val="Arial"/>
        <family val="0"/>
        <charset val="1"/>
      </rPr>
      <t xml:space="preserve">01.  Inputs
</t>
    </r>
    <r>
      <rPr>
        <sz val="9.5"/>
        <color rgb="FF000000"/>
        <rFont val="Arial"/>
        <family val="0"/>
        <charset val="1"/>
      </rPr>
      <t xml:space="preserve">Every hardcoded assumption, with its value, unit and source. Every other figure in the workbook is a live formula built from this tab.</t>
    </r>
  </si>
  <si>
    <t xml:space="preserve">Contents</t>
  </si>
  <si>
    <t xml:space="preserve">Input</t>
  </si>
  <si>
    <t xml:space="preserve">Symbol</t>
  </si>
  <si>
    <t xml:space="preserve">Value</t>
  </si>
  <si>
    <t xml:space="preserve">Unit</t>
  </si>
  <si>
    <t xml:space="preserve">Source (paper section; external source)</t>
  </si>
  <si>
    <t xml:space="preserve">A. REVENUE BRIDGE (§I.A.3)</t>
  </si>
  <si>
    <t xml:space="preserve">IT-load utilization</t>
  </si>
  <si>
    <t xml:space="preserve">η_IT</t>
  </si>
  <si>
    <t xml:space="preserve">fraction</t>
  </si>
  <si>
    <t xml:space="preserve">§I.A.3; training-dominant workloads</t>
  </si>
  <si>
    <t xml:space="preserve">PUE, new direct-to-chip liquid-cooled build</t>
  </si>
  <si>
    <t xml:space="preserve">PUE</t>
  </si>
  <si>
    <t xml:space="preserve">ratio</t>
  </si>
  <si>
    <t xml:space="preserve">§I.A.3; Green Grid 2012</t>
  </si>
  <si>
    <t xml:space="preserve">GPU-hour price, H100-equivalent</t>
  </si>
  <si>
    <t xml:space="preserve">P_GPU-hr</t>
  </si>
  <si>
    <t xml:space="preserve">$/hr</t>
  </si>
  <si>
    <t xml:space="preserve">§I.A.3; 2026 spot</t>
  </si>
  <si>
    <t xml:space="preserve">Hours per year</t>
  </si>
  <si>
    <t xml:space="preserve">hr</t>
  </si>
  <si>
    <t xml:space="preserve">Calendar</t>
  </si>
  <si>
    <t xml:space="preserve">Accelerators per MW of IT load</t>
  </si>
  <si>
    <t xml:space="preserve">N_GPU/MW</t>
  </si>
  <si>
    <t xml:space="preserve">GPUs</t>
  </si>
  <si>
    <t xml:space="preserve">§I.A.3; 1 MW ÷ ~1 kW per node</t>
  </si>
  <si>
    <t xml:space="preserve">Tenant EBITDA per MW after power, staffing, network</t>
  </si>
  <si>
    <t xml:space="preserve">$M/MW/yr</t>
  </si>
  <si>
    <t xml:space="preserve">§I.A.3</t>
  </si>
  <si>
    <t xml:space="preserve">B. SLOT OPTION (§I.A.4)</t>
  </si>
  <si>
    <t xml:space="preserve">Scarcity premium over normalized lease economics</t>
  </si>
  <si>
    <t xml:space="preserve">§I.A.4; risk- and probability-adjusted; order-of-magnitude input</t>
  </si>
  <si>
    <t xml:space="preserve">Slot size</t>
  </si>
  <si>
    <t xml:space="preserve">MW</t>
  </si>
  <si>
    <t xml:space="preserve">§I.A.4</t>
  </si>
  <si>
    <t xml:space="preserve">Scarcity rent arrives, year 1</t>
  </si>
  <si>
    <t xml:space="preserve">t₁</t>
  </si>
  <si>
    <t xml:space="preserve">yr</t>
  </si>
  <si>
    <t xml:space="preserve">Scarcity rent arrives, year 2</t>
  </si>
  <si>
    <t xml:space="preserve">t₂</t>
  </si>
  <si>
    <t xml:space="preserve">Fit-out cost ex shell, land, transformer, tenant IT</t>
  </si>
  <si>
    <t xml:space="preserve">$M/MW</t>
  </si>
  <si>
    <t xml:space="preserve">§I.A.4; Turner &amp; Townsend 2025</t>
  </si>
  <si>
    <t xml:space="preserve">Acceleration of the build</t>
  </si>
  <si>
    <t xml:space="preserve">Δ</t>
  </si>
  <si>
    <t xml:space="preserve">Risk-free rate (1-yr UST, matched to T)</t>
  </si>
  <si>
    <t xml:space="preserve">r</t>
  </si>
  <si>
    <t xml:space="preserve">rate</t>
  </si>
  <si>
    <t xml:space="preserve">§I.A.4; FRED DGS1, 1 June 2026</t>
  </si>
  <si>
    <t xml:space="preserve">Volatility proxy (H100 spot, 12-month realized)</t>
  </si>
  <si>
    <t xml:space="preserve">σ</t>
  </si>
  <si>
    <t xml:space="preserve">§I.A.4; deliberately high proxy</t>
  </si>
  <si>
    <t xml:space="preserve">Time to slot-delivery decision</t>
  </si>
  <si>
    <t xml:space="preserve">T</t>
  </si>
  <si>
    <t xml:space="preserve">Secured slots, Operator X</t>
  </si>
  <si>
    <t xml:space="preserve">slots</t>
  </si>
  <si>
    <t xml:space="preserve">§I.A.4; 16 × 75 MW = 1.2 GW</t>
  </si>
  <si>
    <t xml:space="preserve">Liquidity / non-tradeability discount</t>
  </si>
  <si>
    <t xml:space="preserve">$M</t>
  </si>
  <si>
    <t xml:space="preserve">§I.A.4; single haircut, about 2.5%</t>
  </si>
  <si>
    <t xml:space="preserve">C. THERMAL AGING AND RESERVES (§I.B.3 TO §I.B.4)</t>
  </si>
  <si>
    <t xml:space="preserve">Replacement value per 100 MVA unit</t>
  </si>
  <si>
    <t xml:space="preserve">§I.B.4; Table A2 (2024 Q3 Operator X anchor)</t>
  </si>
  <si>
    <t xml:space="preserve">Normal insulation life at F_AA = 1</t>
  </si>
  <si>
    <t xml:space="preserve">IEEE C57.91-2011</t>
  </si>
  <si>
    <t xml:space="preserve">Non-thermal characteristic life</t>
  </si>
  <si>
    <t xml:space="preserve">§I.B.4; CIGRE 2015 (bushings, tap changers, moisture, through-faults)</t>
  </si>
  <si>
    <t xml:space="preserve">Hot-spot rise over ambient at rated load</t>
  </si>
  <si>
    <t xml:space="preserve">°C</t>
  </si>
  <si>
    <t xml:space="preserve">§I.B.3; IEEE rated 30 °C ambient → 110 °C hot-spot</t>
  </si>
  <si>
    <t xml:space="preserve">Arrhenius constant</t>
  </si>
  <si>
    <t xml:space="preserve">B</t>
  </si>
  <si>
    <t xml:space="preserve">K</t>
  </si>
  <si>
    <t xml:space="preserve">§I.B.3; IEEE C57.91 Clause 5.2</t>
  </si>
  <si>
    <t xml:space="preserve">Discount rate for reserve and insurance NPVs</t>
  </si>
  <si>
    <t xml:space="preserve">§I.B.4</t>
  </si>
  <si>
    <t xml:space="preserve">NPV horizon</t>
  </si>
  <si>
    <t xml:space="preserve">Insurance base rate, % of unit value</t>
  </si>
  <si>
    <t xml:space="preserve">§I.B.4; inside a 0.2% to 0.5% benchmark band, not an underwriting quote</t>
  </si>
  <si>
    <t xml:space="preserve">Insurance uplift (Miami) / reduction (Nordic)</t>
  </si>
  <si>
    <t xml:space="preserve">§I.B.4 and §I.D.4; illustrative</t>
  </si>
  <si>
    <t xml:space="preserve">D. SITE CLIMATE AND EQUIVALENT AGING (§I.B.3, §I.D.3)</t>
  </si>
  <si>
    <t xml:space="preserve">Northern Virginia (Loudoun): annual mean ambient</t>
  </si>
  <si>
    <t xml:space="preserve">θ̄_a</t>
  </si>
  <si>
    <t xml:space="preserve">§I.B.3 / §I.D.3 site tables</t>
  </si>
  <si>
    <t xml:space="preserve">Northern Virginia (Loudoun): equivalent aging factor</t>
  </si>
  <si>
    <t xml:space="preserve">F_EQA</t>
  </si>
  <si>
    <t xml:space="preserve">§I.B.3 / §I.D.3; integrated over monthly climate normals</t>
  </si>
  <si>
    <t xml:space="preserve">Dallas-Fort Worth: annual mean ambient</t>
  </si>
  <si>
    <t xml:space="preserve">Dallas-Fort Worth: equivalent aging factor</t>
  </si>
  <si>
    <t xml:space="preserve">Miami-Dade: annual mean ambient</t>
  </si>
  <si>
    <t xml:space="preserve">Miami-Dade: equivalent aging factor</t>
  </si>
  <si>
    <t xml:space="preserve">Phoenix (peak-weighted): annual mean ambient</t>
  </si>
  <si>
    <t xml:space="preserve">Phoenix (peak-weighted): equivalent aging factor</t>
  </si>
  <si>
    <t xml:space="preserve">Helsinki, FI: annual mean ambient</t>
  </si>
  <si>
    <t xml:space="preserve">Helsinki, FI: equivalent aging factor</t>
  </si>
  <si>
    <t xml:space="preserve">Stockholm, SE: annual mean ambient</t>
  </si>
  <si>
    <t xml:space="preserve">Stockholm, SE: equivalent aging factor</t>
  </si>
  <si>
    <t xml:space="preserve">Luleå, SE: annual mean ambient</t>
  </si>
  <si>
    <t xml:space="preserve">Luleå, SE: equivalent aging factor</t>
  </si>
  <si>
    <t xml:space="preserve">Reykjavík, IS: annual mean ambient</t>
  </si>
  <si>
    <t xml:space="preserve">Reykjavík, IS: equivalent aging factor</t>
  </si>
  <si>
    <t xml:space="preserve">E. FREE COOLING AND THE OPERATOR H BRIDGE (§I.D.3 TO §I.D.4)</t>
  </si>
  <si>
    <t xml:space="preserve">PUE in free-cooling regime</t>
  </si>
  <si>
    <t xml:space="preserve">§I.D.3; pump and fan parasitics only</t>
  </si>
  <si>
    <t xml:space="preserve">PUE with chiller plant active</t>
  </si>
  <si>
    <t xml:space="preserve">§I.D.3</t>
  </si>
  <si>
    <t xml:space="preserve">Free-cooling share of hours, Miami-Dade</t>
  </si>
  <si>
    <t xml:space="preserve">ϕ_free</t>
  </si>
  <si>
    <t xml:space="preserve">§I.D.3; wet-bulb below setpoint less approaches</t>
  </si>
  <si>
    <t xml:space="preserve">Free-cooling share of hours, Loudoun</t>
  </si>
  <si>
    <t xml:space="preserve">Free-cooling share of hours, Helsinki</t>
  </si>
  <si>
    <t xml:space="preserve">Free-cooling share of hours, Luleå</t>
  </si>
  <si>
    <t xml:space="preserve">Realized PUE as carried in the paper, Miami-Dade</t>
  </si>
  <si>
    <t xml:space="preserve">§I.D.3 table (two decimals)</t>
  </si>
  <si>
    <t xml:space="preserve">Realized PUE as carried in the paper, Loudoun</t>
  </si>
  <si>
    <t xml:space="preserve">Realized PUE as carried in the paper, Helsinki</t>
  </si>
  <si>
    <t xml:space="preserve">Realized PUE as carried in the paper, Luleå</t>
  </si>
  <si>
    <t xml:space="preserve">IT load allocated per transformer unit</t>
  </si>
  <si>
    <t xml:space="preserve">§I.D.4; conservative allocation</t>
  </si>
  <si>
    <t xml:space="preserve">Delivered power price</t>
  </si>
  <si>
    <t xml:space="preserve">$/MWh</t>
  </si>
  <si>
    <t xml:space="preserve">§I.D.4; back-solved from the paper's $620K/yr cooling line ('near $32/MWh')</t>
  </si>
  <si>
    <t xml:space="preserve">Latency penalty, inference workloads</t>
  </si>
  <si>
    <t xml:space="preserve">$M NPV</t>
  </si>
  <si>
    <t xml:space="preserve">§I.D.4; assumption (Helsinki ↔ NYC 80 to 120 ms)</t>
  </si>
  <si>
    <t xml:space="preserve">FX / repatriation friction on the cooling uplift</t>
  </si>
  <si>
    <t xml:space="preserve">§I.D.4; EUR/SEK cross-border reserve</t>
  </si>
  <si>
    <t xml:space="preserve">Sovereign-AI / low-carbon EU-siting premium</t>
  </si>
  <si>
    <t xml:space="preserve">§I.D.4 / §I.D.6; assumption, not derived</t>
  </si>
  <si>
    <t xml:space="preserve">District-heating waste-heat monetization</t>
  </si>
  <si>
    <t xml:space="preserve">§I.D.5; around $250K/MW/yr (Mäntsälä precedent)</t>
  </si>
  <si>
    <t xml:space="preserve">Transformer units, Operator H</t>
  </si>
  <si>
    <t xml:space="preserve">units</t>
  </si>
  <si>
    <t xml:space="preserve">§I.D.4; Helsinki / Luleå-weighted 100 MVA units</t>
  </si>
  <si>
    <r>
      <rPr>
        <b val="true"/>
        <sz val="14"/>
        <color rgb="FF000000"/>
        <rFont val="Arial"/>
        <family val="0"/>
        <charset val="1"/>
      </rPr>
      <t xml:space="preserve">05.  Unit Economics and the Option Inputs
</t>
    </r>
    <r>
      <rPr>
        <sz val="9.5"/>
        <color rgb="FF000000"/>
        <rFont val="Arial"/>
        <family val="0"/>
        <charset val="1"/>
      </rPr>
      <t xml:space="preserve">Paper §I.A.3 to §I.A.4: the megawatt-to-revenue bridge, then how the option's underlying S and strike K are built.</t>
    </r>
  </si>
  <si>
    <t xml:space="preserve">REVENUE BRIDGE PER MW (§I.A.3)</t>
  </si>
  <si>
    <t xml:space="preserve">Line</t>
  </si>
  <si>
    <t xml:space="preserve">How it is calculated</t>
  </si>
  <si>
    <t xml:space="preserve">Gross compute revenue per MW</t>
  </si>
  <si>
    <t xml:space="preserve">R_MW = η_IT × PUE⁻¹ × P_GPU-hr × 8,760 × N_GPU/MW. Paper: about $14.2M.</t>
  </si>
  <si>
    <t xml:space="preserve">Tenant EBITDA per MW</t>
  </si>
  <si>
    <t xml:space="preserve">After power, staffing and network. Paper: about $4.2M.</t>
  </si>
  <si>
    <t xml:space="preserve">Implied tenant EBITDA margin</t>
  </si>
  <si>
    <t xml:space="preserve">EBITDA ÷ gross revenue.</t>
  </si>
  <si>
    <t xml:space="preserve">This is the tenant's willingness to pay, not what the landlord books. A power-secured landlord captures roughly $1.5M to $2.5M per MW through leases, so the option's underlying S is set from the landlord's scarcity rent below, not from this tenant figure.</t>
  </si>
  <si>
    <t xml:space="preserve">UNDERLYING S: PRESENT VALUE OF THE SCARCITY RENT PULLED FORWARD (§I.A.4)</t>
  </si>
  <si>
    <t xml:space="preserve">Annual scarcity rent per slot</t>
  </si>
  <si>
    <t xml:space="preserve">$M/yr</t>
  </si>
  <si>
    <t xml:space="preserve">$0.40M per MW per year × 75 MW.</t>
  </si>
  <si>
    <t xml:space="preserve">PV of year-1 rent</t>
  </si>
  <si>
    <t xml:space="preserve">Arrives at t = 1.5, discounted at r.</t>
  </si>
  <si>
    <t xml:space="preserve">PV of year-2 rent</t>
  </si>
  <si>
    <t xml:space="preserve">Arrives at t = 2.5, discounted at r.</t>
  </si>
  <si>
    <t xml:space="preserve">Underlying S</t>
  </si>
  <si>
    <t xml:space="preserve">Paper: $55.1M (unrounded $55.06M, used in Table A1).</t>
  </si>
  <si>
    <t xml:space="preserve">The paper brackets S at roughly $32M to $86M across a $0.30M to $0.50M per-MW premium and a 1.5 to 2.5 year head start. Because S is the load-bearing input, that range is what the thesis rests on.</t>
  </si>
  <si>
    <t xml:space="preserve">STRIKE K: CARRYING COST OF PULLING THE BUILD FORWARD (§I.A.4)</t>
  </si>
  <si>
    <t xml:space="preserve">Fit-out cost of a 75 MW block</t>
  </si>
  <si>
    <t xml:space="preserve">$6.0M per MW × 75 MW.</t>
  </si>
  <si>
    <t xml:space="preserve">Strike K</t>
  </si>
  <si>
    <t xml:space="preserve">450 × (1 − e^(−r × 2)). Paper: $37.9M.</t>
  </si>
  <si>
    <r>
      <rPr>
        <b val="true"/>
        <sz val="14"/>
        <color rgb="FF000000"/>
        <rFont val="Arial"/>
        <family val="0"/>
        <charset val="1"/>
      </rPr>
      <t xml:space="preserve">06.  Nordic Free Cooling
</t>
    </r>
    <r>
      <rPr>
        <sz val="9.5"/>
        <color rgb="FF000000"/>
        <rFont val="Arial"/>
        <family val="0"/>
        <charset val="1"/>
      </rPr>
      <t xml:space="preserve">Paper §I.D.3: realized PUE from free-cooling hours, and the cooling-energy gap between Miami and the Nordic sites.</t>
    </r>
  </si>
  <si>
    <t xml:space="preserve">REALIZED PUE (§I.D.3)</t>
  </si>
  <si>
    <t xml:space="preserve">PUE_realized = PUE_free × ϕ_free + PUE_mech × (1 − ϕ_free), with PUE_free = 1.05 and PUE_mech = 1.44. The bridge uses the PUEs as carried in the paper. For Helsinki the formula gives 1.093 and the paper carries 1.10, which slightly understates the Nordic advantage, so the rounding is conservative.</t>
  </si>
  <si>
    <t xml:space="preserve">Site</t>
  </si>
  <si>
    <t xml:space="preserve">PUE (formula)</t>
  </si>
  <si>
    <t xml:space="preserve">PUE (carried)</t>
  </si>
  <si>
    <t xml:space="preserve">Cooling energy vs Miami</t>
  </si>
  <si>
    <t xml:space="preserve">Note</t>
  </si>
  <si>
    <t xml:space="preserve">Miami-Dade</t>
  </si>
  <si>
    <t xml:space="preserve">Baseline. Paper: 1.42</t>
  </si>
  <si>
    <t xml:space="preserve">Loudoun</t>
  </si>
  <si>
    <t xml:space="preserve">Paper: 1.21, −50%</t>
  </si>
  <si>
    <t xml:space="preserve">Helsinki</t>
  </si>
  <si>
    <t xml:space="preserve">Formula 1.093; paper carries 1.10, −76%</t>
  </si>
  <si>
    <t xml:space="preserve">Luleå</t>
  </si>
  <si>
    <t xml:space="preserve">Paper: 1.07, −83%</t>
  </si>
  <si>
    <t xml:space="preserve">COOLING-ENERGY SAVING PER TRANSFORMER UNIT, HELSINKI VS MIAMI (§I.D.4)</t>
  </si>
  <si>
    <t xml:space="preserve">IT load per unit</t>
  </si>
  <si>
    <t xml:space="preserve">Conservative allocation.</t>
  </si>
  <si>
    <t xml:space="preserve">PUE gap, Miami − Helsinki</t>
  </si>
  <si>
    <t xml:space="preserve">1.42 − 1.10, as carried.</t>
  </si>
  <si>
    <t xml:space="preserve">Cooling energy avoided</t>
  </si>
  <si>
    <t xml:space="preserve">MWh/yr</t>
  </si>
  <si>
    <t xml:space="preserve">MW × 8,760 × PUE gap.</t>
  </si>
  <si>
    <t xml:space="preserve">01_Inputs.</t>
  </si>
  <si>
    <t xml:space="preserve">Annual cooling OPEX saved</t>
  </si>
  <si>
    <t xml:space="preserve">$K/yr</t>
  </si>
  <si>
    <t xml:space="preserve">Paper: $620K.</t>
  </si>
  <si>
    <r>
      <rPr>
        <b val="true"/>
        <sz val="14"/>
        <color rgb="FF000000"/>
        <rFont val="Arial"/>
        <family val="0"/>
        <charset val="1"/>
      </rPr>
      <t xml:space="preserve">07.  Transformer Slot Option (Black-Scholes)
</t>
    </r>
    <r>
      <rPr>
        <sz val="9.5"/>
        <color rgb="FF000000"/>
        <rFont val="Arial"/>
        <family val="0"/>
        <charset val="1"/>
      </rPr>
      <t xml:space="preserve">Paper §I.A.4: each secured 75 MW slot valued as a European call on accelerated deployment, then aggregated across 16 slots.</t>
    </r>
  </si>
  <si>
    <t xml:space="preserve">INPUTS (LINKED)</t>
  </si>
  <si>
    <t xml:space="preserve">Parameter</t>
  </si>
  <si>
    <t xml:space="preserve">Source</t>
  </si>
  <si>
    <t xml:space="preserve">Risk-free rate r</t>
  </si>
  <si>
    <t xml:space="preserve">Volatility σ</t>
  </si>
  <si>
    <t xml:space="preserve">Time to expiry T</t>
  </si>
  <si>
    <t xml:space="preserve">The paper's worked example rounds S to $55.1M and gets $19.71M. The model carries the unrounded $55.06M, which reproduces Table A1 cell for cell and gives $19.67M. Both round to the $19.7M headline.</t>
  </si>
  <si>
    <t xml:space="preserve">BLACK-SCHOLES CHAIN, PER 75 MW SLOT</t>
  </si>
  <si>
    <t xml:space="preserve">Step</t>
  </si>
  <si>
    <t xml:space="preserve">Formula</t>
  </si>
  <si>
    <t xml:space="preserve">ln(S / K)</t>
  </si>
  <si>
    <t xml:space="preserve">Worked example: 0.3742</t>
  </si>
  <si>
    <t xml:space="preserve">(r + σ²/2) × T</t>
  </si>
  <si>
    <t xml:space="preserve">Worked example: 0.10525</t>
  </si>
  <si>
    <t xml:space="preserve">σ × √T</t>
  </si>
  <si>
    <t xml:space="preserve">d₁</t>
  </si>
  <si>
    <t xml:space="preserve">[ln(S/K) + (r + σ²/2)T] ÷ σ√T. Worked example: 1.370</t>
  </si>
  <si>
    <t xml:space="preserve">d₂</t>
  </si>
  <si>
    <t xml:space="preserve">d₁ − σ√T. Worked example: 1.020</t>
  </si>
  <si>
    <t xml:space="preserve">N(d₁)</t>
  </si>
  <si>
    <t xml:space="preserve">Standard normal cumulative distribution. Worked example: ≈ 0.9147</t>
  </si>
  <si>
    <t xml:space="preserve">N(d₂)</t>
  </si>
  <si>
    <t xml:space="preserve">Worked example: ≈ 0.8461</t>
  </si>
  <si>
    <t xml:space="preserve">Discounted strike K·e^(−rT)</t>
  </si>
  <si>
    <t xml:space="preserve">Worked example: 36.27</t>
  </si>
  <si>
    <t xml:space="preserve">Call value per slot</t>
  </si>
  <si>
    <t xml:space="preserve">C = S·N(d₁) − K·e^(−rT)·N(d₂). Paper: $19.7M (worked example $19.71M).</t>
  </si>
  <si>
    <t xml:space="preserve">WHAT DRIVES THE VALUE</t>
  </si>
  <si>
    <t xml:space="preserve">Intrinsic value, S − K·e^(−rT)</t>
  </si>
  <si>
    <t xml:space="preserve">Value if exercised today.</t>
  </si>
  <si>
    <t xml:space="preserve">Time value</t>
  </si>
  <si>
    <t xml:space="preserve">Paper: about $0.9M. The slot is deep in the money, so S, not the option mechanics, carries the result.</t>
  </si>
  <si>
    <t xml:space="preserve">Intrinsic share of value</t>
  </si>
  <si>
    <t xml:space="preserve">OPERATOR X OPTION BOOK</t>
  </si>
  <si>
    <t xml:space="preserve">Secured slots</t>
  </si>
  <si>
    <t xml:space="preserve">Gross option value, 16 slots</t>
  </si>
  <si>
    <t xml:space="preserve">Paper: $315M.</t>
  </si>
  <si>
    <t xml:space="preserve">Paper: −$8M (about 2.5%).</t>
  </si>
  <si>
    <t xml:space="preserve">Haircut as % of gross</t>
  </si>
  <si>
    <t xml:space="preserve">Liquidity-adjusted option leg</t>
  </si>
  <si>
    <t xml:space="preserve">Paper: $307M.</t>
  </si>
  <si>
    <r>
      <rPr>
        <b val="true"/>
        <sz val="14"/>
        <color rgb="FF000000"/>
        <rFont val="Arial"/>
        <family val="0"/>
        <charset val="1"/>
      </rPr>
      <t xml:space="preserve">09.  Thermal Aging and the Operator X Liability
</t>
    </r>
    <r>
      <rPr>
        <sz val="9.5"/>
        <color rgb="FF000000"/>
        <rFont val="Arial"/>
        <family val="0"/>
        <charset val="1"/>
      </rPr>
      <t xml:space="preserve">Paper §I.B.3 to §I.B.4 and §I.D.3: insulation aging by site, competing-risks life, replacement reserve and insurance, and the Miami fleet liability.</t>
    </r>
  </si>
  <si>
    <t xml:space="preserve">COMMON FACTORS</t>
  </si>
  <si>
    <t xml:space="preserve">Thermal life at F_AA = 1</t>
  </si>
  <si>
    <t xml:space="preserve">180,000 hr ÷ 8,760.</t>
  </si>
  <si>
    <t xml:space="preserve">PV annuity factor, 20 yr at 8%</t>
  </si>
  <si>
    <t xml:space="preserve">×</t>
  </si>
  <si>
    <t xml:space="preserve">Paper: 9.818.</t>
  </si>
  <si>
    <t xml:space="preserve">Insurance base per unit per year</t>
  </si>
  <si>
    <t xml:space="preserve">0.30% × $9.2M. Paper: $27.6K.</t>
  </si>
  <si>
    <t xml:space="preserve">SITE AGING, LIFE AND REPLACEMENT RESERVE (§I.B.3, §I.B.4, §I.D.3)</t>
  </si>
  <si>
    <t xml:space="preserve">Ambient (°C)</t>
  </si>
  <si>
    <t xml:space="preserve">Hot-spot (°C)</t>
  </si>
  <si>
    <t xml:space="preserve">F_AA at mean hot-spot</t>
  </si>
  <si>
    <t xml:space="preserve">F_EQA (monthly)</t>
  </si>
  <si>
    <t xml:space="preserve">Aging index (NoVA = 1)</t>
  </si>
  <si>
    <t xml:space="preserve">Thermal life (yr)</t>
  </si>
  <si>
    <t xml:space="preserve">Life, competing risks (yr)</t>
  </si>
  <si>
    <t xml:space="preserve">Reserve ($K/yr)</t>
  </si>
  <si>
    <t xml:space="preserve">Reserve NPV Δ vs NoVA ($M, 20 yr at 8%)</t>
  </si>
  <si>
    <t xml:space="preserve">Northern Virginia (Loudoun)</t>
  </si>
  <si>
    <t xml:space="preserve">Dallas-Fort Worth</t>
  </si>
  <si>
    <t xml:space="preserve">Phoenix (peak-weighted)</t>
  </si>
  <si>
    <t xml:space="preserve">Helsinki, FI</t>
  </si>
  <si>
    <t xml:space="preserve">Stockholm, SE</t>
  </si>
  <si>
    <t xml:space="preserve">Luleå, SE</t>
  </si>
  <si>
    <t xml:space="preserve">Reykjavík, IS</t>
  </si>
  <si>
    <t xml:space="preserve">F_EQA integrates aging over monthly climate normals and is the figure the paper uses (Miami 0.645, Helsinki 0.107: a 6.0× spread). The column beside it applies the IEEE formula F_AA = exp[15,000 × (1/383 − 1/(θ_HS + 273))] to the annual-mean hot-spot only; it runs lower because aging is convex in temperature, so hot months count for more than cool months save. Life combines thermal aging with a 45-year non-thermal failure life on a competing-risks basis: 1 / (1/thermal + 1/45).</t>
  </si>
  <si>
    <t xml:space="preserve">OPERATOR X: MIAMI FLEET LIABILITY (§I.B.4)</t>
  </si>
  <si>
    <t xml:space="preserve">Reserve Δ per unit, Miami vs NoVA</t>
  </si>
  <si>
    <t xml:space="preserve">Paper: $183K.</t>
  </si>
  <si>
    <t xml:space="preserve">Incremental reserve, 16 units</t>
  </si>
  <si>
    <t xml:space="preserve">Paper: $2.93M/yr.</t>
  </si>
  <si>
    <t xml:space="preserve">Reserve liability NPV</t>
  </si>
  <si>
    <t xml:space="preserve">Paper: −$28.8M.</t>
  </si>
  <si>
    <t xml:space="preserve">Insurance uplift, 16 units</t>
  </si>
  <si>
    <t xml:space="preserve">+40% on the base. Paper: +$0.18M/yr.</t>
  </si>
  <si>
    <t xml:space="preserve">Insurance liability NPV</t>
  </si>
  <si>
    <t xml:space="preserve">Paper: −$1.7M.</t>
  </si>
  <si>
    <t xml:space="preserve">Total thermal liability NPV</t>
  </si>
  <si>
    <t xml:space="preserve">Paper: −$30.5M, the ≈ −$31M working figure.</t>
  </si>
  <si>
    <r>
      <rPr>
        <b val="true"/>
        <sz val="14"/>
        <color rgb="FF000000"/>
        <rFont val="Arial"/>
        <family val="0"/>
        <charset val="1"/>
      </rPr>
      <t xml:space="preserve">19.  Hidden-Value Bridges
</t>
    </r>
    <r>
      <rPr>
        <sz val="9.5"/>
        <color rgb="FF000000"/>
        <rFont val="Arial"/>
        <family val="0"/>
        <charset val="1"/>
      </rPr>
      <t xml:space="preserve">Paper Tables A5 and A6 (§I.C.4, §I.D.4): the off-balance-sheet value of each operator, line by line.</t>
    </r>
  </si>
  <si>
    <t xml:space="preserve">OPERATOR X: SUN BELT LONG LEG (TABLE A5)</t>
  </si>
  <si>
    <t xml:space="preserve">Component</t>
  </si>
  <si>
    <t xml:space="preserve">Model ($M)</t>
  </si>
  <si>
    <t xml:space="preserve">As printed ($M)</t>
  </si>
  <si>
    <t xml:space="preserve">Paper section</t>
  </si>
  <si>
    <t xml:space="preserve">Acceleration-option intrinsic + time value, 16 slots</t>
  </si>
  <si>
    <t xml:space="preserve">Replacement-reserve liability (NPV)</t>
  </si>
  <si>
    <t xml:space="preserve">Insurance premium liability (NPV)</t>
  </si>
  <si>
    <t xml:space="preserve">Net hidden value, Operator X</t>
  </si>
  <si>
    <t xml:space="preserve">Paper: +$276M (conservative band $260M to $320M).</t>
  </si>
  <si>
    <t xml:space="preserve">OPERATOR H: PER-UNIT UPLIFT VS THE NOVA BENCHMARK (§I.D.4)</t>
  </si>
  <si>
    <t xml:space="preserve">Annual Δ ($K)</t>
  </si>
  <si>
    <t xml:space="preserve">NPV Δ ($M)</t>
  </si>
  <si>
    <t xml:space="preserve">Replacement reserve saved</t>
  </si>
  <si>
    <t xml:space="preserve">§I.D.4</t>
  </si>
  <si>
    <t xml:space="preserve">Helsinki life 36.5 yr → $252K/yr vs $311K. Paper: −58 / +0.57.</t>
  </si>
  <si>
    <t xml:space="preserve">Insurance premium reduction</t>
  </si>
  <si>
    <t xml:space="preserve">−40% of the $27.6K base. Paper: −11 / +0.11.</t>
  </si>
  <si>
    <t xml:space="preserve">Free-cooling chilled-water OPEX</t>
  </si>
  <si>
    <t xml:space="preserve">06_Free_Cooling. Paper: −620 / +6.09.</t>
  </si>
  <si>
    <t xml:space="preserve">Total per-unit NPV uplift</t>
  </si>
  <si>
    <t xml:space="preserve">Paper: −689 / +6.77.</t>
  </si>
  <si>
    <t xml:space="preserve">OPERATOR H: NORDIC LONG LEG (TABLE A6)</t>
  </si>
  <si>
    <t xml:space="preserve">Replacement-reserve NPV uplift, 16 units</t>
  </si>
  <si>
    <t xml:space="preserve">16 × $0.57M.</t>
  </si>
  <si>
    <t xml:space="preserve">Insurance premium NPV uplift, 16 units</t>
  </si>
  <si>
    <t xml:space="preserve">16 × $0.11M.</t>
  </si>
  <si>
    <t xml:space="preserve">Free-cooling OPEX NPV uplift, 16 units</t>
  </si>
  <si>
    <t xml:space="preserve">16 × $6.09M.</t>
  </si>
  <si>
    <t xml:space="preserve">Latency penalty (inference workloads)</t>
  </si>
  <si>
    <t xml:space="preserve">Assumption.</t>
  </si>
  <si>
    <t xml:space="preserve">FX / repatriation friction</t>
  </si>
  <si>
    <t xml:space="preserve">4% of the cooling uplift. Paper: −3.9.</t>
  </si>
  <si>
    <t xml:space="preserve">§I.D.4 / §I.D.6</t>
  </si>
  <si>
    <t xml:space="preserve">§I.D.5</t>
  </si>
  <si>
    <t xml:space="preserve">Net hidden value, Operator H</t>
  </si>
  <si>
    <t xml:space="preserve">Paper: +$104M (conservative band $95M to $125M).</t>
  </si>
  <si>
    <t xml:space="preserve">'As printed' rounds each line to whole millions before summing, which is how Tables A5 and A6 are laid out. The unrounded model total differs by less than $1M.</t>
  </si>
  <si>
    <r>
      <rPr>
        <b val="true"/>
        <sz val="14"/>
        <color rgb="FF000000"/>
        <rFont val="Arial"/>
        <family val="0"/>
        <charset val="1"/>
      </rPr>
      <t xml:space="preserve">20.  Robustness of the Slot Option
</t>
    </r>
    <r>
      <rPr>
        <sz val="9.5"/>
        <color rgb="FF000000"/>
        <rFont val="Arial"/>
        <family val="0"/>
        <charset val="1"/>
      </rPr>
      <t xml:space="preserve">Paper Table A1 and §I.A.4: per-slot value across volatility and time to expiry, plus the stress tests quoted in the text.</t>
    </r>
  </si>
  <si>
    <t xml:space="preserve">TABLE A1: PER-SLOT VALUE ($M) ACROSS σ AND T</t>
  </si>
  <si>
    <t xml:space="preserve">Each cell is a live Black-Scholes call on S and K from 05_Unit_Economics at r = 4.4%. Base case σ = 35%, T = 1.00.</t>
  </si>
  <si>
    <t xml:space="preserve">σ \ T</t>
  </si>
  <si>
    <t xml:space="preserve">Base case</t>
  </si>
  <si>
    <t xml:space="preserve">STRESS TESTS QUOTED IN §I.A.4</t>
  </si>
  <si>
    <t xml:space="preserve">Test</t>
  </si>
  <si>
    <t xml:space="preserve">Per slot ($M)</t>
  </si>
  <si>
    <t xml:space="preserve">16 slots ($M)</t>
  </si>
  <si>
    <t xml:space="preserve">Δ per slot ($M)</t>
  </si>
  <si>
    <t xml:space="preserve">Paper</t>
  </si>
  <si>
    <t xml:space="preserve">Base case (σ = 35%)</t>
  </si>
  <si>
    <t xml:space="preserve">$19.7M per slot, $315M book</t>
  </si>
  <si>
    <t xml:space="preserve">σ = 15%</t>
  </si>
  <si>
    <t xml:space="preserve">Low end of the 15% to 60% band: $18.8M / $301M</t>
  </si>
  <si>
    <t xml:space="preserve">σ = 60%</t>
  </si>
  <si>
    <t xml:space="preserve">High end: $22.6M / $361M</t>
  </si>
  <si>
    <t xml:space="preserve">σ = 40% (+5 points)</t>
  </si>
  <si>
    <t xml:space="preserve">A 5-point change in σ moves value about $0.5M</t>
  </si>
  <si>
    <t xml:space="preserve">S + 20%</t>
  </si>
  <si>
    <t xml:space="preserve">A 20% change in S moves value about $10M</t>
  </si>
  <si>
    <t xml:space="preserve">S − 20%</t>
  </si>
  <si>
    <r>
      <rPr>
        <b val="true"/>
        <sz val="14"/>
        <color rgb="FF000000"/>
        <rFont val="Arial"/>
        <family val="0"/>
        <charset val="1"/>
      </rPr>
      <t xml:space="preserve">21.  Two-Name Long Book
</t>
    </r>
    <r>
      <rPr>
        <sz val="9.5"/>
        <color rgb="FF000000"/>
        <rFont val="Arial"/>
        <family val="0"/>
        <charset val="1"/>
      </rPr>
      <t xml:space="preserve">Paper Table A7 (§I.D.4): both legs long; the Miami thermal drag sits inside Operator X rather than as a separate short.</t>
    </r>
  </si>
  <si>
    <t xml:space="preserve">TABLE A7: COMBINED TWO-NAME LONG BOOK</t>
  </si>
  <si>
    <t xml:space="preserve">Position</t>
  </si>
  <si>
    <t xml:space="preserve">Operator</t>
  </si>
  <si>
    <t xml:space="preserve">Long, Sun Belt slot option book</t>
  </si>
  <si>
    <t xml:space="preserve">Operator X</t>
  </si>
  <si>
    <t xml:space="preserve">§I.A, §I.B, §I.C</t>
  </si>
  <si>
    <t xml:space="preserve">Long, Nordic thermal asset book</t>
  </si>
  <si>
    <t xml:space="preserve">Operator H</t>
  </si>
  <si>
    <t xml:space="preserve">§I.D</t>
  </si>
  <si>
    <t xml:space="preserve">Combined book hidden NPV</t>
  </si>
  <si>
    <t xml:space="preserve">Paper: about $380M</t>
  </si>
  <si>
    <t xml:space="preserve">SAME BOOK, BY SOURCE OF VALUE (§I.D.4)</t>
  </si>
  <si>
    <t xml:space="preserve">Leg</t>
  </si>
  <si>
    <t xml:space="preserve">Value source</t>
  </si>
  <si>
    <t xml:space="preserve">Thesis I.D thermal asset</t>
  </si>
  <si>
    <t xml:space="preserve">Operator X option value, 16 slots</t>
  </si>
  <si>
    <t xml:space="preserve">Thesis I.A optionality</t>
  </si>
  <si>
    <t xml:space="preserve">Thesis I.A.4</t>
  </si>
  <si>
    <t xml:space="preserve">Miami thermal liability (inside Operator X)</t>
  </si>
  <si>
    <t xml:space="preserve">Thesis I.B</t>
  </si>
  <si>
    <t xml:space="preserve">Net combined book</t>
  </si>
  <si>
    <t xml:space="preserve">Model total; equals the table above before per-line rounding.</t>
  </si>
  <si>
    <t xml:space="preserve">Both legs are long; this is not a hedged pair. A literal long/short expression is set out in the paper's companion positioning note.</t>
  </si>
</sst>
</file>

<file path=xl/styles.xml><?xml version="1.0" encoding="utf-8"?>
<styleSheet xmlns="http://schemas.openxmlformats.org/spreadsheetml/2006/main">
  <numFmts count="20">
    <numFmt numFmtId="164" formatCode="General"/>
    <numFmt numFmtId="165" formatCode="#,##0.0"/>
    <numFmt numFmtId="166" formatCode="#,##0"/>
    <numFmt numFmtId="167" formatCode="0.0%"/>
    <numFmt numFmtId="168" formatCode="0.00"/>
    <numFmt numFmtId="169" formatCode="\$0.00"/>
    <numFmt numFmtId="170" formatCode="0.0"/>
    <numFmt numFmtId="171" formatCode="0.00%"/>
    <numFmt numFmtId="172" formatCode="0"/>
    <numFmt numFmtId="173" formatCode="#,##0;\(#,##0\);\-"/>
    <numFmt numFmtId="174" formatCode="0.000"/>
    <numFmt numFmtId="175" formatCode="#,##0.0;\(#,##0.0\);\-"/>
    <numFmt numFmtId="176" formatCode="#,##0.00;\(#,##0.00\);\-"/>
    <numFmt numFmtId="177" formatCode="\+0%;\-0%;&quot;baseline&quot;"/>
    <numFmt numFmtId="178" formatCode="0.0000"/>
    <numFmt numFmtId="179" formatCode="0.00000"/>
    <numFmt numFmtId="180" formatCode="#,##0.00;\(#,##0.00\);&quot;benchmark&quot;"/>
    <numFmt numFmtId="181" formatCode="\+#,##0;\-#,##0"/>
    <numFmt numFmtId="182" formatCode="&quot;T = &quot;0.00"/>
    <numFmt numFmtId="183" formatCode="\+0.00;\-0.00;0.00"/>
  </numFmts>
  <fonts count="20">
    <font>
      <sz val="11"/>
      <color theme="1"/>
      <name val="Calibri"/>
      <family val="2"/>
      <charset val="1"/>
    </font>
    <font>
      <sz val="10"/>
      <name val="Arial"/>
      <family val="0"/>
    </font>
    <font>
      <sz val="10"/>
      <name val="Arial"/>
      <family val="0"/>
    </font>
    <font>
      <sz val="10"/>
      <name val="Arial"/>
      <family val="0"/>
    </font>
    <font>
      <b val="true"/>
      <sz val="9"/>
      <color rgb="FF000000"/>
      <name val="Arial"/>
      <family val="0"/>
      <charset val="1"/>
    </font>
    <font>
      <b val="true"/>
      <sz val="22"/>
      <color rgb="FF000000"/>
      <name val="Arial"/>
      <family val="0"/>
      <charset val="1"/>
    </font>
    <font>
      <sz val="12"/>
      <color rgb="FF000000"/>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sz val="9"/>
      <color rgb="FF000000"/>
      <name val="Arial"/>
      <family val="0"/>
      <charset val="1"/>
    </font>
    <font>
      <b val="true"/>
      <sz val="9"/>
      <color rgb="FFFFFFFF"/>
      <name val="Arial"/>
      <family val="0"/>
      <charset val="1"/>
    </font>
    <font>
      <b val="true"/>
      <sz val="9.5"/>
      <color rgb="FF000000"/>
      <name val="Arial"/>
      <family val="0"/>
      <charset val="1"/>
    </font>
    <font>
      <u val="single"/>
      <sz val="10"/>
      <color rgb="FF000000"/>
      <name val="Arial"/>
      <family val="0"/>
      <charset val="1"/>
    </font>
    <font>
      <sz val="9.5"/>
      <color rgb="FF000000"/>
      <name val="Arial"/>
      <family val="0"/>
      <charset val="1"/>
    </font>
    <font>
      <sz val="8.5"/>
      <color rgb="FF000000"/>
      <name val="Arial"/>
      <family val="0"/>
      <charset val="1"/>
    </font>
    <font>
      <i val="true"/>
      <sz val="8.5"/>
      <color rgb="FF000000"/>
      <name val="Arial"/>
      <family val="0"/>
      <charset val="1"/>
    </font>
    <font>
      <b val="true"/>
      <sz val="14"/>
      <color rgb="FF000000"/>
      <name val="Arial"/>
      <family val="0"/>
      <charset val="1"/>
    </font>
    <font>
      <u val="single"/>
      <sz val="9"/>
      <color rgb="FF000000"/>
      <name val="Arial"/>
      <family val="0"/>
      <charset val="1"/>
    </font>
    <font>
      <i val="true"/>
      <sz val="9"/>
      <color rgb="FF000000"/>
      <name val="Arial"/>
      <family val="0"/>
      <charset val="1"/>
    </font>
  </fonts>
  <fills count="6">
    <fill>
      <patternFill patternType="none"/>
    </fill>
    <fill>
      <patternFill patternType="gray125"/>
    </fill>
    <fill>
      <patternFill patternType="solid">
        <fgColor rgb="FF262626"/>
        <bgColor rgb="FF333300"/>
      </patternFill>
    </fill>
    <fill>
      <patternFill patternType="solid">
        <fgColor rgb="FFF2F2F2"/>
        <bgColor rgb="FFFFFFFF"/>
      </patternFill>
    </fill>
    <fill>
      <patternFill patternType="solid">
        <fgColor rgb="FFFFFFFF"/>
        <bgColor rgb="FFF2F2F2"/>
      </patternFill>
    </fill>
    <fill>
      <patternFill patternType="solid">
        <fgColor rgb="FFD9D9D9"/>
        <bgColor rgb="FFF2F2F2"/>
      </patternFill>
    </fill>
  </fills>
  <borders count="7">
    <border diagonalUp="false" diagonalDown="false">
      <left/>
      <right/>
      <top/>
      <bottom/>
      <diagonal/>
    </border>
    <border diagonalUp="false" diagonalDown="false">
      <left/>
      <right/>
      <top/>
      <bottom style="medium"/>
      <diagonal/>
    </border>
    <border diagonalUp="false" diagonalDown="false">
      <left/>
      <right/>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style="thin"/>
      <diagonal/>
    </border>
    <border diagonalUp="false" diagonalDown="false">
      <left/>
      <right/>
      <top/>
      <bottom style="thin"/>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true" applyProtection="false">
      <alignment horizontal="right" vertical="center" textRotation="0" wrapText="false" indent="0" shrinkToFit="false"/>
      <protection locked="true" hidden="false"/>
    </xf>
    <xf numFmtId="164" fontId="10" fillId="0" borderId="2" xfId="0" applyFont="true" applyBorder="true" applyAlignment="true" applyProtection="false">
      <alignment horizontal="general" vertical="center" textRotation="0" wrapText="false" indent="1" shrinkToFit="false"/>
      <protection locked="true" hidden="false"/>
    </xf>
    <xf numFmtId="166" fontId="8" fillId="0" borderId="2" xfId="0" applyFont="true" applyBorder="true" applyAlignment="true" applyProtection="false">
      <alignment horizontal="right" vertical="center" textRotation="0" wrapText="false" indent="0" shrinkToFit="false"/>
      <protection locked="true" hidden="false"/>
    </xf>
    <xf numFmtId="164" fontId="10" fillId="3" borderId="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false" indent="0" shrinkToFit="false"/>
      <protection locked="true" hidden="false"/>
    </xf>
    <xf numFmtId="164" fontId="4" fillId="4" borderId="4" xfId="0" applyFont="true" applyBorder="true" applyAlignment="true" applyProtection="false">
      <alignment horizontal="center" vertical="center" textRotation="0" wrapText="false" indent="0" shrinkToFit="false"/>
      <protection locked="true" hidden="false"/>
    </xf>
    <xf numFmtId="164" fontId="12" fillId="5" borderId="5" xfId="0" applyFont="tru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general" vertical="center" textRotation="0" wrapText="false" indent="0" shrinkToFit="false"/>
      <protection locked="true" hidden="false"/>
    </xf>
    <xf numFmtId="164" fontId="14" fillId="0" borderId="2"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2" fillId="5" borderId="5" xfId="0" applyFont="true" applyBorder="true" applyAlignment="true" applyProtection="false">
      <alignment horizontal="left" vertical="center" textRotation="0" wrapText="true" indent="0" shrinkToFit="false"/>
      <protection locked="true" hidden="false"/>
    </xf>
    <xf numFmtId="164" fontId="12" fillId="5" borderId="5" xfId="0" applyFont="true" applyBorder="true" applyAlignment="true" applyProtection="false">
      <alignment horizontal="right" vertical="center" textRotation="0" wrapText="true" indent="0" shrinkToFit="false"/>
      <protection locked="true" hidden="false"/>
    </xf>
    <xf numFmtId="164" fontId="12" fillId="5" borderId="5" xfId="0" applyFont="true" applyBorder="true" applyAlignment="true" applyProtection="false">
      <alignment horizontal="left" vertical="center" textRotation="0" wrapText="true" indent="1"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false" indent="1" shrinkToFit="false"/>
      <protection locked="true" hidden="false"/>
    </xf>
    <xf numFmtId="167" fontId="9" fillId="3" borderId="2" xfId="0" applyFont="true" applyBorder="true" applyAlignment="true" applyProtection="false">
      <alignment horizontal="right"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false" indent="1" shrinkToFit="false"/>
      <protection locked="true" hidden="false"/>
    </xf>
    <xf numFmtId="168" fontId="9" fillId="3" borderId="2" xfId="0" applyFont="true" applyBorder="true" applyAlignment="true" applyProtection="false">
      <alignment horizontal="right" vertical="center" textRotation="0" wrapText="false" indent="0" shrinkToFit="false"/>
      <protection locked="true" hidden="false"/>
    </xf>
    <xf numFmtId="169" fontId="9" fillId="3" borderId="2" xfId="0" applyFont="true" applyBorder="true" applyAlignment="true" applyProtection="false">
      <alignment horizontal="right" vertical="center" textRotation="0" wrapText="false" indent="0" shrinkToFit="false"/>
      <protection locked="true" hidden="false"/>
    </xf>
    <xf numFmtId="166" fontId="9" fillId="3" borderId="2" xfId="0" applyFont="true" applyBorder="true" applyAlignment="true" applyProtection="false">
      <alignment horizontal="right"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70" fontId="9" fillId="3" borderId="2" xfId="0" applyFont="true" applyBorder="true" applyAlignment="true" applyProtection="false">
      <alignment horizontal="right" vertical="center" textRotation="0" wrapText="false" indent="0" shrinkToFit="false"/>
      <protection locked="true" hidden="false"/>
    </xf>
    <xf numFmtId="171" fontId="9" fillId="3" borderId="2" xfId="0" applyFont="true" applyBorder="true" applyAlignment="true" applyProtection="false">
      <alignment horizontal="right" vertical="center" textRotation="0" wrapText="false" indent="0" shrinkToFit="false"/>
      <protection locked="true" hidden="false"/>
    </xf>
    <xf numFmtId="172" fontId="9" fillId="3" borderId="2" xfId="0" applyFont="true" applyBorder="true" applyAlignment="true" applyProtection="false">
      <alignment horizontal="right" vertical="center" textRotation="0" wrapText="false" indent="0" shrinkToFit="false"/>
      <protection locked="true" hidden="false"/>
    </xf>
    <xf numFmtId="173" fontId="9" fillId="3" borderId="2" xfId="0" applyFont="true" applyBorder="true" applyAlignment="true" applyProtection="false">
      <alignment horizontal="right" vertical="center" textRotation="0" wrapText="false" indent="0" shrinkToFit="false"/>
      <protection locked="true" hidden="false"/>
    </xf>
    <xf numFmtId="174" fontId="9" fillId="3" borderId="2" xfId="0" applyFont="true" applyBorder="true" applyAlignment="true" applyProtection="false">
      <alignment horizontal="right"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true" indent="1" shrinkToFit="false"/>
      <protection locked="true" hidden="false"/>
    </xf>
    <xf numFmtId="175" fontId="9" fillId="3" borderId="2" xfId="0" applyFont="true" applyBorder="true" applyAlignment="true" applyProtection="false">
      <alignment horizontal="right" vertical="center" textRotation="0" wrapText="false" indent="0" shrinkToFit="false"/>
      <protection locked="true" hidden="false"/>
    </xf>
    <xf numFmtId="175" fontId="9" fillId="0" borderId="2" xfId="0" applyFont="true" applyBorder="true" applyAlignment="true" applyProtection="false">
      <alignment horizontal="right" vertical="center" textRotation="0" wrapText="false" indent="0" shrinkToFit="false"/>
      <protection locked="true" hidden="false"/>
    </xf>
    <xf numFmtId="167" fontId="9" fillId="0" borderId="2"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76" fontId="9" fillId="0" borderId="2" xfId="0" applyFont="true" applyBorder="true" applyAlignment="true" applyProtection="false">
      <alignment horizontal="right"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false" indent="0" shrinkToFit="false"/>
      <protection locked="true" hidden="false"/>
    </xf>
    <xf numFmtId="176" fontId="8" fillId="0" borderId="6" xfId="0" applyFont="true" applyBorder="true" applyAlignment="true" applyProtection="false">
      <alignment horizontal="right" vertical="center" textRotation="0" wrapText="false" indent="0" shrinkToFit="false"/>
      <protection locked="true" hidden="false"/>
    </xf>
    <xf numFmtId="174" fontId="9" fillId="0" borderId="2" xfId="0" applyFont="true" applyBorder="true" applyAlignment="true" applyProtection="false">
      <alignment horizontal="right" vertical="center" textRotation="0" wrapText="false" indent="0" shrinkToFit="false"/>
      <protection locked="true" hidden="false"/>
    </xf>
    <xf numFmtId="168" fontId="9" fillId="0" borderId="2" xfId="0" applyFont="true" applyBorder="true" applyAlignment="true" applyProtection="false">
      <alignment horizontal="right" vertical="center" textRotation="0" wrapText="false" indent="0" shrinkToFit="false"/>
      <protection locked="true" hidden="false"/>
    </xf>
    <xf numFmtId="177" fontId="9" fillId="0" borderId="2" xfId="0" applyFont="true" applyBorder="true" applyAlignment="true" applyProtection="false">
      <alignment horizontal="right" vertical="center" textRotation="0" wrapText="false" indent="0" shrinkToFit="false"/>
      <protection locked="true" hidden="false"/>
    </xf>
    <xf numFmtId="172" fontId="9" fillId="0" borderId="2" xfId="0" applyFont="true" applyBorder="true" applyAlignment="true" applyProtection="false">
      <alignment horizontal="right" vertical="center" textRotation="0" wrapText="false" indent="0" shrinkToFit="false"/>
      <protection locked="true" hidden="false"/>
    </xf>
    <xf numFmtId="166" fontId="9" fillId="0" borderId="2" xfId="0" applyFont="true" applyBorder="true" applyAlignment="true" applyProtection="false">
      <alignment horizontal="right" vertical="center" textRotation="0" wrapText="false" indent="0" shrinkToFit="false"/>
      <protection locked="true" hidden="false"/>
    </xf>
    <xf numFmtId="170" fontId="9" fillId="0" borderId="2" xfId="0" applyFont="true" applyBorder="true" applyAlignment="true" applyProtection="false">
      <alignment horizontal="right" vertical="center" textRotation="0" wrapText="false" indent="0" shrinkToFit="false"/>
      <protection locked="true" hidden="false"/>
    </xf>
    <xf numFmtId="166" fontId="8" fillId="0" borderId="6" xfId="0" applyFont="true" applyBorder="true" applyAlignment="true" applyProtection="false">
      <alignment horizontal="right" vertical="center" textRotation="0" wrapText="false" indent="0" shrinkToFit="false"/>
      <protection locked="true" hidden="false"/>
    </xf>
    <xf numFmtId="171" fontId="9" fillId="0" borderId="2" xfId="0" applyFont="true" applyBorder="true" applyAlignment="true" applyProtection="false">
      <alignment horizontal="right" vertical="center" textRotation="0" wrapText="false" indent="0" shrinkToFit="false"/>
      <protection locked="true" hidden="false"/>
    </xf>
    <xf numFmtId="178" fontId="9" fillId="0" borderId="2" xfId="0" applyFont="true" applyBorder="true" applyAlignment="true" applyProtection="false">
      <alignment horizontal="right" vertical="center" textRotation="0" wrapText="false" indent="0" shrinkToFit="false"/>
      <protection locked="true" hidden="false"/>
    </xf>
    <xf numFmtId="179" fontId="9" fillId="0" borderId="2" xfId="0" applyFont="true" applyBorder="true" applyAlignment="true" applyProtection="false">
      <alignment horizontal="right" vertical="center" textRotation="0" wrapText="false" indent="0" shrinkToFit="false"/>
      <protection locked="true" hidden="false"/>
    </xf>
    <xf numFmtId="175" fontId="8" fillId="0" borderId="6" xfId="0" applyFont="true" applyBorder="true" applyAlignment="true" applyProtection="false">
      <alignment horizontal="right" vertical="center" textRotation="0" wrapText="false" indent="0" shrinkToFit="false"/>
      <protection locked="true" hidden="false"/>
    </xf>
    <xf numFmtId="180" fontId="9" fillId="0" borderId="2" xfId="0" applyFont="true" applyBorder="true" applyAlignment="true" applyProtection="false">
      <alignment horizontal="right" vertical="center" textRotation="0" wrapText="false" indent="0" shrinkToFit="false"/>
      <protection locked="true" hidden="false"/>
    </xf>
    <xf numFmtId="181" fontId="9" fillId="0" borderId="2" xfId="0" applyFont="true" applyBorder="true" applyAlignment="true" applyProtection="false">
      <alignment horizontal="right" vertical="center" textRotation="0" wrapText="false" indent="0" shrinkToFit="false"/>
      <protection locked="true" hidden="false"/>
    </xf>
    <xf numFmtId="181" fontId="8" fillId="0" borderId="6" xfId="0" applyFont="true" applyBorder="true" applyAlignment="true" applyProtection="false">
      <alignment horizontal="right" vertical="center" textRotation="0" wrapText="false" indent="0" shrinkToFit="false"/>
      <protection locked="true" hidden="false"/>
    </xf>
    <xf numFmtId="173" fontId="9" fillId="0" borderId="2" xfId="0" applyFont="true" applyBorder="true" applyAlignment="true" applyProtection="false">
      <alignment horizontal="right" vertical="center" textRotation="0" wrapText="false" indent="0" shrinkToFit="false"/>
      <protection locked="true" hidden="false"/>
    </xf>
    <xf numFmtId="173" fontId="8" fillId="0" borderId="6" xfId="0" applyFont="true" applyBorder="true" applyAlignment="true" applyProtection="false">
      <alignment horizontal="right" vertical="center" textRotation="0" wrapText="false" indent="0" shrinkToFit="false"/>
      <protection locked="true" hidden="false"/>
    </xf>
    <xf numFmtId="182" fontId="12" fillId="5" borderId="5" xfId="0" applyFont="true" applyBorder="true" applyAlignment="true" applyProtection="false">
      <alignment horizontal="right" vertical="center" textRotation="0" wrapText="true" indent="0" shrinkToFit="false"/>
      <protection locked="true" hidden="false"/>
    </xf>
    <xf numFmtId="167" fontId="9" fillId="3" borderId="2" xfId="0" applyFont="true" applyBorder="true" applyAlignment="true" applyProtection="false">
      <alignment horizontal="left" vertical="center" textRotation="0" wrapText="false" indent="0" shrinkToFit="false"/>
      <protection locked="true" hidden="false"/>
    </xf>
    <xf numFmtId="167" fontId="8" fillId="3" borderId="2" xfId="0" applyFont="true" applyBorder="true" applyAlignment="true" applyProtection="false">
      <alignment horizontal="left" vertical="center" textRotation="0" wrapText="false" indent="0" shrinkToFit="false"/>
      <protection locked="true" hidden="false"/>
    </xf>
    <xf numFmtId="183" fontId="9" fillId="0" borderId="2"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2"/>
    <col collapsed="false" customWidth="true" hidden="false" outlineLevel="0" max="4" min="4" style="0" width="74"/>
    <col collapsed="false" customWidth="true" hidden="false" outlineLevel="0" max="8" min="5" style="0" width="9"/>
  </cols>
  <sheetData>
    <row r="2" customFormat="false" ht="15" hidden="false" customHeight="false" outlineLevel="0" collapsed="false">
      <c r="B2" s="1" t="s">
        <v>0</v>
      </c>
    </row>
    <row r="3" customFormat="false" ht="30" hidden="false" customHeight="true" outlineLevel="0" collapsed="false">
      <c r="B3" s="2" t="s">
        <v>1</v>
      </c>
    </row>
    <row r="4" customFormat="false" ht="18" hidden="false" customHeight="true" outlineLevel="0" collapsed="false">
      <c r="B4" s="3" t="s">
        <v>2</v>
      </c>
      <c r="C4" s="4"/>
      <c r="D4" s="4"/>
    </row>
    <row r="6" customFormat="false" ht="18" hidden="false" customHeight="true" outlineLevel="0" collapsed="false">
      <c r="B6" s="5" t="s">
        <v>3</v>
      </c>
      <c r="C6" s="5"/>
      <c r="D6" s="5"/>
    </row>
    <row r="7" customFormat="false" ht="40.5" hidden="false" customHeight="true" outlineLevel="0" collapsed="false">
      <c r="B7" s="6" t="s">
        <v>4</v>
      </c>
      <c r="C7" s="7" t="s">
        <v>5</v>
      </c>
      <c r="D7" s="7"/>
    </row>
    <row r="8" customFormat="false" ht="40.5" hidden="false" customHeight="true" outlineLevel="0" collapsed="false">
      <c r="B8" s="6" t="s">
        <v>6</v>
      </c>
      <c r="C8" s="7" t="s">
        <v>7</v>
      </c>
      <c r="D8" s="7"/>
    </row>
    <row r="9" customFormat="false" ht="15.75" hidden="false" customHeight="true" outlineLevel="0" collapsed="false">
      <c r="B9" s="6" t="s">
        <v>8</v>
      </c>
      <c r="C9" s="7" t="s">
        <v>9</v>
      </c>
      <c r="D9" s="7"/>
    </row>
    <row r="10" customFormat="false" ht="15.75" hidden="false" customHeight="true" outlineLevel="0" collapsed="false">
      <c r="B10" s="6" t="s">
        <v>10</v>
      </c>
      <c r="C10" s="7" t="s">
        <v>11</v>
      </c>
      <c r="D10" s="7"/>
    </row>
    <row r="11" customFormat="false" ht="27.75" hidden="false" customHeight="true" outlineLevel="0" collapsed="false">
      <c r="B11" s="6" t="s">
        <v>12</v>
      </c>
      <c r="C11" s="7" t="s">
        <v>13</v>
      </c>
      <c r="D11" s="7"/>
    </row>
    <row r="13" customFormat="false" ht="18" hidden="false" customHeight="true" outlineLevel="0" collapsed="false">
      <c r="B13" s="5" t="s">
        <v>14</v>
      </c>
      <c r="C13" s="5"/>
      <c r="D13" s="5"/>
    </row>
    <row r="14" customFormat="false" ht="15.75" hidden="false" customHeight="true" outlineLevel="0" collapsed="false">
      <c r="B14" s="8" t="s">
        <v>15</v>
      </c>
      <c r="C14" s="9" t="n">
        <f aca="false">07_Black_Scholes!$B$22</f>
        <v>19.6684243990264</v>
      </c>
      <c r="D14" s="10" t="s">
        <v>16</v>
      </c>
    </row>
    <row r="15" customFormat="false" ht="15.75" hidden="false" customHeight="true" outlineLevel="0" collapsed="false">
      <c r="B15" s="8" t="s">
        <v>17</v>
      </c>
      <c r="C15" s="11" t="n">
        <f aca="false">07_Black_Scholes!$B$33</f>
        <v>314.694790384423</v>
      </c>
      <c r="D15" s="10" t="s">
        <v>18</v>
      </c>
    </row>
    <row r="16" customFormat="false" ht="15.75" hidden="false" customHeight="true" outlineLevel="0" collapsed="false">
      <c r="B16" s="8" t="s">
        <v>19</v>
      </c>
      <c r="C16" s="11" t="n">
        <f aca="false">19_Variant_Bridge!$C$9</f>
        <v>276</v>
      </c>
      <c r="D16" s="10" t="s">
        <v>20</v>
      </c>
    </row>
    <row r="17" customFormat="false" ht="15.75" hidden="false" customHeight="true" outlineLevel="0" collapsed="false">
      <c r="B17" s="8" t="s">
        <v>21</v>
      </c>
      <c r="C17" s="11" t="n">
        <f aca="false">19_Variant_Bridge!$C$27</f>
        <v>104</v>
      </c>
      <c r="D17" s="10" t="s">
        <v>22</v>
      </c>
    </row>
    <row r="18" customFormat="false" ht="15.75" hidden="false" customHeight="true" outlineLevel="0" collapsed="false">
      <c r="B18" s="8" t="s">
        <v>23</v>
      </c>
      <c r="C18" s="11" t="n">
        <f aca="false">21_Two_Name_Book!$D$7</f>
        <v>380</v>
      </c>
      <c r="D18" s="10" t="s">
        <v>24</v>
      </c>
    </row>
    <row r="20" customFormat="false" ht="18" hidden="false" customHeight="true" outlineLevel="0" collapsed="false">
      <c r="B20" s="5" t="s">
        <v>25</v>
      </c>
      <c r="C20" s="5"/>
      <c r="D20" s="5"/>
    </row>
    <row r="21" customFormat="false" ht="16.5" hidden="false" customHeight="true" outlineLevel="0" collapsed="false">
      <c r="B21" s="12" t="s">
        <v>26</v>
      </c>
      <c r="C21" s="13" t="s">
        <v>27</v>
      </c>
      <c r="D21" s="13"/>
    </row>
    <row r="22" customFormat="false" ht="16.5" hidden="false" customHeight="true" outlineLevel="0" collapsed="false">
      <c r="B22" s="14" t="s">
        <v>28</v>
      </c>
      <c r="C22" s="13" t="s">
        <v>29</v>
      </c>
      <c r="D22" s="13"/>
    </row>
    <row r="23" customFormat="false" ht="16.5" hidden="false" customHeight="true" outlineLevel="0" collapsed="false">
      <c r="B23" s="15" t="s">
        <v>30</v>
      </c>
      <c r="C23" s="13" t="s">
        <v>31</v>
      </c>
      <c r="D23" s="13"/>
    </row>
    <row r="24" customFormat="false" ht="16.5" hidden="false" customHeight="true" outlineLevel="0" collapsed="false">
      <c r="C24" s="13" t="s">
        <v>32</v>
      </c>
      <c r="D24" s="13"/>
    </row>
    <row r="26" customFormat="false" ht="18" hidden="false" customHeight="true" outlineLevel="0" collapsed="false">
      <c r="B26" s="5" t="s">
        <v>33</v>
      </c>
      <c r="C26" s="5"/>
      <c r="D26" s="5"/>
    </row>
    <row r="27" customFormat="false" ht="15" hidden="false" customHeight="false" outlineLevel="0" collapsed="false">
      <c r="B27" s="16" t="s">
        <v>34</v>
      </c>
      <c r="C27" s="16" t="s">
        <v>35</v>
      </c>
      <c r="D27" s="16"/>
    </row>
    <row r="28" customFormat="false" ht="27.75" hidden="false" customHeight="true" outlineLevel="0" collapsed="false">
      <c r="B28" s="17" t="s">
        <v>36</v>
      </c>
      <c r="C28" s="18" t="s">
        <v>37</v>
      </c>
      <c r="D28" s="18"/>
    </row>
    <row r="29" customFormat="false" ht="27.75" hidden="false" customHeight="true" outlineLevel="0" collapsed="false">
      <c r="B29" s="17" t="s">
        <v>38</v>
      </c>
      <c r="C29" s="18" t="s">
        <v>39</v>
      </c>
      <c r="D29" s="18"/>
    </row>
    <row r="30" customFormat="false" ht="27.75" hidden="false" customHeight="true" outlineLevel="0" collapsed="false">
      <c r="B30" s="17" t="s">
        <v>40</v>
      </c>
      <c r="C30" s="18" t="s">
        <v>41</v>
      </c>
      <c r="D30" s="18"/>
    </row>
    <row r="31" customFormat="false" ht="27.75" hidden="false" customHeight="true" outlineLevel="0" collapsed="false">
      <c r="B31" s="17" t="s">
        <v>42</v>
      </c>
      <c r="C31" s="18" t="s">
        <v>43</v>
      </c>
      <c r="D31" s="18"/>
    </row>
    <row r="32" customFormat="false" ht="27.75" hidden="false" customHeight="true" outlineLevel="0" collapsed="false">
      <c r="B32" s="17" t="s">
        <v>44</v>
      </c>
      <c r="C32" s="18" t="s">
        <v>45</v>
      </c>
      <c r="D32" s="18"/>
    </row>
    <row r="33" customFormat="false" ht="15.75" hidden="false" customHeight="true" outlineLevel="0" collapsed="false">
      <c r="B33" s="17" t="s">
        <v>46</v>
      </c>
      <c r="C33" s="18" t="s">
        <v>47</v>
      </c>
      <c r="D33" s="18"/>
    </row>
    <row r="34" customFormat="false" ht="27.75" hidden="false" customHeight="true" outlineLevel="0" collapsed="false">
      <c r="B34" s="17" t="s">
        <v>48</v>
      </c>
      <c r="C34" s="18" t="s">
        <v>49</v>
      </c>
      <c r="D34" s="18"/>
    </row>
    <row r="35" customFormat="false" ht="27.75" hidden="false" customHeight="true" outlineLevel="0" collapsed="false">
      <c r="B35" s="17" t="s">
        <v>50</v>
      </c>
      <c r="C35" s="18" t="s">
        <v>51</v>
      </c>
      <c r="D35" s="18"/>
    </row>
    <row r="37" customFormat="false" ht="13.5" hidden="false" customHeight="true" outlineLevel="0" collapsed="false">
      <c r="B37" s="19" t="s">
        <v>52</v>
      </c>
      <c r="C37" s="19"/>
      <c r="D37" s="19"/>
    </row>
    <row r="38" customFormat="false" ht="13.5" hidden="false" customHeight="true" outlineLevel="0" collapsed="false">
      <c r="B38" s="20" t="s">
        <v>53</v>
      </c>
      <c r="C38" s="20"/>
      <c r="D38" s="20"/>
    </row>
  </sheetData>
  <mergeCells count="20">
    <mergeCell ref="C7:D7"/>
    <mergeCell ref="C8:D8"/>
    <mergeCell ref="C9:D9"/>
    <mergeCell ref="C10:D10"/>
    <mergeCell ref="C11:D11"/>
    <mergeCell ref="C21:D21"/>
    <mergeCell ref="C22:D22"/>
    <mergeCell ref="C23:D23"/>
    <mergeCell ref="C24:D24"/>
    <mergeCell ref="C27:D27"/>
    <mergeCell ref="C28:D28"/>
    <mergeCell ref="C29:D29"/>
    <mergeCell ref="C30:D30"/>
    <mergeCell ref="C31:D31"/>
    <mergeCell ref="C32:D32"/>
    <mergeCell ref="C33:D33"/>
    <mergeCell ref="C34:D34"/>
    <mergeCell ref="C35:D35"/>
    <mergeCell ref="B37:D37"/>
    <mergeCell ref="B38:D38"/>
  </mergeCells>
  <hyperlinks>
    <hyperlink ref="B28" location="'01_Inputs'!A1" display="01_Inputs"/>
    <hyperlink ref="B29" location="'05_Unit_Economics'!A1" display="05_Unit_Economics"/>
    <hyperlink ref="B30" location="'06_Free_Cooling'!A1" display="06_Free_Cooling"/>
    <hyperlink ref="B31" location="'07_Black_Scholes'!A1" display="07_Black_Scholes"/>
    <hyperlink ref="B32" location="'09_Arrhenius'!A1" display="09_Arrhenius"/>
    <hyperlink ref="B33" location="'19_Variant_Bridge'!A1" display="19_Variant_Bridge"/>
    <hyperlink ref="B34" location="'20_Robustness'!A1" display="20_Robustness"/>
    <hyperlink ref="B35" location="'21_Two_Name_Book'!A1" display="21_Two_Name_Book"/>
  </hyperlink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3"/>
    <col collapsed="false" customWidth="true" hidden="false" outlineLevel="0" max="4" min="3" style="0" width="12"/>
    <col collapsed="false" customWidth="true" hidden="false" outlineLevel="0" max="5" min="5" style="0" width="70"/>
    <col collapsed="false" customWidth="true" hidden="false" outlineLevel="0" max="6" min="6" style="0" width="11"/>
  </cols>
  <sheetData>
    <row r="1" customFormat="false" ht="39.75" hidden="false" customHeight="true" outlineLevel="0" collapsed="false">
      <c r="A1" s="21" t="s">
        <v>54</v>
      </c>
      <c r="B1" s="21"/>
      <c r="C1" s="21"/>
      <c r="D1" s="21"/>
      <c r="E1" s="21"/>
      <c r="F1" s="22" t="s">
        <v>55</v>
      </c>
      <c r="G1" s="23"/>
    </row>
    <row r="2" customFormat="false" ht="7.5" hidden="false" customHeight="true" outlineLevel="0" collapsed="false"/>
    <row r="3" customFormat="false" ht="16.5" hidden="false" customHeight="true" outlineLevel="0" collapsed="false">
      <c r="A3" s="24" t="s">
        <v>56</v>
      </c>
      <c r="B3" s="25" t="s">
        <v>57</v>
      </c>
      <c r="C3" s="25" t="s">
        <v>58</v>
      </c>
      <c r="D3" s="25" t="s">
        <v>59</v>
      </c>
      <c r="E3" s="26" t="s">
        <v>60</v>
      </c>
    </row>
    <row r="5" customFormat="false" ht="18" hidden="false" customHeight="true" outlineLevel="0" collapsed="false">
      <c r="A5" s="27" t="s">
        <v>61</v>
      </c>
      <c r="B5" s="27"/>
      <c r="C5" s="27"/>
      <c r="D5" s="27"/>
      <c r="E5" s="27"/>
    </row>
    <row r="6" customFormat="false" ht="15" hidden="false" customHeight="true" outlineLevel="0" collapsed="false">
      <c r="A6" s="28" t="s">
        <v>62</v>
      </c>
      <c r="B6" s="29" t="s">
        <v>63</v>
      </c>
      <c r="C6" s="30" t="n">
        <v>0.78</v>
      </c>
      <c r="D6" s="29" t="s">
        <v>64</v>
      </c>
      <c r="E6" s="31" t="s">
        <v>65</v>
      </c>
    </row>
    <row r="7" customFormat="false" ht="15" hidden="false" customHeight="true" outlineLevel="0" collapsed="false">
      <c r="A7" s="28" t="s">
        <v>66</v>
      </c>
      <c r="B7" s="29" t="s">
        <v>67</v>
      </c>
      <c r="C7" s="32" t="n">
        <v>1.18</v>
      </c>
      <c r="D7" s="29" t="s">
        <v>68</v>
      </c>
      <c r="E7" s="31" t="s">
        <v>69</v>
      </c>
    </row>
    <row r="8" customFormat="false" ht="15" hidden="false" customHeight="true" outlineLevel="0" collapsed="false">
      <c r="A8" s="28" t="s">
        <v>70</v>
      </c>
      <c r="B8" s="29" t="s">
        <v>71</v>
      </c>
      <c r="C8" s="33" t="n">
        <v>2.45</v>
      </c>
      <c r="D8" s="29" t="s">
        <v>72</v>
      </c>
      <c r="E8" s="31" t="s">
        <v>73</v>
      </c>
    </row>
    <row r="9" customFormat="false" ht="15" hidden="false" customHeight="true" outlineLevel="0" collapsed="false">
      <c r="A9" s="28" t="s">
        <v>74</v>
      </c>
      <c r="B9" s="29"/>
      <c r="C9" s="34" t="n">
        <v>8760</v>
      </c>
      <c r="D9" s="29" t="s">
        <v>75</v>
      </c>
      <c r="E9" s="31" t="s">
        <v>76</v>
      </c>
    </row>
    <row r="10" customFormat="false" ht="15" hidden="false" customHeight="true" outlineLevel="0" collapsed="false">
      <c r="A10" s="28" t="s">
        <v>77</v>
      </c>
      <c r="B10" s="29" t="s">
        <v>78</v>
      </c>
      <c r="C10" s="34" t="n">
        <v>1000</v>
      </c>
      <c r="D10" s="29" t="s">
        <v>79</v>
      </c>
      <c r="E10" s="31" t="s">
        <v>80</v>
      </c>
    </row>
    <row r="11" customFormat="false" ht="26.25" hidden="false" customHeight="true" outlineLevel="0" collapsed="false">
      <c r="A11" s="35" t="s">
        <v>81</v>
      </c>
      <c r="B11" s="29"/>
      <c r="C11" s="36" t="n">
        <v>4.2</v>
      </c>
      <c r="D11" s="29" t="s">
        <v>82</v>
      </c>
      <c r="E11" s="31" t="s">
        <v>83</v>
      </c>
    </row>
    <row r="13" customFormat="false" ht="18" hidden="false" customHeight="true" outlineLevel="0" collapsed="false">
      <c r="A13" s="27" t="s">
        <v>84</v>
      </c>
      <c r="B13" s="27"/>
      <c r="C13" s="27"/>
      <c r="D13" s="27"/>
      <c r="E13" s="27"/>
    </row>
    <row r="14" customFormat="false" ht="15" hidden="false" customHeight="true" outlineLevel="0" collapsed="false">
      <c r="A14" s="28" t="s">
        <v>85</v>
      </c>
      <c r="B14" s="29"/>
      <c r="C14" s="32" t="n">
        <v>0.4</v>
      </c>
      <c r="D14" s="29" t="s">
        <v>82</v>
      </c>
      <c r="E14" s="31" t="s">
        <v>86</v>
      </c>
    </row>
    <row r="15" customFormat="false" ht="15" hidden="false" customHeight="true" outlineLevel="0" collapsed="false">
      <c r="A15" s="28" t="s">
        <v>87</v>
      </c>
      <c r="B15" s="29"/>
      <c r="C15" s="34" t="n">
        <v>75</v>
      </c>
      <c r="D15" s="29" t="s">
        <v>88</v>
      </c>
      <c r="E15" s="31" t="s">
        <v>89</v>
      </c>
    </row>
    <row r="16" customFormat="false" ht="15" hidden="false" customHeight="true" outlineLevel="0" collapsed="false">
      <c r="A16" s="28" t="s">
        <v>90</v>
      </c>
      <c r="B16" s="29" t="s">
        <v>91</v>
      </c>
      <c r="C16" s="36" t="n">
        <v>1.5</v>
      </c>
      <c r="D16" s="29" t="s">
        <v>92</v>
      </c>
      <c r="E16" s="31" t="s">
        <v>89</v>
      </c>
    </row>
    <row r="17" customFormat="false" ht="15" hidden="false" customHeight="true" outlineLevel="0" collapsed="false">
      <c r="A17" s="28" t="s">
        <v>93</v>
      </c>
      <c r="B17" s="29" t="s">
        <v>94</v>
      </c>
      <c r="C17" s="36" t="n">
        <v>2.5</v>
      </c>
      <c r="D17" s="29" t="s">
        <v>92</v>
      </c>
      <c r="E17" s="31" t="s">
        <v>89</v>
      </c>
    </row>
    <row r="18" customFormat="false" ht="26.25" hidden="false" customHeight="true" outlineLevel="0" collapsed="false">
      <c r="A18" s="35" t="s">
        <v>95</v>
      </c>
      <c r="B18" s="29"/>
      <c r="C18" s="36" t="n">
        <v>6</v>
      </c>
      <c r="D18" s="29" t="s">
        <v>96</v>
      </c>
      <c r="E18" s="31" t="s">
        <v>97</v>
      </c>
    </row>
    <row r="19" customFormat="false" ht="15" hidden="false" customHeight="true" outlineLevel="0" collapsed="false">
      <c r="A19" s="28" t="s">
        <v>98</v>
      </c>
      <c r="B19" s="29" t="s">
        <v>99</v>
      </c>
      <c r="C19" s="36" t="n">
        <v>2</v>
      </c>
      <c r="D19" s="29" t="s">
        <v>92</v>
      </c>
      <c r="E19" s="31" t="s">
        <v>89</v>
      </c>
    </row>
    <row r="20" customFormat="false" ht="15" hidden="false" customHeight="true" outlineLevel="0" collapsed="false">
      <c r="A20" s="28" t="s">
        <v>100</v>
      </c>
      <c r="B20" s="29" t="s">
        <v>101</v>
      </c>
      <c r="C20" s="37" t="n">
        <v>0.044</v>
      </c>
      <c r="D20" s="29" t="s">
        <v>102</v>
      </c>
      <c r="E20" s="31" t="s">
        <v>103</v>
      </c>
    </row>
    <row r="21" customFormat="false" ht="15" hidden="false" customHeight="true" outlineLevel="0" collapsed="false">
      <c r="A21" s="28" t="s">
        <v>104</v>
      </c>
      <c r="B21" s="29" t="s">
        <v>105</v>
      </c>
      <c r="C21" s="30" t="n">
        <v>0.35</v>
      </c>
      <c r="D21" s="29" t="s">
        <v>102</v>
      </c>
      <c r="E21" s="31" t="s">
        <v>106</v>
      </c>
    </row>
    <row r="22" customFormat="false" ht="15" hidden="false" customHeight="true" outlineLevel="0" collapsed="false">
      <c r="A22" s="28" t="s">
        <v>107</v>
      </c>
      <c r="B22" s="29" t="s">
        <v>108</v>
      </c>
      <c r="C22" s="32" t="n">
        <v>1</v>
      </c>
      <c r="D22" s="29" t="s">
        <v>92</v>
      </c>
      <c r="E22" s="31" t="s">
        <v>89</v>
      </c>
    </row>
    <row r="23" customFormat="false" ht="15" hidden="false" customHeight="true" outlineLevel="0" collapsed="false">
      <c r="A23" s="28" t="s">
        <v>109</v>
      </c>
      <c r="B23" s="29"/>
      <c r="C23" s="38" t="n">
        <v>16</v>
      </c>
      <c r="D23" s="29" t="s">
        <v>110</v>
      </c>
      <c r="E23" s="31" t="s">
        <v>111</v>
      </c>
    </row>
    <row r="24" customFormat="false" ht="15" hidden="false" customHeight="true" outlineLevel="0" collapsed="false">
      <c r="A24" s="28" t="s">
        <v>112</v>
      </c>
      <c r="B24" s="29"/>
      <c r="C24" s="39" t="n">
        <v>8</v>
      </c>
      <c r="D24" s="29" t="s">
        <v>113</v>
      </c>
      <c r="E24" s="31" t="s">
        <v>114</v>
      </c>
    </row>
    <row r="26" customFormat="false" ht="18" hidden="false" customHeight="true" outlineLevel="0" collapsed="false">
      <c r="A26" s="27" t="s">
        <v>115</v>
      </c>
      <c r="B26" s="27"/>
      <c r="C26" s="27"/>
      <c r="D26" s="27"/>
      <c r="E26" s="27"/>
    </row>
    <row r="27" customFormat="false" ht="15" hidden="false" customHeight="true" outlineLevel="0" collapsed="false">
      <c r="A27" s="28" t="s">
        <v>116</v>
      </c>
      <c r="B27" s="29"/>
      <c r="C27" s="36" t="n">
        <v>9.2</v>
      </c>
      <c r="D27" s="29" t="s">
        <v>113</v>
      </c>
      <c r="E27" s="31" t="s">
        <v>117</v>
      </c>
    </row>
    <row r="28" customFormat="false" ht="15" hidden="false" customHeight="true" outlineLevel="0" collapsed="false">
      <c r="A28" s="28" t="s">
        <v>118</v>
      </c>
      <c r="B28" s="29"/>
      <c r="C28" s="34" t="n">
        <v>180000</v>
      </c>
      <c r="D28" s="29" t="s">
        <v>75</v>
      </c>
      <c r="E28" s="31" t="s">
        <v>119</v>
      </c>
    </row>
    <row r="29" customFormat="false" ht="15" hidden="false" customHeight="true" outlineLevel="0" collapsed="false">
      <c r="A29" s="28" t="s">
        <v>120</v>
      </c>
      <c r="B29" s="29"/>
      <c r="C29" s="38" t="n">
        <v>45</v>
      </c>
      <c r="D29" s="29" t="s">
        <v>92</v>
      </c>
      <c r="E29" s="31" t="s">
        <v>121</v>
      </c>
    </row>
    <row r="30" customFormat="false" ht="15" hidden="false" customHeight="true" outlineLevel="0" collapsed="false">
      <c r="A30" s="28" t="s">
        <v>122</v>
      </c>
      <c r="B30" s="29"/>
      <c r="C30" s="38" t="n">
        <v>80</v>
      </c>
      <c r="D30" s="29" t="s">
        <v>123</v>
      </c>
      <c r="E30" s="31" t="s">
        <v>124</v>
      </c>
    </row>
    <row r="31" customFormat="false" ht="15" hidden="false" customHeight="true" outlineLevel="0" collapsed="false">
      <c r="A31" s="28" t="s">
        <v>125</v>
      </c>
      <c r="B31" s="29" t="s">
        <v>126</v>
      </c>
      <c r="C31" s="34" t="n">
        <v>15000</v>
      </c>
      <c r="D31" s="29" t="s">
        <v>127</v>
      </c>
      <c r="E31" s="31" t="s">
        <v>128</v>
      </c>
    </row>
    <row r="32" customFormat="false" ht="15" hidden="false" customHeight="true" outlineLevel="0" collapsed="false">
      <c r="A32" s="28" t="s">
        <v>129</v>
      </c>
      <c r="B32" s="29"/>
      <c r="C32" s="30" t="n">
        <v>0.08</v>
      </c>
      <c r="D32" s="29" t="s">
        <v>102</v>
      </c>
      <c r="E32" s="31" t="s">
        <v>130</v>
      </c>
    </row>
    <row r="33" customFormat="false" ht="15" hidden="false" customHeight="true" outlineLevel="0" collapsed="false">
      <c r="A33" s="28" t="s">
        <v>131</v>
      </c>
      <c r="B33" s="29"/>
      <c r="C33" s="38" t="n">
        <v>20</v>
      </c>
      <c r="D33" s="29" t="s">
        <v>92</v>
      </c>
      <c r="E33" s="31" t="s">
        <v>130</v>
      </c>
    </row>
    <row r="34" customFormat="false" ht="15" hidden="false" customHeight="true" outlineLevel="0" collapsed="false">
      <c r="A34" s="28" t="s">
        <v>132</v>
      </c>
      <c r="B34" s="29"/>
      <c r="C34" s="37" t="n">
        <v>0.003</v>
      </c>
      <c r="D34" s="29" t="s">
        <v>102</v>
      </c>
      <c r="E34" s="31" t="s">
        <v>133</v>
      </c>
    </row>
    <row r="35" customFormat="false" ht="15" hidden="false" customHeight="true" outlineLevel="0" collapsed="false">
      <c r="A35" s="28" t="s">
        <v>134</v>
      </c>
      <c r="B35" s="29"/>
      <c r="C35" s="30" t="n">
        <v>0.4</v>
      </c>
      <c r="D35" s="29" t="s">
        <v>102</v>
      </c>
      <c r="E35" s="31" t="s">
        <v>135</v>
      </c>
    </row>
    <row r="37" customFormat="false" ht="18" hidden="false" customHeight="true" outlineLevel="0" collapsed="false">
      <c r="A37" s="27" t="s">
        <v>136</v>
      </c>
      <c r="B37" s="27"/>
      <c r="C37" s="27"/>
      <c r="D37" s="27"/>
      <c r="E37" s="27"/>
    </row>
    <row r="38" customFormat="false" ht="15" hidden="false" customHeight="true" outlineLevel="0" collapsed="false">
      <c r="A38" s="28" t="s">
        <v>137</v>
      </c>
      <c r="B38" s="29" t="s">
        <v>138</v>
      </c>
      <c r="C38" s="36" t="n">
        <v>13</v>
      </c>
      <c r="D38" s="29" t="s">
        <v>123</v>
      </c>
      <c r="E38" s="31" t="s">
        <v>139</v>
      </c>
    </row>
    <row r="39" customFormat="false" ht="26.25" hidden="false" customHeight="true" outlineLevel="0" collapsed="false">
      <c r="A39" s="35" t="s">
        <v>140</v>
      </c>
      <c r="B39" s="29" t="s">
        <v>141</v>
      </c>
      <c r="C39" s="40" t="n">
        <v>0.237</v>
      </c>
      <c r="D39" s="29" t="s">
        <v>68</v>
      </c>
      <c r="E39" s="31" t="s">
        <v>142</v>
      </c>
    </row>
    <row r="40" customFormat="false" ht="15" hidden="false" customHeight="true" outlineLevel="0" collapsed="false">
      <c r="A40" s="28" t="s">
        <v>143</v>
      </c>
      <c r="B40" s="29" t="s">
        <v>138</v>
      </c>
      <c r="C40" s="36" t="n">
        <v>19.6</v>
      </c>
      <c r="D40" s="29" t="s">
        <v>123</v>
      </c>
      <c r="E40" s="31" t="s">
        <v>139</v>
      </c>
    </row>
    <row r="41" customFormat="false" ht="15" hidden="false" customHeight="true" outlineLevel="0" collapsed="false">
      <c r="A41" s="28" t="s">
        <v>144</v>
      </c>
      <c r="B41" s="29" t="s">
        <v>141</v>
      </c>
      <c r="C41" s="40" t="n">
        <v>0.464</v>
      </c>
      <c r="D41" s="29" t="s">
        <v>68</v>
      </c>
      <c r="E41" s="31" t="s">
        <v>142</v>
      </c>
    </row>
    <row r="42" customFormat="false" ht="15" hidden="false" customHeight="true" outlineLevel="0" collapsed="false">
      <c r="A42" s="28" t="s">
        <v>145</v>
      </c>
      <c r="B42" s="29" t="s">
        <v>138</v>
      </c>
      <c r="C42" s="36" t="n">
        <v>25.3</v>
      </c>
      <c r="D42" s="29" t="s">
        <v>123</v>
      </c>
      <c r="E42" s="31" t="s">
        <v>139</v>
      </c>
    </row>
    <row r="43" customFormat="false" ht="15" hidden="false" customHeight="true" outlineLevel="0" collapsed="false">
      <c r="A43" s="28" t="s">
        <v>146</v>
      </c>
      <c r="B43" s="29" t="s">
        <v>141</v>
      </c>
      <c r="C43" s="40" t="n">
        <v>0.645</v>
      </c>
      <c r="D43" s="29" t="s">
        <v>68</v>
      </c>
      <c r="E43" s="31" t="s">
        <v>142</v>
      </c>
    </row>
    <row r="44" customFormat="false" ht="15" hidden="false" customHeight="true" outlineLevel="0" collapsed="false">
      <c r="A44" s="28" t="s">
        <v>147</v>
      </c>
      <c r="B44" s="29" t="s">
        <v>138</v>
      </c>
      <c r="C44" s="36" t="n">
        <v>24</v>
      </c>
      <c r="D44" s="29" t="s">
        <v>123</v>
      </c>
      <c r="E44" s="31" t="s">
        <v>139</v>
      </c>
    </row>
    <row r="45" customFormat="false" ht="15" hidden="false" customHeight="true" outlineLevel="0" collapsed="false">
      <c r="A45" s="28" t="s">
        <v>148</v>
      </c>
      <c r="B45" s="29" t="s">
        <v>141</v>
      </c>
      <c r="C45" s="40" t="n">
        <v>0.74</v>
      </c>
      <c r="D45" s="29" t="s">
        <v>68</v>
      </c>
      <c r="E45" s="31" t="s">
        <v>142</v>
      </c>
    </row>
    <row r="46" customFormat="false" ht="15" hidden="false" customHeight="true" outlineLevel="0" collapsed="false">
      <c r="A46" s="28" t="s">
        <v>149</v>
      </c>
      <c r="B46" s="29" t="s">
        <v>138</v>
      </c>
      <c r="C46" s="36" t="n">
        <v>6.1</v>
      </c>
      <c r="D46" s="29" t="s">
        <v>123</v>
      </c>
      <c r="E46" s="31" t="s">
        <v>139</v>
      </c>
    </row>
    <row r="47" customFormat="false" ht="15" hidden="false" customHeight="true" outlineLevel="0" collapsed="false">
      <c r="A47" s="28" t="s">
        <v>150</v>
      </c>
      <c r="B47" s="29" t="s">
        <v>141</v>
      </c>
      <c r="C47" s="40" t="n">
        <v>0.107</v>
      </c>
      <c r="D47" s="29" t="s">
        <v>68</v>
      </c>
      <c r="E47" s="31" t="s">
        <v>142</v>
      </c>
    </row>
    <row r="48" customFormat="false" ht="15" hidden="false" customHeight="true" outlineLevel="0" collapsed="false">
      <c r="A48" s="28" t="s">
        <v>151</v>
      </c>
      <c r="B48" s="29" t="s">
        <v>138</v>
      </c>
      <c r="C48" s="36" t="n">
        <v>7.6</v>
      </c>
      <c r="D48" s="29" t="s">
        <v>123</v>
      </c>
      <c r="E48" s="31" t="s">
        <v>139</v>
      </c>
    </row>
    <row r="49" customFormat="false" ht="15" hidden="false" customHeight="true" outlineLevel="0" collapsed="false">
      <c r="A49" s="28" t="s">
        <v>152</v>
      </c>
      <c r="B49" s="29" t="s">
        <v>141</v>
      </c>
      <c r="C49" s="40" t="n">
        <v>0.12</v>
      </c>
      <c r="D49" s="29" t="s">
        <v>68</v>
      </c>
      <c r="E49" s="31" t="s">
        <v>142</v>
      </c>
    </row>
    <row r="50" customFormat="false" ht="15" hidden="false" customHeight="true" outlineLevel="0" collapsed="false">
      <c r="A50" s="28" t="s">
        <v>153</v>
      </c>
      <c r="B50" s="29" t="s">
        <v>138</v>
      </c>
      <c r="C50" s="36" t="n">
        <v>1.8</v>
      </c>
      <c r="D50" s="29" t="s">
        <v>123</v>
      </c>
      <c r="E50" s="31" t="s">
        <v>139</v>
      </c>
    </row>
    <row r="51" customFormat="false" ht="15" hidden="false" customHeight="true" outlineLevel="0" collapsed="false">
      <c r="A51" s="28" t="s">
        <v>154</v>
      </c>
      <c r="B51" s="29" t="s">
        <v>141</v>
      </c>
      <c r="C51" s="40" t="n">
        <v>0.074</v>
      </c>
      <c r="D51" s="29" t="s">
        <v>68</v>
      </c>
      <c r="E51" s="31" t="s">
        <v>142</v>
      </c>
    </row>
    <row r="52" customFormat="false" ht="15" hidden="false" customHeight="true" outlineLevel="0" collapsed="false">
      <c r="A52" s="28" t="s">
        <v>155</v>
      </c>
      <c r="B52" s="29" t="s">
        <v>138</v>
      </c>
      <c r="C52" s="36" t="n">
        <v>5.5</v>
      </c>
      <c r="D52" s="29" t="s">
        <v>123</v>
      </c>
      <c r="E52" s="31" t="s">
        <v>139</v>
      </c>
    </row>
    <row r="53" customFormat="false" ht="15" hidden="false" customHeight="true" outlineLevel="0" collapsed="false">
      <c r="A53" s="28" t="s">
        <v>156</v>
      </c>
      <c r="B53" s="29" t="s">
        <v>141</v>
      </c>
      <c r="C53" s="40" t="n">
        <v>0.076</v>
      </c>
      <c r="D53" s="29" t="s">
        <v>68</v>
      </c>
      <c r="E53" s="31" t="s">
        <v>142</v>
      </c>
    </row>
    <row r="55" customFormat="false" ht="18" hidden="false" customHeight="true" outlineLevel="0" collapsed="false">
      <c r="A55" s="27" t="s">
        <v>157</v>
      </c>
      <c r="B55" s="27"/>
      <c r="C55" s="27"/>
      <c r="D55" s="27"/>
      <c r="E55" s="27"/>
    </row>
    <row r="56" customFormat="false" ht="15" hidden="false" customHeight="true" outlineLevel="0" collapsed="false">
      <c r="A56" s="28" t="s">
        <v>158</v>
      </c>
      <c r="B56" s="29"/>
      <c r="C56" s="32" t="n">
        <v>1.05</v>
      </c>
      <c r="D56" s="29" t="s">
        <v>68</v>
      </c>
      <c r="E56" s="31" t="s">
        <v>159</v>
      </c>
    </row>
    <row r="57" customFormat="false" ht="15" hidden="false" customHeight="true" outlineLevel="0" collapsed="false">
      <c r="A57" s="28" t="s">
        <v>160</v>
      </c>
      <c r="B57" s="29"/>
      <c r="C57" s="32" t="n">
        <v>1.44</v>
      </c>
      <c r="D57" s="29" t="s">
        <v>68</v>
      </c>
      <c r="E57" s="31" t="s">
        <v>161</v>
      </c>
    </row>
    <row r="58" customFormat="false" ht="15" hidden="false" customHeight="true" outlineLevel="0" collapsed="false">
      <c r="A58" s="28" t="s">
        <v>162</v>
      </c>
      <c r="B58" s="29" t="s">
        <v>163</v>
      </c>
      <c r="C58" s="40" t="n">
        <v>0.057</v>
      </c>
      <c r="D58" s="29" t="s">
        <v>64</v>
      </c>
      <c r="E58" s="31" t="s">
        <v>164</v>
      </c>
    </row>
    <row r="59" customFormat="false" ht="15" hidden="false" customHeight="true" outlineLevel="0" collapsed="false">
      <c r="A59" s="28" t="s">
        <v>165</v>
      </c>
      <c r="B59" s="29" t="s">
        <v>163</v>
      </c>
      <c r="C59" s="40" t="n">
        <v>0.594</v>
      </c>
      <c r="D59" s="29" t="s">
        <v>64</v>
      </c>
      <c r="E59" s="31" t="s">
        <v>164</v>
      </c>
    </row>
    <row r="60" customFormat="false" ht="15" hidden="false" customHeight="true" outlineLevel="0" collapsed="false">
      <c r="A60" s="28" t="s">
        <v>166</v>
      </c>
      <c r="B60" s="29" t="s">
        <v>163</v>
      </c>
      <c r="C60" s="40" t="n">
        <v>0.89</v>
      </c>
      <c r="D60" s="29" t="s">
        <v>64</v>
      </c>
      <c r="E60" s="31" t="s">
        <v>164</v>
      </c>
    </row>
    <row r="61" customFormat="false" ht="15" hidden="false" customHeight="true" outlineLevel="0" collapsed="false">
      <c r="A61" s="28" t="s">
        <v>167</v>
      </c>
      <c r="B61" s="29" t="s">
        <v>163</v>
      </c>
      <c r="C61" s="40" t="n">
        <v>0.959</v>
      </c>
      <c r="D61" s="29" t="s">
        <v>64</v>
      </c>
      <c r="E61" s="31" t="s">
        <v>164</v>
      </c>
    </row>
    <row r="62" customFormat="false" ht="15" hidden="false" customHeight="true" outlineLevel="0" collapsed="false">
      <c r="A62" s="28" t="s">
        <v>168</v>
      </c>
      <c r="B62" s="29" t="s">
        <v>67</v>
      </c>
      <c r="C62" s="32" t="n">
        <v>1.42</v>
      </c>
      <c r="D62" s="29" t="s">
        <v>68</v>
      </c>
      <c r="E62" s="31" t="s">
        <v>169</v>
      </c>
    </row>
    <row r="63" customFormat="false" ht="15" hidden="false" customHeight="true" outlineLevel="0" collapsed="false">
      <c r="A63" s="28" t="s">
        <v>170</v>
      </c>
      <c r="B63" s="29" t="s">
        <v>67</v>
      </c>
      <c r="C63" s="32" t="n">
        <v>1.21</v>
      </c>
      <c r="D63" s="29" t="s">
        <v>68</v>
      </c>
      <c r="E63" s="31" t="s">
        <v>169</v>
      </c>
    </row>
    <row r="64" customFormat="false" ht="15" hidden="false" customHeight="true" outlineLevel="0" collapsed="false">
      <c r="A64" s="28" t="s">
        <v>171</v>
      </c>
      <c r="B64" s="29" t="s">
        <v>67</v>
      </c>
      <c r="C64" s="32" t="n">
        <v>1.1</v>
      </c>
      <c r="D64" s="29" t="s">
        <v>68</v>
      </c>
      <c r="E64" s="31" t="s">
        <v>169</v>
      </c>
    </row>
    <row r="65" customFormat="false" ht="15" hidden="false" customHeight="true" outlineLevel="0" collapsed="false">
      <c r="A65" s="28" t="s">
        <v>172</v>
      </c>
      <c r="B65" s="29" t="s">
        <v>67</v>
      </c>
      <c r="C65" s="32" t="n">
        <v>1.07</v>
      </c>
      <c r="D65" s="29" t="s">
        <v>68</v>
      </c>
      <c r="E65" s="31" t="s">
        <v>169</v>
      </c>
    </row>
    <row r="66" customFormat="false" ht="15" hidden="false" customHeight="true" outlineLevel="0" collapsed="false">
      <c r="A66" s="28" t="s">
        <v>173</v>
      </c>
      <c r="B66" s="29"/>
      <c r="C66" s="38" t="n">
        <v>7</v>
      </c>
      <c r="D66" s="29" t="s">
        <v>88</v>
      </c>
      <c r="E66" s="31" t="s">
        <v>174</v>
      </c>
    </row>
    <row r="67" customFormat="false" ht="15" hidden="false" customHeight="true" outlineLevel="0" collapsed="false">
      <c r="A67" s="28" t="s">
        <v>175</v>
      </c>
      <c r="B67" s="29"/>
      <c r="C67" s="36" t="n">
        <v>31.6</v>
      </c>
      <c r="D67" s="29" t="s">
        <v>176</v>
      </c>
      <c r="E67" s="41" t="s">
        <v>177</v>
      </c>
    </row>
    <row r="68" customFormat="false" ht="15" hidden="false" customHeight="true" outlineLevel="0" collapsed="false">
      <c r="A68" s="28" t="s">
        <v>178</v>
      </c>
      <c r="B68" s="29"/>
      <c r="C68" s="42" t="n">
        <v>-22</v>
      </c>
      <c r="D68" s="29" t="s">
        <v>179</v>
      </c>
      <c r="E68" s="31" t="s">
        <v>180</v>
      </c>
    </row>
    <row r="69" customFormat="false" ht="15" hidden="false" customHeight="true" outlineLevel="0" collapsed="false">
      <c r="A69" s="28" t="s">
        <v>181</v>
      </c>
      <c r="B69" s="29"/>
      <c r="C69" s="30" t="n">
        <v>0.04</v>
      </c>
      <c r="D69" s="29" t="s">
        <v>102</v>
      </c>
      <c r="E69" s="31" t="s">
        <v>182</v>
      </c>
    </row>
    <row r="70" customFormat="false" ht="15" hidden="false" customHeight="true" outlineLevel="0" collapsed="false">
      <c r="A70" s="28" t="s">
        <v>183</v>
      </c>
      <c r="B70" s="29"/>
      <c r="C70" s="42" t="n">
        <v>18</v>
      </c>
      <c r="D70" s="29" t="s">
        <v>179</v>
      </c>
      <c r="E70" s="31" t="s">
        <v>184</v>
      </c>
    </row>
    <row r="71" customFormat="false" ht="15" hidden="false" customHeight="true" outlineLevel="0" collapsed="false">
      <c r="A71" s="28" t="s">
        <v>185</v>
      </c>
      <c r="B71" s="29"/>
      <c r="C71" s="42" t="n">
        <v>4</v>
      </c>
      <c r="D71" s="29" t="s">
        <v>179</v>
      </c>
      <c r="E71" s="31" t="s">
        <v>186</v>
      </c>
    </row>
    <row r="72" customFormat="false" ht="15" hidden="false" customHeight="true" outlineLevel="0" collapsed="false">
      <c r="A72" s="28" t="s">
        <v>187</v>
      </c>
      <c r="B72" s="29"/>
      <c r="C72" s="38" t="n">
        <v>16</v>
      </c>
      <c r="D72" s="29" t="s">
        <v>188</v>
      </c>
      <c r="E72" s="31" t="s">
        <v>189</v>
      </c>
    </row>
  </sheetData>
  <mergeCells count="1">
    <mergeCell ref="A1:E1"/>
  </mergeCells>
  <hyperlinks>
    <hyperlink ref="F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(v39)&amp;R&amp;"Arial,Regular"&amp;8 &amp;A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2"/>
    <col collapsed="false" customWidth="true" hidden="false" outlineLevel="0" max="4" min="4" style="0" width="70"/>
    <col collapsed="false" customWidth="true" hidden="false" outlineLevel="0" max="5" min="5" style="0" width="11"/>
  </cols>
  <sheetData>
    <row r="1" customFormat="false" ht="39.75" hidden="false" customHeight="true" outlineLevel="0" collapsed="false">
      <c r="A1" s="21" t="s">
        <v>190</v>
      </c>
      <c r="B1" s="21"/>
      <c r="C1" s="21"/>
      <c r="D1" s="21"/>
      <c r="E1" s="22" t="s">
        <v>55</v>
      </c>
      <c r="F1" s="23"/>
    </row>
    <row r="2" customFormat="false" ht="7.5" hidden="false" customHeight="true" outlineLevel="0" collapsed="false"/>
    <row r="3" customFormat="false" ht="18" hidden="false" customHeight="true" outlineLevel="0" collapsed="false">
      <c r="A3" s="27" t="s">
        <v>191</v>
      </c>
      <c r="B3" s="27"/>
      <c r="C3" s="27"/>
      <c r="D3" s="27"/>
    </row>
    <row r="4" customFormat="false" ht="16.5" hidden="false" customHeight="true" outlineLevel="0" collapsed="false">
      <c r="A4" s="24" t="s">
        <v>192</v>
      </c>
      <c r="B4" s="25" t="s">
        <v>58</v>
      </c>
      <c r="C4" s="25" t="s">
        <v>59</v>
      </c>
      <c r="D4" s="26" t="s">
        <v>193</v>
      </c>
    </row>
    <row r="5" customFormat="false" ht="15" hidden="false" customHeight="true" outlineLevel="0" collapsed="false">
      <c r="A5" s="28" t="s">
        <v>194</v>
      </c>
      <c r="B5" s="43" t="n">
        <f aca="false">01_Inputs!$C$6/01_Inputs!$C$7*01_Inputs!$C$8*01_Inputs!$C$9*01_Inputs!$C$10/1000000</f>
        <v>14.1867457627119</v>
      </c>
      <c r="C5" s="29" t="s">
        <v>82</v>
      </c>
      <c r="D5" s="31" t="s">
        <v>195</v>
      </c>
    </row>
    <row r="6" customFormat="false" ht="15" hidden="false" customHeight="true" outlineLevel="0" collapsed="false">
      <c r="A6" s="28" t="s">
        <v>196</v>
      </c>
      <c r="B6" s="43" t="n">
        <f aca="false">01_Inputs!$C$11</f>
        <v>4.2</v>
      </c>
      <c r="C6" s="29" t="s">
        <v>82</v>
      </c>
      <c r="D6" s="31" t="s">
        <v>197</v>
      </c>
    </row>
    <row r="7" customFormat="false" ht="15" hidden="false" customHeight="true" outlineLevel="0" collapsed="false">
      <c r="A7" s="28" t="s">
        <v>198</v>
      </c>
      <c r="B7" s="44" t="n">
        <f aca="false">B6/B5</f>
        <v>0.296050980982488</v>
      </c>
      <c r="C7" s="29"/>
      <c r="D7" s="31" t="s">
        <v>199</v>
      </c>
    </row>
    <row r="8" customFormat="false" ht="27.75" hidden="false" customHeight="true" outlineLevel="0" collapsed="false">
      <c r="A8" s="45" t="s">
        <v>200</v>
      </c>
      <c r="B8" s="45"/>
      <c r="C8" s="45"/>
      <c r="D8" s="45"/>
    </row>
    <row r="10" customFormat="false" ht="18" hidden="false" customHeight="true" outlineLevel="0" collapsed="false">
      <c r="A10" s="27" t="s">
        <v>201</v>
      </c>
      <c r="B10" s="27"/>
      <c r="C10" s="27"/>
      <c r="D10" s="27"/>
    </row>
    <row r="11" customFormat="false" ht="16.5" hidden="false" customHeight="true" outlineLevel="0" collapsed="false">
      <c r="A11" s="24" t="s">
        <v>192</v>
      </c>
      <c r="B11" s="25" t="s">
        <v>58</v>
      </c>
      <c r="C11" s="25" t="s">
        <v>59</v>
      </c>
      <c r="D11" s="26" t="s">
        <v>193</v>
      </c>
    </row>
    <row r="12" customFormat="false" ht="15" hidden="false" customHeight="true" outlineLevel="0" collapsed="false">
      <c r="A12" s="28" t="s">
        <v>202</v>
      </c>
      <c r="B12" s="43" t="n">
        <f aca="false">01_Inputs!$C$14*01_Inputs!$C$15</f>
        <v>30</v>
      </c>
      <c r="C12" s="29" t="s">
        <v>203</v>
      </c>
      <c r="D12" s="31" t="s">
        <v>204</v>
      </c>
    </row>
    <row r="13" customFormat="false" ht="15" hidden="false" customHeight="true" outlineLevel="0" collapsed="false">
      <c r="A13" s="28" t="s">
        <v>205</v>
      </c>
      <c r="B13" s="46" t="n">
        <f aca="false">B12/(1+01_Inputs!$C$20)^01_Inputs!$C$16</f>
        <v>28.1235737315471</v>
      </c>
      <c r="C13" s="29" t="s">
        <v>113</v>
      </c>
      <c r="D13" s="31" t="s">
        <v>206</v>
      </c>
    </row>
    <row r="14" customFormat="false" ht="15" hidden="false" customHeight="true" outlineLevel="0" collapsed="false">
      <c r="A14" s="28" t="s">
        <v>207</v>
      </c>
      <c r="B14" s="46" t="n">
        <f aca="false">B12/(1+01_Inputs!$C$20)^01_Inputs!$C$17</f>
        <v>26.9382890148919</v>
      </c>
      <c r="C14" s="29" t="s">
        <v>113</v>
      </c>
      <c r="D14" s="31" t="s">
        <v>208</v>
      </c>
    </row>
    <row r="15" customFormat="false" ht="15" hidden="false" customHeight="true" outlineLevel="0" collapsed="false">
      <c r="A15" s="47" t="s">
        <v>209</v>
      </c>
      <c r="B15" s="48" t="n">
        <f aca="false">B13+B14</f>
        <v>55.061862746439</v>
      </c>
      <c r="C15" s="29" t="s">
        <v>113</v>
      </c>
      <c r="D15" s="31" t="s">
        <v>210</v>
      </c>
    </row>
    <row r="16" customFormat="false" ht="27.75" hidden="false" customHeight="true" outlineLevel="0" collapsed="false">
      <c r="A16" s="45" t="s">
        <v>211</v>
      </c>
      <c r="B16" s="45"/>
      <c r="C16" s="45"/>
      <c r="D16" s="45"/>
    </row>
    <row r="18" customFormat="false" ht="18" hidden="false" customHeight="true" outlineLevel="0" collapsed="false">
      <c r="A18" s="27" t="s">
        <v>212</v>
      </c>
      <c r="B18" s="27"/>
      <c r="C18" s="27"/>
      <c r="D18" s="27"/>
    </row>
    <row r="19" customFormat="false" ht="16.5" hidden="false" customHeight="true" outlineLevel="0" collapsed="false">
      <c r="A19" s="24" t="s">
        <v>192</v>
      </c>
      <c r="B19" s="25" t="s">
        <v>58</v>
      </c>
      <c r="C19" s="25" t="s">
        <v>59</v>
      </c>
      <c r="D19" s="26" t="s">
        <v>193</v>
      </c>
    </row>
    <row r="20" customFormat="false" ht="15" hidden="false" customHeight="true" outlineLevel="0" collapsed="false">
      <c r="A20" s="28" t="s">
        <v>213</v>
      </c>
      <c r="B20" s="43" t="n">
        <f aca="false">01_Inputs!$C$18*01_Inputs!$C$15</f>
        <v>450</v>
      </c>
      <c r="C20" s="29" t="s">
        <v>113</v>
      </c>
      <c r="D20" s="31" t="s">
        <v>214</v>
      </c>
    </row>
    <row r="21" customFormat="false" ht="15" hidden="false" customHeight="true" outlineLevel="0" collapsed="false">
      <c r="A21" s="47" t="s">
        <v>215</v>
      </c>
      <c r="B21" s="48" t="n">
        <f aca="false">B20*(1-EXP(-01_Inputs!$C$20*01_Inputs!$C$19))</f>
        <v>37.9076054745035</v>
      </c>
      <c r="C21" s="29" t="s">
        <v>113</v>
      </c>
      <c r="D21" s="31" t="s">
        <v>216</v>
      </c>
    </row>
  </sheetData>
  <mergeCells count="3">
    <mergeCell ref="A1:D1"/>
    <mergeCell ref="A8:D8"/>
    <mergeCell ref="A16:D16"/>
  </mergeCells>
  <hyperlinks>
    <hyperlink ref="E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(v39)&amp;R&amp;"Arial,Regular"&amp;8 &amp;A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4"/>
    <col collapsed="false" customWidth="true" hidden="false" outlineLevel="0" max="5" min="5" style="0" width="16"/>
    <col collapsed="false" customWidth="true" hidden="false" outlineLevel="0" max="6" min="6" style="0" width="50"/>
    <col collapsed="false" customWidth="true" hidden="false" outlineLevel="0" max="7" min="7" style="0" width="11"/>
  </cols>
  <sheetData>
    <row r="1" customFormat="false" ht="39.75" hidden="false" customHeight="true" outlineLevel="0" collapsed="false">
      <c r="A1" s="21" t="s">
        <v>217</v>
      </c>
      <c r="B1" s="21"/>
      <c r="C1" s="21"/>
      <c r="D1" s="21"/>
      <c r="E1" s="21"/>
      <c r="F1" s="21"/>
      <c r="G1" s="22" t="s">
        <v>55</v>
      </c>
      <c r="H1" s="23"/>
    </row>
    <row r="2" customFormat="false" ht="7.5" hidden="false" customHeight="true" outlineLevel="0" collapsed="false"/>
    <row r="3" customFormat="false" ht="18" hidden="false" customHeight="true" outlineLevel="0" collapsed="false">
      <c r="A3" s="27" t="s">
        <v>218</v>
      </c>
      <c r="B3" s="27"/>
      <c r="C3" s="27"/>
      <c r="D3" s="27"/>
      <c r="E3" s="27"/>
      <c r="F3" s="27"/>
    </row>
    <row r="4" customFormat="false" ht="39.75" hidden="false" customHeight="true" outlineLevel="0" collapsed="false">
      <c r="A4" s="45" t="s">
        <v>219</v>
      </c>
      <c r="B4" s="45"/>
      <c r="C4" s="45"/>
      <c r="D4" s="45"/>
      <c r="E4" s="45"/>
      <c r="F4" s="45"/>
    </row>
    <row r="5" customFormat="false" ht="27.75" hidden="false" customHeight="true" outlineLevel="0" collapsed="false">
      <c r="A5" s="24" t="s">
        <v>220</v>
      </c>
      <c r="B5" s="25" t="s">
        <v>163</v>
      </c>
      <c r="C5" s="25" t="s">
        <v>221</v>
      </c>
      <c r="D5" s="25" t="s">
        <v>222</v>
      </c>
      <c r="E5" s="25" t="s">
        <v>223</v>
      </c>
      <c r="F5" s="26" t="s">
        <v>224</v>
      </c>
    </row>
    <row r="6" customFormat="false" ht="15" hidden="false" customHeight="true" outlineLevel="0" collapsed="false">
      <c r="A6" s="28" t="s">
        <v>225</v>
      </c>
      <c r="B6" s="49" t="n">
        <f aca="false">01_Inputs!$C$58</f>
        <v>0.057</v>
      </c>
      <c r="C6" s="49" t="n">
        <f aca="false">01_Inputs!$C$56*B6+01_Inputs!$C$57*(1-B6)</f>
        <v>1.41777</v>
      </c>
      <c r="D6" s="50" t="n">
        <f aca="false">01_Inputs!$C$62</f>
        <v>1.42</v>
      </c>
      <c r="E6" s="51" t="n">
        <f aca="false">(D6-1)/(D$6-1)-1</f>
        <v>0</v>
      </c>
      <c r="F6" s="31" t="s">
        <v>226</v>
      </c>
    </row>
    <row r="7" customFormat="false" ht="15" hidden="false" customHeight="true" outlineLevel="0" collapsed="false">
      <c r="A7" s="28" t="s">
        <v>227</v>
      </c>
      <c r="B7" s="49" t="n">
        <f aca="false">01_Inputs!$C$59</f>
        <v>0.594</v>
      </c>
      <c r="C7" s="49" t="n">
        <f aca="false">01_Inputs!$C$56*B7+01_Inputs!$C$57*(1-B7)</f>
        <v>1.20834</v>
      </c>
      <c r="D7" s="50" t="n">
        <f aca="false">01_Inputs!$C$63</f>
        <v>1.21</v>
      </c>
      <c r="E7" s="51" t="n">
        <f aca="false">(D7-1)/(D$6-1)-1</f>
        <v>-0.5</v>
      </c>
      <c r="F7" s="31" t="s">
        <v>228</v>
      </c>
    </row>
    <row r="8" customFormat="false" ht="15" hidden="false" customHeight="true" outlineLevel="0" collapsed="false">
      <c r="A8" s="28" t="s">
        <v>229</v>
      </c>
      <c r="B8" s="49" t="n">
        <f aca="false">01_Inputs!$C$60</f>
        <v>0.89</v>
      </c>
      <c r="C8" s="49" t="n">
        <f aca="false">01_Inputs!$C$56*B8+01_Inputs!$C$57*(1-B8)</f>
        <v>1.0929</v>
      </c>
      <c r="D8" s="50" t="n">
        <f aca="false">01_Inputs!$C$64</f>
        <v>1.1</v>
      </c>
      <c r="E8" s="51" t="n">
        <f aca="false">(D8-1)/(D$6-1)-1</f>
        <v>-0.761904761904762</v>
      </c>
      <c r="F8" s="31" t="s">
        <v>230</v>
      </c>
    </row>
    <row r="9" customFormat="false" ht="15" hidden="false" customHeight="true" outlineLevel="0" collapsed="false">
      <c r="A9" s="28" t="s">
        <v>231</v>
      </c>
      <c r="B9" s="49" t="n">
        <f aca="false">01_Inputs!$C$61</f>
        <v>0.959</v>
      </c>
      <c r="C9" s="49" t="n">
        <f aca="false">01_Inputs!$C$56*B9+01_Inputs!$C$57*(1-B9)</f>
        <v>1.06599</v>
      </c>
      <c r="D9" s="50" t="n">
        <f aca="false">01_Inputs!$C$65</f>
        <v>1.07</v>
      </c>
      <c r="E9" s="51" t="n">
        <f aca="false">(D9-1)/(D$6-1)-1</f>
        <v>-0.833333333333333</v>
      </c>
      <c r="F9" s="31" t="s">
        <v>232</v>
      </c>
    </row>
    <row r="11" customFormat="false" ht="18" hidden="false" customHeight="true" outlineLevel="0" collapsed="false">
      <c r="A11" s="27" t="s">
        <v>233</v>
      </c>
      <c r="B11" s="27"/>
      <c r="C11" s="27"/>
      <c r="D11" s="27"/>
      <c r="E11" s="27"/>
      <c r="F11" s="27"/>
    </row>
    <row r="12" customFormat="false" ht="16.5" hidden="false" customHeight="true" outlineLevel="0" collapsed="false">
      <c r="A12" s="24" t="s">
        <v>192</v>
      </c>
      <c r="B12" s="25" t="s">
        <v>58</v>
      </c>
      <c r="C12" s="25" t="s">
        <v>59</v>
      </c>
      <c r="D12" s="25"/>
      <c r="E12" s="25"/>
      <c r="F12" s="26" t="s">
        <v>193</v>
      </c>
    </row>
    <row r="13" customFormat="false" ht="15" hidden="false" customHeight="true" outlineLevel="0" collapsed="false">
      <c r="A13" s="28" t="s">
        <v>234</v>
      </c>
      <c r="B13" s="52" t="n">
        <f aca="false">01_Inputs!$C$66</f>
        <v>7</v>
      </c>
      <c r="C13" s="29" t="s">
        <v>88</v>
      </c>
      <c r="D13" s="29"/>
      <c r="E13" s="29"/>
      <c r="F13" s="31" t="s">
        <v>235</v>
      </c>
    </row>
    <row r="14" customFormat="false" ht="15" hidden="false" customHeight="true" outlineLevel="0" collapsed="false">
      <c r="A14" s="28" t="s">
        <v>236</v>
      </c>
      <c r="B14" s="50" t="n">
        <f aca="false">D6-D8</f>
        <v>0.32</v>
      </c>
      <c r="C14" s="29"/>
      <c r="D14" s="29"/>
      <c r="E14" s="29"/>
      <c r="F14" s="31" t="s">
        <v>237</v>
      </c>
    </row>
    <row r="15" customFormat="false" ht="15" hidden="false" customHeight="true" outlineLevel="0" collapsed="false">
      <c r="A15" s="28" t="s">
        <v>238</v>
      </c>
      <c r="B15" s="53" t="n">
        <f aca="false">B13*01_Inputs!$C$9*B14</f>
        <v>19622.4</v>
      </c>
      <c r="C15" s="29" t="s">
        <v>239</v>
      </c>
      <c r="D15" s="29"/>
      <c r="E15" s="29"/>
      <c r="F15" s="31" t="s">
        <v>240</v>
      </c>
    </row>
    <row r="16" customFormat="false" ht="15" hidden="false" customHeight="true" outlineLevel="0" collapsed="false">
      <c r="A16" s="28" t="s">
        <v>175</v>
      </c>
      <c r="B16" s="54" t="n">
        <f aca="false">01_Inputs!$C$67</f>
        <v>31.6</v>
      </c>
      <c r="C16" s="29" t="s">
        <v>176</v>
      </c>
      <c r="D16" s="29"/>
      <c r="E16" s="29"/>
      <c r="F16" s="31" t="s">
        <v>241</v>
      </c>
    </row>
    <row r="17" customFormat="false" ht="15" hidden="false" customHeight="true" outlineLevel="0" collapsed="false">
      <c r="A17" s="47" t="s">
        <v>242</v>
      </c>
      <c r="B17" s="55" t="n">
        <f aca="false">B15*B16/1000</f>
        <v>620.06784</v>
      </c>
      <c r="C17" s="29" t="s">
        <v>243</v>
      </c>
      <c r="D17" s="29"/>
      <c r="E17" s="29"/>
      <c r="F17" s="31" t="s">
        <v>244</v>
      </c>
    </row>
  </sheetData>
  <mergeCells count="2">
    <mergeCell ref="A1:F1"/>
    <mergeCell ref="A4:F4"/>
  </mergeCells>
  <hyperlinks>
    <hyperlink ref="G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(v39)&amp;R&amp;"Arial,Regular"&amp;8 &amp;A |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2"/>
    <col collapsed="false" customWidth="true" hidden="false" outlineLevel="0" max="4" min="4" style="0" width="70"/>
    <col collapsed="false" customWidth="true" hidden="false" outlineLevel="0" max="5" min="5" style="0" width="11"/>
  </cols>
  <sheetData>
    <row r="1" customFormat="false" ht="39.75" hidden="false" customHeight="true" outlineLevel="0" collapsed="false">
      <c r="A1" s="21" t="s">
        <v>245</v>
      </c>
      <c r="B1" s="21"/>
      <c r="C1" s="21"/>
      <c r="D1" s="21"/>
      <c r="E1" s="22" t="s">
        <v>55</v>
      </c>
      <c r="F1" s="23"/>
    </row>
    <row r="2" customFormat="false" ht="7.5" hidden="false" customHeight="true" outlineLevel="0" collapsed="false"/>
    <row r="3" customFormat="false" ht="18" hidden="false" customHeight="true" outlineLevel="0" collapsed="false">
      <c r="A3" s="27" t="s">
        <v>246</v>
      </c>
      <c r="B3" s="27"/>
      <c r="C3" s="27"/>
      <c r="D3" s="27"/>
    </row>
    <row r="4" customFormat="false" ht="16.5" hidden="false" customHeight="true" outlineLevel="0" collapsed="false">
      <c r="A4" s="24" t="s">
        <v>247</v>
      </c>
      <c r="B4" s="25" t="s">
        <v>58</v>
      </c>
      <c r="C4" s="25" t="s">
        <v>59</v>
      </c>
      <c r="D4" s="26" t="s">
        <v>248</v>
      </c>
    </row>
    <row r="5" customFormat="false" ht="15" hidden="false" customHeight="true" outlineLevel="0" collapsed="false">
      <c r="A5" s="28" t="s">
        <v>209</v>
      </c>
      <c r="B5" s="46" t="n">
        <f aca="false">05_Unit_Economics!$B$15</f>
        <v>55.061862746439</v>
      </c>
      <c r="C5" s="29" t="s">
        <v>113</v>
      </c>
      <c r="D5" s="31" t="s">
        <v>38</v>
      </c>
    </row>
    <row r="6" customFormat="false" ht="15" hidden="false" customHeight="true" outlineLevel="0" collapsed="false">
      <c r="A6" s="28" t="s">
        <v>215</v>
      </c>
      <c r="B6" s="46" t="n">
        <f aca="false">05_Unit_Economics!$B$21</f>
        <v>37.9076054745035</v>
      </c>
      <c r="C6" s="29" t="s">
        <v>113</v>
      </c>
      <c r="D6" s="31" t="s">
        <v>38</v>
      </c>
    </row>
    <row r="7" customFormat="false" ht="15" hidden="false" customHeight="true" outlineLevel="0" collapsed="false">
      <c r="A7" s="28" t="s">
        <v>249</v>
      </c>
      <c r="B7" s="56" t="n">
        <f aca="false">01_Inputs!$C$20</f>
        <v>0.044</v>
      </c>
      <c r="C7" s="29" t="s">
        <v>102</v>
      </c>
      <c r="D7" s="31" t="s">
        <v>36</v>
      </c>
    </row>
    <row r="8" customFormat="false" ht="15" hidden="false" customHeight="true" outlineLevel="0" collapsed="false">
      <c r="A8" s="28" t="s">
        <v>250</v>
      </c>
      <c r="B8" s="44" t="n">
        <f aca="false">01_Inputs!$C$21</f>
        <v>0.35</v>
      </c>
      <c r="C8" s="29" t="s">
        <v>102</v>
      </c>
      <c r="D8" s="31" t="s">
        <v>36</v>
      </c>
    </row>
    <row r="9" customFormat="false" ht="15" hidden="false" customHeight="true" outlineLevel="0" collapsed="false">
      <c r="A9" s="28" t="s">
        <v>251</v>
      </c>
      <c r="B9" s="50" t="n">
        <f aca="false">01_Inputs!$C$22</f>
        <v>1</v>
      </c>
      <c r="C9" s="29" t="s">
        <v>92</v>
      </c>
      <c r="D9" s="31" t="s">
        <v>36</v>
      </c>
    </row>
    <row r="10" customFormat="false" ht="27.75" hidden="false" customHeight="true" outlineLevel="0" collapsed="false">
      <c r="A10" s="45" t="s">
        <v>252</v>
      </c>
      <c r="B10" s="45"/>
      <c r="C10" s="45"/>
      <c r="D10" s="45"/>
    </row>
    <row r="12" customFormat="false" ht="18" hidden="false" customHeight="true" outlineLevel="0" collapsed="false">
      <c r="A12" s="27" t="s">
        <v>253</v>
      </c>
      <c r="B12" s="27"/>
      <c r="C12" s="27"/>
      <c r="D12" s="27"/>
    </row>
    <row r="13" customFormat="false" ht="16.5" hidden="false" customHeight="true" outlineLevel="0" collapsed="false">
      <c r="A13" s="24" t="s">
        <v>254</v>
      </c>
      <c r="B13" s="25" t="s">
        <v>58</v>
      </c>
      <c r="C13" s="25" t="s">
        <v>59</v>
      </c>
      <c r="D13" s="26" t="s">
        <v>255</v>
      </c>
    </row>
    <row r="14" customFormat="false" ht="15" hidden="false" customHeight="true" outlineLevel="0" collapsed="false">
      <c r="A14" s="28" t="s">
        <v>256</v>
      </c>
      <c r="B14" s="57" t="n">
        <f aca="false">LN(B5/B6)</f>
        <v>0.37330556624559</v>
      </c>
      <c r="C14" s="29"/>
      <c r="D14" s="31" t="s">
        <v>257</v>
      </c>
    </row>
    <row r="15" customFormat="false" ht="15" hidden="false" customHeight="true" outlineLevel="0" collapsed="false">
      <c r="A15" s="28" t="s">
        <v>258</v>
      </c>
      <c r="B15" s="58" t="n">
        <f aca="false">(B7+B8^2/2)*B9</f>
        <v>0.10525</v>
      </c>
      <c r="C15" s="29"/>
      <c r="D15" s="31" t="s">
        <v>259</v>
      </c>
    </row>
    <row r="16" customFormat="false" ht="15" hidden="false" customHeight="true" outlineLevel="0" collapsed="false">
      <c r="A16" s="28" t="s">
        <v>260</v>
      </c>
      <c r="B16" s="57" t="n">
        <f aca="false">B8*SQRT(B9)</f>
        <v>0.35</v>
      </c>
      <c r="C16" s="29"/>
      <c r="D16" s="31"/>
    </row>
    <row r="17" customFormat="false" ht="15" hidden="false" customHeight="true" outlineLevel="0" collapsed="false">
      <c r="A17" s="28" t="s">
        <v>261</v>
      </c>
      <c r="B17" s="57" t="n">
        <f aca="false">(B14+B15)/B16</f>
        <v>1.36730161784454</v>
      </c>
      <c r="C17" s="29"/>
      <c r="D17" s="31" t="s">
        <v>262</v>
      </c>
    </row>
    <row r="18" customFormat="false" ht="15" hidden="false" customHeight="true" outlineLevel="0" collapsed="false">
      <c r="A18" s="28" t="s">
        <v>263</v>
      </c>
      <c r="B18" s="57" t="n">
        <f aca="false">B17-B16</f>
        <v>1.01730161784454</v>
      </c>
      <c r="C18" s="29"/>
      <c r="D18" s="31" t="s">
        <v>264</v>
      </c>
    </row>
    <row r="19" customFormat="false" ht="15" hidden="false" customHeight="true" outlineLevel="0" collapsed="false">
      <c r="A19" s="28" t="s">
        <v>265</v>
      </c>
      <c r="B19" s="57" t="n">
        <f aca="false">NORMSDIST(B17)</f>
        <v>0.914234607591445</v>
      </c>
      <c r="C19" s="29"/>
      <c r="D19" s="31" t="s">
        <v>266</v>
      </c>
    </row>
    <row r="20" customFormat="false" ht="15" hidden="false" customHeight="true" outlineLevel="0" collapsed="false">
      <c r="A20" s="28" t="s">
        <v>267</v>
      </c>
      <c r="B20" s="57" t="n">
        <f aca="false">NORMSDIST(B18)</f>
        <v>0.845495016392475</v>
      </c>
      <c r="C20" s="29"/>
      <c r="D20" s="31" t="s">
        <v>268</v>
      </c>
    </row>
    <row r="21" customFormat="false" ht="15" hidden="false" customHeight="true" outlineLevel="0" collapsed="false">
      <c r="A21" s="28" t="s">
        <v>269</v>
      </c>
      <c r="B21" s="46" t="n">
        <f aca="false">B6*EXP(-B7*B9)</f>
        <v>36.275833077153</v>
      </c>
      <c r="C21" s="29" t="s">
        <v>113</v>
      </c>
      <c r="D21" s="31" t="s">
        <v>270</v>
      </c>
    </row>
    <row r="22" customFormat="false" ht="15" hidden="false" customHeight="true" outlineLevel="0" collapsed="false">
      <c r="A22" s="47" t="s">
        <v>271</v>
      </c>
      <c r="B22" s="48" t="n">
        <f aca="false">B5*B19-B21*B20</f>
        <v>19.6684243990264</v>
      </c>
      <c r="C22" s="29" t="s">
        <v>113</v>
      </c>
      <c r="D22" s="31" t="s">
        <v>272</v>
      </c>
    </row>
    <row r="24" customFormat="false" ht="18" hidden="false" customHeight="true" outlineLevel="0" collapsed="false">
      <c r="A24" s="27" t="s">
        <v>273</v>
      </c>
      <c r="B24" s="27"/>
      <c r="C24" s="27"/>
      <c r="D24" s="27"/>
    </row>
    <row r="25" customFormat="false" ht="16.5" hidden="false" customHeight="true" outlineLevel="0" collapsed="false">
      <c r="A25" s="24" t="s">
        <v>192</v>
      </c>
      <c r="B25" s="25" t="s">
        <v>58</v>
      </c>
      <c r="C25" s="25" t="s">
        <v>59</v>
      </c>
      <c r="D25" s="26" t="s">
        <v>224</v>
      </c>
    </row>
    <row r="26" customFormat="false" ht="15" hidden="false" customHeight="true" outlineLevel="0" collapsed="false">
      <c r="A26" s="28" t="s">
        <v>274</v>
      </c>
      <c r="B26" s="46" t="n">
        <f aca="false">B5-B21</f>
        <v>18.7860296692859</v>
      </c>
      <c r="C26" s="29" t="s">
        <v>113</v>
      </c>
      <c r="D26" s="31" t="s">
        <v>275</v>
      </c>
    </row>
    <row r="27" customFormat="false" ht="26.25" hidden="false" customHeight="true" outlineLevel="0" collapsed="false">
      <c r="A27" s="28" t="s">
        <v>276</v>
      </c>
      <c r="B27" s="46" t="n">
        <f aca="false">B22-B26</f>
        <v>0.882394729740501</v>
      </c>
      <c r="C27" s="29" t="s">
        <v>113</v>
      </c>
      <c r="D27" s="41" t="s">
        <v>277</v>
      </c>
    </row>
    <row r="28" customFormat="false" ht="15" hidden="false" customHeight="true" outlineLevel="0" collapsed="false">
      <c r="A28" s="28" t="s">
        <v>278</v>
      </c>
      <c r="B28" s="44" t="n">
        <f aca="false">B26/B22</f>
        <v>0.955136481100938</v>
      </c>
      <c r="C28" s="29"/>
      <c r="D28" s="31"/>
    </row>
    <row r="30" customFormat="false" ht="18" hidden="false" customHeight="true" outlineLevel="0" collapsed="false">
      <c r="A30" s="27" t="s">
        <v>279</v>
      </c>
      <c r="B30" s="27"/>
      <c r="C30" s="27"/>
      <c r="D30" s="27"/>
    </row>
    <row r="31" customFormat="false" ht="16.5" hidden="false" customHeight="true" outlineLevel="0" collapsed="false">
      <c r="A31" s="24" t="s">
        <v>192</v>
      </c>
      <c r="B31" s="25" t="s">
        <v>58</v>
      </c>
      <c r="C31" s="25" t="s">
        <v>59</v>
      </c>
      <c r="D31" s="26" t="s">
        <v>224</v>
      </c>
    </row>
    <row r="32" customFormat="false" ht="15" hidden="false" customHeight="true" outlineLevel="0" collapsed="false">
      <c r="A32" s="28" t="s">
        <v>280</v>
      </c>
      <c r="B32" s="52" t="n">
        <f aca="false">01_Inputs!$C$23</f>
        <v>16</v>
      </c>
      <c r="C32" s="29" t="s">
        <v>110</v>
      </c>
      <c r="D32" s="31" t="s">
        <v>36</v>
      </c>
    </row>
    <row r="33" customFormat="false" ht="15" hidden="false" customHeight="true" outlineLevel="0" collapsed="false">
      <c r="A33" s="47" t="s">
        <v>281</v>
      </c>
      <c r="B33" s="59" t="n">
        <f aca="false">B22*B32</f>
        <v>314.694790384423</v>
      </c>
      <c r="C33" s="29" t="s">
        <v>113</v>
      </c>
      <c r="D33" s="31" t="s">
        <v>282</v>
      </c>
    </row>
    <row r="34" customFormat="false" ht="15" hidden="false" customHeight="true" outlineLevel="0" collapsed="false">
      <c r="A34" s="28" t="s">
        <v>112</v>
      </c>
      <c r="B34" s="43" t="n">
        <f aca="false">-01_Inputs!$C$24</f>
        <v>-8</v>
      </c>
      <c r="C34" s="29" t="s">
        <v>113</v>
      </c>
      <c r="D34" s="31" t="s">
        <v>283</v>
      </c>
    </row>
    <row r="35" customFormat="false" ht="15" hidden="false" customHeight="true" outlineLevel="0" collapsed="false">
      <c r="A35" s="28" t="s">
        <v>284</v>
      </c>
      <c r="B35" s="44" t="n">
        <f aca="false">-B34/B33</f>
        <v>0.0254214567398063</v>
      </c>
      <c r="C35" s="29"/>
      <c r="D35" s="31"/>
    </row>
    <row r="36" customFormat="false" ht="15" hidden="false" customHeight="true" outlineLevel="0" collapsed="false">
      <c r="A36" s="47" t="s">
        <v>285</v>
      </c>
      <c r="B36" s="59" t="n">
        <f aca="false">B33+B34</f>
        <v>306.694790384423</v>
      </c>
      <c r="C36" s="29" t="s">
        <v>113</v>
      </c>
      <c r="D36" s="31" t="s">
        <v>286</v>
      </c>
    </row>
  </sheetData>
  <mergeCells count="2">
    <mergeCell ref="A1:D1"/>
    <mergeCell ref="A10:D10"/>
  </mergeCells>
  <hyperlinks>
    <hyperlink ref="E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(v39)&amp;R&amp;"Arial,Regular"&amp;8 &amp;A |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1"/>
    <col collapsed="false" customWidth="true" hidden="false" outlineLevel="0" max="8" min="4" style="0" width="12"/>
    <col collapsed="false" customWidth="true" hidden="false" outlineLevel="0" max="9" min="9" style="0" width="13"/>
    <col collapsed="false" customWidth="true" hidden="false" outlineLevel="0" max="10" min="10" style="0" width="46"/>
    <col collapsed="false" customWidth="true" hidden="false" outlineLevel="0" max="11" min="11" style="0" width="11"/>
  </cols>
  <sheetData>
    <row r="1" customFormat="false" ht="39.75" hidden="false" customHeight="true" outlineLevel="0" collapsed="false">
      <c r="A1" s="21" t="s">
        <v>287</v>
      </c>
      <c r="B1" s="21"/>
      <c r="C1" s="21"/>
      <c r="D1" s="21"/>
      <c r="E1" s="21"/>
      <c r="F1" s="21"/>
      <c r="G1" s="21"/>
      <c r="H1" s="21"/>
      <c r="I1" s="21"/>
      <c r="J1" s="21"/>
      <c r="K1" s="22" t="s">
        <v>55</v>
      </c>
      <c r="L1" s="23"/>
    </row>
    <row r="2" customFormat="false" ht="7.5" hidden="false" customHeight="true" outlineLevel="0" collapsed="false"/>
    <row r="3" customFormat="false" ht="18" hidden="false" customHeight="true" outlineLevel="0" collapsed="false">
      <c r="A3" s="27" t="s">
        <v>288</v>
      </c>
      <c r="B3" s="27"/>
      <c r="C3" s="27"/>
      <c r="D3" s="27"/>
      <c r="E3" s="27"/>
      <c r="F3" s="27"/>
      <c r="G3" s="27"/>
      <c r="H3" s="27"/>
      <c r="I3" s="27"/>
      <c r="J3" s="27"/>
    </row>
    <row r="4" customFormat="false" ht="16.5" hidden="false" customHeight="true" outlineLevel="0" collapsed="false">
      <c r="A4" s="24" t="s">
        <v>192</v>
      </c>
      <c r="B4" s="25" t="s">
        <v>58</v>
      </c>
      <c r="C4" s="25" t="s">
        <v>59</v>
      </c>
      <c r="D4" s="25"/>
      <c r="E4" s="25"/>
      <c r="F4" s="25"/>
      <c r="G4" s="25"/>
      <c r="H4" s="25"/>
      <c r="I4" s="25"/>
      <c r="J4" s="26" t="s">
        <v>193</v>
      </c>
    </row>
    <row r="5" customFormat="false" ht="15" hidden="false" customHeight="true" outlineLevel="0" collapsed="false">
      <c r="A5" s="28" t="s">
        <v>289</v>
      </c>
      <c r="B5" s="46" t="n">
        <f aca="false">01_Inputs!$C$28/01_Inputs!$C$9</f>
        <v>20.5479452054795</v>
      </c>
      <c r="C5" s="29" t="s">
        <v>92</v>
      </c>
      <c r="D5" s="29"/>
      <c r="E5" s="29"/>
      <c r="F5" s="29"/>
      <c r="G5" s="29"/>
      <c r="H5" s="29"/>
      <c r="I5" s="29"/>
      <c r="J5" s="31" t="s">
        <v>290</v>
      </c>
    </row>
    <row r="6" customFormat="false" ht="15" hidden="false" customHeight="true" outlineLevel="0" collapsed="false">
      <c r="A6" s="28" t="s">
        <v>291</v>
      </c>
      <c r="B6" s="49" t="n">
        <f aca="false">(1-(1+01_Inputs!$C$32)^-01_Inputs!$C$33)/01_Inputs!$C$32</f>
        <v>9.81814740744929</v>
      </c>
      <c r="C6" s="29" t="s">
        <v>292</v>
      </c>
      <c r="D6" s="29"/>
      <c r="E6" s="29"/>
      <c r="F6" s="29"/>
      <c r="G6" s="29"/>
      <c r="H6" s="29"/>
      <c r="I6" s="29"/>
      <c r="J6" s="31" t="s">
        <v>293</v>
      </c>
    </row>
    <row r="7" customFormat="false" ht="26.25" hidden="false" customHeight="true" outlineLevel="0" collapsed="false">
      <c r="A7" s="35" t="s">
        <v>294</v>
      </c>
      <c r="B7" s="43" t="n">
        <f aca="false">01_Inputs!$C$34*01_Inputs!$C$27*1000</f>
        <v>27.6</v>
      </c>
      <c r="C7" s="29" t="s">
        <v>243</v>
      </c>
      <c r="D7" s="29"/>
      <c r="E7" s="29"/>
      <c r="F7" s="29"/>
      <c r="G7" s="29"/>
      <c r="H7" s="29"/>
      <c r="I7" s="29"/>
      <c r="J7" s="31" t="s">
        <v>295</v>
      </c>
    </row>
    <row r="9" customFormat="false" ht="18" hidden="false" customHeight="true" outlineLevel="0" collapsed="false">
      <c r="A9" s="27" t="s">
        <v>296</v>
      </c>
      <c r="B9" s="27"/>
      <c r="C9" s="27"/>
      <c r="D9" s="27"/>
      <c r="E9" s="27"/>
      <c r="F9" s="27"/>
      <c r="G9" s="27"/>
      <c r="H9" s="27"/>
      <c r="I9" s="27"/>
      <c r="J9" s="27"/>
    </row>
    <row r="10" customFormat="false" ht="39" hidden="false" customHeight="true" outlineLevel="0" collapsed="false">
      <c r="A10" s="24" t="s">
        <v>220</v>
      </c>
      <c r="B10" s="25" t="s">
        <v>297</v>
      </c>
      <c r="C10" s="25" t="s">
        <v>298</v>
      </c>
      <c r="D10" s="25" t="s">
        <v>299</v>
      </c>
      <c r="E10" s="25" t="s">
        <v>300</v>
      </c>
      <c r="F10" s="25" t="s">
        <v>301</v>
      </c>
      <c r="G10" s="25" t="s">
        <v>302</v>
      </c>
      <c r="H10" s="25" t="s">
        <v>303</v>
      </c>
      <c r="I10" s="25" t="s">
        <v>304</v>
      </c>
      <c r="J10" s="26" t="s">
        <v>305</v>
      </c>
    </row>
    <row r="11" customFormat="false" ht="15" hidden="false" customHeight="true" outlineLevel="0" collapsed="false">
      <c r="A11" s="28" t="s">
        <v>306</v>
      </c>
      <c r="B11" s="54" t="n">
        <f aca="false">01_Inputs!$C$38</f>
        <v>13</v>
      </c>
      <c r="C11" s="54" t="n">
        <f aca="false">B11+01_Inputs!$C$30</f>
        <v>93</v>
      </c>
      <c r="D11" s="49" t="n">
        <f aca="false">EXP(01_Inputs!$C$31*(1/383-1/(C11+273)))</f>
        <v>0.162169094362964</v>
      </c>
      <c r="E11" s="49" t="n">
        <f aca="false">01_Inputs!$C$39</f>
        <v>0.237</v>
      </c>
      <c r="F11" s="50" t="n">
        <f aca="false">E11/$E$11</f>
        <v>1</v>
      </c>
      <c r="G11" s="54" t="n">
        <f aca="false">$B$5/E11</f>
        <v>86.7001907404196</v>
      </c>
      <c r="H11" s="54" t="n">
        <f aca="false">1/(1/G11+1/01_Inputs!$C$29)</f>
        <v>29.6241680546138</v>
      </c>
      <c r="I11" s="53" t="n">
        <f aca="false">01_Inputs!$C$27/H11*1000</f>
        <v>310.557244444444</v>
      </c>
      <c r="J11" s="60" t="n">
        <f aca="false">($I$11-I11)/1000*$B$6</f>
        <v>0</v>
      </c>
    </row>
    <row r="12" customFormat="false" ht="15" hidden="false" customHeight="true" outlineLevel="0" collapsed="false">
      <c r="A12" s="28" t="s">
        <v>307</v>
      </c>
      <c r="B12" s="54" t="n">
        <f aca="false">01_Inputs!$C$40</f>
        <v>19.6</v>
      </c>
      <c r="C12" s="54" t="n">
        <f aca="false">B12+01_Inputs!$C$30</f>
        <v>99.6</v>
      </c>
      <c r="D12" s="49" t="n">
        <f aca="false">EXP(01_Inputs!$C$31*(1/383-1/(C12+273)))</f>
        <v>0.335156366065743</v>
      </c>
      <c r="E12" s="49" t="n">
        <f aca="false">01_Inputs!$C$41</f>
        <v>0.464</v>
      </c>
      <c r="F12" s="50" t="n">
        <f aca="false">E12/$E$11</f>
        <v>1.957805907173</v>
      </c>
      <c r="G12" s="54" t="n">
        <f aca="false">$B$5/E12</f>
        <v>44.2843646669816</v>
      </c>
      <c r="H12" s="54" t="n">
        <f aca="false">1/(1/G12+1/01_Inputs!$C$29)</f>
        <v>22.3196571700659</v>
      </c>
      <c r="I12" s="53" t="n">
        <f aca="false">01_Inputs!$C$27/H12*1000</f>
        <v>412.192711111111</v>
      </c>
      <c r="J12" s="60" t="n">
        <f aca="false">($I$11-I12)/1000*$B$6</f>
        <v>-0.997871993558233</v>
      </c>
    </row>
    <row r="13" customFormat="false" ht="15" hidden="false" customHeight="true" outlineLevel="0" collapsed="false">
      <c r="A13" s="28" t="s">
        <v>225</v>
      </c>
      <c r="B13" s="54" t="n">
        <f aca="false">01_Inputs!$C$42</f>
        <v>25.3</v>
      </c>
      <c r="C13" s="54" t="n">
        <f aca="false">B13+01_Inputs!$C$30</f>
        <v>105.3</v>
      </c>
      <c r="D13" s="49" t="n">
        <f aca="false">EXP(01_Inputs!$C$31*(1/383-1/(C13+273)))</f>
        <v>0.614725337092974</v>
      </c>
      <c r="E13" s="49" t="n">
        <f aca="false">01_Inputs!$C$43</f>
        <v>0.645</v>
      </c>
      <c r="F13" s="50" t="n">
        <f aca="false">E13/$E$11</f>
        <v>2.72151898734177</v>
      </c>
      <c r="G13" s="54" t="n">
        <f aca="false">$B$5/E13</f>
        <v>31.8572793883402</v>
      </c>
      <c r="H13" s="54" t="n">
        <f aca="false">1/(1/G13+1/01_Inputs!$C$29)</f>
        <v>18.6524631613853</v>
      </c>
      <c r="I13" s="53" t="n">
        <f aca="false">01_Inputs!$C$27/H13*1000</f>
        <v>493.232444444444</v>
      </c>
      <c r="J13" s="60" t="n">
        <f aca="false">($I$11-I13)/1000*$B$6</f>
        <v>-1.79353204128528</v>
      </c>
    </row>
    <row r="14" customFormat="false" ht="15" hidden="false" customHeight="true" outlineLevel="0" collapsed="false">
      <c r="A14" s="28" t="s">
        <v>308</v>
      </c>
      <c r="B14" s="54" t="n">
        <f aca="false">01_Inputs!$C$44</f>
        <v>24</v>
      </c>
      <c r="C14" s="54" t="n">
        <f aca="false">B14+01_Inputs!$C$30</f>
        <v>104</v>
      </c>
      <c r="D14" s="49" t="n">
        <f aca="false">EXP(01_Inputs!$C$31*(1/383-1/(C14+273)))</f>
        <v>0.536168100432888</v>
      </c>
      <c r="E14" s="49" t="n">
        <f aca="false">01_Inputs!$C$45</f>
        <v>0.74</v>
      </c>
      <c r="F14" s="50" t="n">
        <f aca="false">E14/$E$11</f>
        <v>3.12236286919831</v>
      </c>
      <c r="G14" s="54" t="n">
        <f aca="false">$B$5/E14</f>
        <v>27.7674935209182</v>
      </c>
      <c r="H14" s="54" t="n">
        <f aca="false">1/(1/G14+1/01_Inputs!$C$29)</f>
        <v>17.1716400824239</v>
      </c>
      <c r="I14" s="53" t="n">
        <f aca="false">01_Inputs!$C$27/H14*1000</f>
        <v>535.767111111111</v>
      </c>
      <c r="J14" s="60" t="n">
        <f aca="false">($I$11-I14)/1000*$B$6</f>
        <v>-2.21114366854533</v>
      </c>
    </row>
    <row r="15" customFormat="false" ht="15" hidden="false" customHeight="true" outlineLevel="0" collapsed="false">
      <c r="A15" s="28" t="s">
        <v>309</v>
      </c>
      <c r="B15" s="54" t="n">
        <f aca="false">01_Inputs!$C$46</f>
        <v>6.1</v>
      </c>
      <c r="C15" s="54" t="n">
        <f aca="false">B15+01_Inputs!$C$30</f>
        <v>86.1</v>
      </c>
      <c r="D15" s="49" t="n">
        <f aca="false">EXP(01_Inputs!$C$31*(1/383-1/(C15+273)))</f>
        <v>0.0737847254474242</v>
      </c>
      <c r="E15" s="49" t="n">
        <f aca="false">01_Inputs!$C$47</f>
        <v>0.107</v>
      </c>
      <c r="F15" s="50" t="n">
        <f aca="false">E15/$E$11</f>
        <v>0.451476793248945</v>
      </c>
      <c r="G15" s="54" t="n">
        <f aca="false">$B$5/E15</f>
        <v>192.036871079247</v>
      </c>
      <c r="H15" s="54" t="n">
        <f aca="false">1/(1/G15+1/01_Inputs!$C$29)</f>
        <v>36.4570252687693</v>
      </c>
      <c r="I15" s="53" t="n">
        <f aca="false">01_Inputs!$C$27/H15*1000</f>
        <v>252.351911111111</v>
      </c>
      <c r="J15" s="60" t="n">
        <f aca="false">($I$11-I15)/1000*$B$6</f>
        <v>0.571468542566389</v>
      </c>
    </row>
    <row r="16" customFormat="false" ht="15" hidden="false" customHeight="true" outlineLevel="0" collapsed="false">
      <c r="A16" s="28" t="s">
        <v>310</v>
      </c>
      <c r="B16" s="54" t="n">
        <f aca="false">01_Inputs!$C$48</f>
        <v>7.6</v>
      </c>
      <c r="C16" s="54" t="n">
        <f aca="false">B16+01_Inputs!$C$30</f>
        <v>87.6</v>
      </c>
      <c r="D16" s="49" t="n">
        <f aca="false">EXP(01_Inputs!$C$31*(1/383-1/(C16+273)))</f>
        <v>0.0877865561782312</v>
      </c>
      <c r="E16" s="49" t="n">
        <f aca="false">01_Inputs!$C$49</f>
        <v>0.12</v>
      </c>
      <c r="F16" s="50" t="n">
        <f aca="false">E16/$E$11</f>
        <v>0.506329113924051</v>
      </c>
      <c r="G16" s="54" t="n">
        <f aca="false">$B$5/E16</f>
        <v>171.232876712329</v>
      </c>
      <c r="H16" s="54" t="n">
        <f aca="false">1/(1/G16+1/01_Inputs!$C$29)</f>
        <v>35.6350966107064</v>
      </c>
      <c r="I16" s="53" t="n">
        <f aca="false">01_Inputs!$C$27/H16*1000</f>
        <v>258.172444444444</v>
      </c>
      <c r="J16" s="60" t="n">
        <f aca="false">($I$11-I16)/1000*$B$6</f>
        <v>0.51432168830975</v>
      </c>
    </row>
    <row r="17" customFormat="false" ht="15" hidden="false" customHeight="true" outlineLevel="0" collapsed="false">
      <c r="A17" s="28" t="s">
        <v>311</v>
      </c>
      <c r="B17" s="54" t="n">
        <f aca="false">01_Inputs!$C$50</f>
        <v>1.8</v>
      </c>
      <c r="C17" s="54" t="n">
        <f aca="false">B17+01_Inputs!$C$30</f>
        <v>81.8</v>
      </c>
      <c r="D17" s="49" t="n">
        <f aca="false">EXP(01_Inputs!$C$31*(1/383-1/(C17+273)))</f>
        <v>0.044474090982032</v>
      </c>
      <c r="E17" s="49" t="n">
        <f aca="false">01_Inputs!$C$51</f>
        <v>0.074</v>
      </c>
      <c r="F17" s="50" t="n">
        <f aca="false">E17/$E$11</f>
        <v>0.312236286919831</v>
      </c>
      <c r="G17" s="54" t="n">
        <f aca="false">$B$5/E17</f>
        <v>277.674935209182</v>
      </c>
      <c r="H17" s="54" t="n">
        <f aca="false">1/(1/G17+1/01_Inputs!$C$29)</f>
        <v>38.7243343717192</v>
      </c>
      <c r="I17" s="53" t="n">
        <f aca="false">01_Inputs!$C$27/H17*1000</f>
        <v>237.576711111111</v>
      </c>
      <c r="J17" s="60" t="n">
        <f aca="false">($I$11-I17)/1000*$B$6</f>
        <v>0.716533634140934</v>
      </c>
    </row>
    <row r="18" customFormat="false" ht="15" hidden="false" customHeight="true" outlineLevel="0" collapsed="false">
      <c r="A18" s="28" t="s">
        <v>312</v>
      </c>
      <c r="B18" s="54" t="n">
        <f aca="false">01_Inputs!$C$52</f>
        <v>5.5</v>
      </c>
      <c r="C18" s="54" t="n">
        <f aca="false">B18+01_Inputs!$C$30</f>
        <v>85.5</v>
      </c>
      <c r="D18" s="49" t="n">
        <f aca="false">EXP(01_Inputs!$C$31*(1/383-1/(C18+273)))</f>
        <v>0.0688026290056409</v>
      </c>
      <c r="E18" s="49" t="n">
        <f aca="false">01_Inputs!$C$53</f>
        <v>0.076</v>
      </c>
      <c r="F18" s="50" t="n">
        <f aca="false">E18/$E$11</f>
        <v>0.320675105485232</v>
      </c>
      <c r="G18" s="54" t="n">
        <f aca="false">$B$5/E18</f>
        <v>270.367700072098</v>
      </c>
      <c r="H18" s="54" t="n">
        <f aca="false">1/(1/G18+1/01_Inputs!$C$29)</f>
        <v>38.5789239052159</v>
      </c>
      <c r="I18" s="53" t="n">
        <f aca="false">01_Inputs!$C$27/H18*1000</f>
        <v>238.472177777778</v>
      </c>
      <c r="J18" s="60" t="n">
        <f aca="false">($I$11-I18)/1000*$B$6</f>
        <v>0.707741810409143</v>
      </c>
    </row>
    <row r="19" customFormat="false" ht="39.75" hidden="false" customHeight="true" outlineLevel="0" collapsed="false">
      <c r="A19" s="45" t="s">
        <v>313</v>
      </c>
      <c r="B19" s="45"/>
      <c r="C19" s="45"/>
      <c r="D19" s="45"/>
      <c r="E19" s="45"/>
      <c r="F19" s="45"/>
      <c r="G19" s="45"/>
      <c r="H19" s="45"/>
      <c r="I19" s="45"/>
      <c r="J19" s="45"/>
    </row>
    <row r="21" customFormat="false" ht="18" hidden="false" customHeight="true" outlineLevel="0" collapsed="false">
      <c r="A21" s="27" t="s">
        <v>314</v>
      </c>
      <c r="B21" s="27"/>
      <c r="C21" s="27"/>
      <c r="D21" s="27"/>
      <c r="E21" s="27"/>
      <c r="F21" s="27"/>
      <c r="G21" s="27"/>
      <c r="H21" s="27"/>
      <c r="I21" s="27"/>
      <c r="J21" s="27"/>
    </row>
    <row r="22" customFormat="false" ht="16.5" hidden="false" customHeight="true" outlineLevel="0" collapsed="false">
      <c r="A22" s="24" t="s">
        <v>192</v>
      </c>
      <c r="B22" s="25" t="s">
        <v>58</v>
      </c>
      <c r="C22" s="25" t="s">
        <v>59</v>
      </c>
      <c r="D22" s="25"/>
      <c r="E22" s="25"/>
      <c r="F22" s="25"/>
      <c r="G22" s="25"/>
      <c r="H22" s="25"/>
      <c r="I22" s="25"/>
      <c r="J22" s="26" t="s">
        <v>193</v>
      </c>
    </row>
    <row r="23" customFormat="false" ht="26.25" hidden="false" customHeight="true" outlineLevel="0" collapsed="false">
      <c r="A23" s="35" t="s">
        <v>315</v>
      </c>
      <c r="B23" s="49" t="n">
        <f aca="false">(I13-I11)/1000</f>
        <v>0.1826752</v>
      </c>
      <c r="C23" s="29" t="s">
        <v>203</v>
      </c>
      <c r="D23" s="29"/>
      <c r="E23" s="29"/>
      <c r="F23" s="29"/>
      <c r="G23" s="29"/>
      <c r="H23" s="29"/>
      <c r="I23" s="29"/>
      <c r="J23" s="31" t="s">
        <v>316</v>
      </c>
    </row>
    <row r="24" customFormat="false" ht="15" hidden="false" customHeight="true" outlineLevel="0" collapsed="false">
      <c r="A24" s="28" t="s">
        <v>317</v>
      </c>
      <c r="B24" s="46" t="n">
        <f aca="false">B23*01_Inputs!$C$23</f>
        <v>2.9228032</v>
      </c>
      <c r="C24" s="29" t="s">
        <v>203</v>
      </c>
      <c r="D24" s="29"/>
      <c r="E24" s="29"/>
      <c r="F24" s="29"/>
      <c r="G24" s="29"/>
      <c r="H24" s="29"/>
      <c r="I24" s="29"/>
      <c r="J24" s="31" t="s">
        <v>318</v>
      </c>
    </row>
    <row r="25" customFormat="false" ht="15" hidden="false" customHeight="true" outlineLevel="0" collapsed="false">
      <c r="A25" s="47" t="s">
        <v>319</v>
      </c>
      <c r="B25" s="59" t="n">
        <f aca="false">-B24*B6</f>
        <v>-28.6965126605645</v>
      </c>
      <c r="C25" s="29" t="s">
        <v>113</v>
      </c>
      <c r="D25" s="29"/>
      <c r="E25" s="29"/>
      <c r="F25" s="29"/>
      <c r="G25" s="29"/>
      <c r="H25" s="29"/>
      <c r="I25" s="29"/>
      <c r="J25" s="31" t="s">
        <v>320</v>
      </c>
    </row>
    <row r="26" customFormat="false" ht="15" hidden="false" customHeight="true" outlineLevel="0" collapsed="false">
      <c r="A26" s="28" t="s">
        <v>321</v>
      </c>
      <c r="B26" s="46" t="n">
        <f aca="false">B7*01_Inputs!$C$35*01_Inputs!$C$23/1000</f>
        <v>0.17664</v>
      </c>
      <c r="C26" s="29" t="s">
        <v>203</v>
      </c>
      <c r="D26" s="29"/>
      <c r="E26" s="29"/>
      <c r="F26" s="29"/>
      <c r="G26" s="29"/>
      <c r="H26" s="29"/>
      <c r="I26" s="29"/>
      <c r="J26" s="31" t="s">
        <v>322</v>
      </c>
    </row>
    <row r="27" customFormat="false" ht="15" hidden="false" customHeight="true" outlineLevel="0" collapsed="false">
      <c r="A27" s="47" t="s">
        <v>323</v>
      </c>
      <c r="B27" s="59" t="n">
        <f aca="false">-B26*B6</f>
        <v>-1.73427755805184</v>
      </c>
      <c r="C27" s="29" t="s">
        <v>113</v>
      </c>
      <c r="D27" s="29"/>
      <c r="E27" s="29"/>
      <c r="F27" s="29"/>
      <c r="G27" s="29"/>
      <c r="H27" s="29"/>
      <c r="I27" s="29"/>
      <c r="J27" s="31" t="s">
        <v>324</v>
      </c>
    </row>
    <row r="28" customFormat="false" ht="15" hidden="false" customHeight="true" outlineLevel="0" collapsed="false">
      <c r="A28" s="47" t="s">
        <v>325</v>
      </c>
      <c r="B28" s="59" t="n">
        <f aca="false">B25+B27</f>
        <v>-30.4307902186163</v>
      </c>
      <c r="C28" s="29" t="s">
        <v>113</v>
      </c>
      <c r="D28" s="29"/>
      <c r="E28" s="29"/>
      <c r="F28" s="29"/>
      <c r="G28" s="29"/>
      <c r="H28" s="29"/>
      <c r="I28" s="29"/>
      <c r="J28" s="31" t="s">
        <v>326</v>
      </c>
    </row>
  </sheetData>
  <mergeCells count="2">
    <mergeCell ref="A1:J1"/>
    <mergeCell ref="A19:J19"/>
  </mergeCells>
  <hyperlinks>
    <hyperlink ref="K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(v39)&amp;R&amp;"Arial,Regular"&amp;8 &amp;A | 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4"/>
    <col collapsed="false" customWidth="true" hidden="false" outlineLevel="0" max="4" min="4" style="0" width="16"/>
    <col collapsed="false" customWidth="true" hidden="false" outlineLevel="0" max="5" min="5" style="0" width="52"/>
    <col collapsed="false" customWidth="true" hidden="false" outlineLevel="0" max="6" min="6" style="0" width="11"/>
  </cols>
  <sheetData>
    <row r="1" customFormat="false" ht="39.75" hidden="false" customHeight="true" outlineLevel="0" collapsed="false">
      <c r="A1" s="21" t="s">
        <v>327</v>
      </c>
      <c r="B1" s="21"/>
      <c r="C1" s="21"/>
      <c r="D1" s="21"/>
      <c r="E1" s="21"/>
      <c r="F1" s="22" t="s">
        <v>55</v>
      </c>
      <c r="G1" s="23"/>
    </row>
    <row r="2" customFormat="false" ht="7.5" hidden="false" customHeight="true" outlineLevel="0" collapsed="false"/>
    <row r="3" customFormat="false" ht="18" hidden="false" customHeight="true" outlineLevel="0" collapsed="false">
      <c r="A3" s="27" t="s">
        <v>328</v>
      </c>
      <c r="B3" s="27"/>
      <c r="C3" s="27"/>
      <c r="D3" s="27"/>
      <c r="E3" s="27"/>
    </row>
    <row r="4" customFormat="false" ht="27.75" hidden="false" customHeight="true" outlineLevel="0" collapsed="false">
      <c r="A4" s="24" t="s">
        <v>329</v>
      </c>
      <c r="B4" s="25" t="s">
        <v>330</v>
      </c>
      <c r="C4" s="25" t="s">
        <v>331</v>
      </c>
      <c r="D4" s="25" t="s">
        <v>332</v>
      </c>
      <c r="E4" s="26" t="s">
        <v>224</v>
      </c>
    </row>
    <row r="5" customFormat="false" ht="15" hidden="false" customHeight="true" outlineLevel="0" collapsed="false">
      <c r="A5" s="28" t="s">
        <v>333</v>
      </c>
      <c r="B5" s="43" t="n">
        <f aca="false">07_Black_Scholes!$B$33</f>
        <v>314.694790384423</v>
      </c>
      <c r="C5" s="61" t="n">
        <f aca="false">ROUND(B5,0)</f>
        <v>315</v>
      </c>
      <c r="D5" s="29" t="s">
        <v>89</v>
      </c>
      <c r="E5" s="31" t="s">
        <v>42</v>
      </c>
    </row>
    <row r="6" customFormat="false" ht="15" hidden="false" customHeight="true" outlineLevel="0" collapsed="false">
      <c r="A6" s="28" t="s">
        <v>112</v>
      </c>
      <c r="B6" s="43" t="n">
        <f aca="false">07_Black_Scholes!$B$34</f>
        <v>-8</v>
      </c>
      <c r="C6" s="61" t="n">
        <f aca="false">ROUND(B6,0)</f>
        <v>-8</v>
      </c>
      <c r="D6" s="29" t="s">
        <v>89</v>
      </c>
      <c r="E6" s="31" t="s">
        <v>36</v>
      </c>
    </row>
    <row r="7" customFormat="false" ht="15" hidden="false" customHeight="true" outlineLevel="0" collapsed="false">
      <c r="A7" s="28" t="s">
        <v>334</v>
      </c>
      <c r="B7" s="43" t="n">
        <f aca="false">09_Arrhenius!$B$25</f>
        <v>-28.6965126605645</v>
      </c>
      <c r="C7" s="61" t="n">
        <f aca="false">ROUND(B7,0)</f>
        <v>-29</v>
      </c>
      <c r="D7" s="29" t="s">
        <v>130</v>
      </c>
      <c r="E7" s="31" t="s">
        <v>44</v>
      </c>
    </row>
    <row r="8" customFormat="false" ht="15" hidden="false" customHeight="true" outlineLevel="0" collapsed="false">
      <c r="A8" s="28" t="s">
        <v>335</v>
      </c>
      <c r="B8" s="43" t="n">
        <f aca="false">09_Arrhenius!$B$27</f>
        <v>-1.73427755805184</v>
      </c>
      <c r="C8" s="61" t="n">
        <f aca="false">ROUND(B8,0)</f>
        <v>-2</v>
      </c>
      <c r="D8" s="29" t="s">
        <v>130</v>
      </c>
      <c r="E8" s="31" t="s">
        <v>44</v>
      </c>
    </row>
    <row r="9" customFormat="false" ht="15" hidden="false" customHeight="true" outlineLevel="0" collapsed="false">
      <c r="A9" s="47" t="s">
        <v>336</v>
      </c>
      <c r="B9" s="59" t="n">
        <f aca="false">SUM(B5:B8)</f>
        <v>276.264000165806</v>
      </c>
      <c r="C9" s="62" t="n">
        <f aca="false">SUM(C5:C8)</f>
        <v>276</v>
      </c>
      <c r="D9" s="29"/>
      <c r="E9" s="31" t="s">
        <v>337</v>
      </c>
    </row>
    <row r="11" customFormat="false" ht="18" hidden="false" customHeight="true" outlineLevel="0" collapsed="false">
      <c r="A11" s="27" t="s">
        <v>338</v>
      </c>
      <c r="B11" s="27"/>
      <c r="C11" s="27"/>
      <c r="D11" s="27"/>
      <c r="E11" s="27"/>
    </row>
    <row r="12" customFormat="false" ht="27.75" hidden="false" customHeight="true" outlineLevel="0" collapsed="false">
      <c r="A12" s="24" t="s">
        <v>329</v>
      </c>
      <c r="B12" s="25" t="s">
        <v>339</v>
      </c>
      <c r="C12" s="25" t="s">
        <v>340</v>
      </c>
      <c r="D12" s="25" t="s">
        <v>332</v>
      </c>
      <c r="E12" s="26" t="s">
        <v>224</v>
      </c>
    </row>
    <row r="13" customFormat="false" ht="15" hidden="false" customHeight="true" outlineLevel="0" collapsed="false">
      <c r="A13" s="28" t="s">
        <v>341</v>
      </c>
      <c r="B13" s="63" t="n">
        <f aca="false">-(09_Arrhenius!$I$11-09_Arrhenius!$I$15)</f>
        <v>-58.2053333333334</v>
      </c>
      <c r="C13" s="46" t="n">
        <f aca="false">-B13/1000*09_Arrhenius!$B$6</f>
        <v>0.571468542566389</v>
      </c>
      <c r="D13" s="29" t="s">
        <v>342</v>
      </c>
      <c r="E13" s="41" t="s">
        <v>343</v>
      </c>
    </row>
    <row r="14" customFormat="false" ht="15" hidden="false" customHeight="true" outlineLevel="0" collapsed="false">
      <c r="A14" s="28" t="s">
        <v>344</v>
      </c>
      <c r="B14" s="63" t="n">
        <f aca="false">-09_Arrhenius!$B$7*01_Inputs!$C$35</f>
        <v>-11.04</v>
      </c>
      <c r="C14" s="46" t="n">
        <f aca="false">-B14/1000*09_Arrhenius!$B$6</f>
        <v>0.10839234737824</v>
      </c>
      <c r="D14" s="29" t="s">
        <v>342</v>
      </c>
      <c r="E14" s="31" t="s">
        <v>345</v>
      </c>
    </row>
    <row r="15" customFormat="false" ht="15" hidden="false" customHeight="true" outlineLevel="0" collapsed="false">
      <c r="A15" s="28" t="s">
        <v>346</v>
      </c>
      <c r="B15" s="63" t="n">
        <f aca="false">-06_Free_Cooling!$B$17</f>
        <v>-620.06784</v>
      </c>
      <c r="C15" s="46" t="n">
        <f aca="false">-B15/1000*09_Arrhenius!$B$6</f>
        <v>6.08791745573868</v>
      </c>
      <c r="D15" s="29" t="s">
        <v>342</v>
      </c>
      <c r="E15" s="31" t="s">
        <v>347</v>
      </c>
    </row>
    <row r="16" customFormat="false" ht="15" hidden="false" customHeight="true" outlineLevel="0" collapsed="false">
      <c r="A16" s="47" t="s">
        <v>348</v>
      </c>
      <c r="B16" s="64" t="n">
        <f aca="false">SUM(B13:B15)</f>
        <v>-689.313173333333</v>
      </c>
      <c r="C16" s="48" t="n">
        <f aca="false">SUM(C13:C15)</f>
        <v>6.76777834568331</v>
      </c>
      <c r="D16" s="29"/>
      <c r="E16" s="31" t="s">
        <v>349</v>
      </c>
    </row>
    <row r="18" customFormat="false" ht="18" hidden="false" customHeight="true" outlineLevel="0" collapsed="false">
      <c r="A18" s="27" t="s">
        <v>350</v>
      </c>
      <c r="B18" s="27"/>
      <c r="C18" s="27"/>
      <c r="D18" s="27"/>
      <c r="E18" s="27"/>
    </row>
    <row r="19" customFormat="false" ht="27.75" hidden="false" customHeight="true" outlineLevel="0" collapsed="false">
      <c r="A19" s="24" t="s">
        <v>329</v>
      </c>
      <c r="B19" s="25" t="s">
        <v>330</v>
      </c>
      <c r="C19" s="25" t="s">
        <v>331</v>
      </c>
      <c r="D19" s="25" t="s">
        <v>332</v>
      </c>
      <c r="E19" s="26" t="s">
        <v>224</v>
      </c>
    </row>
    <row r="20" customFormat="false" ht="15" hidden="false" customHeight="true" outlineLevel="0" collapsed="false">
      <c r="A20" s="28" t="s">
        <v>351</v>
      </c>
      <c r="B20" s="43" t="n">
        <f aca="false">C13*01_Inputs!$C$72</f>
        <v>9.14349668106222</v>
      </c>
      <c r="C20" s="61" t="n">
        <f aca="false">ROUND(B20,0)</f>
        <v>9</v>
      </c>
      <c r="D20" s="29" t="s">
        <v>342</v>
      </c>
      <c r="E20" s="31" t="s">
        <v>352</v>
      </c>
    </row>
    <row r="21" customFormat="false" ht="15" hidden="false" customHeight="true" outlineLevel="0" collapsed="false">
      <c r="A21" s="28" t="s">
        <v>353</v>
      </c>
      <c r="B21" s="43" t="n">
        <f aca="false">C14*01_Inputs!$C$72</f>
        <v>1.73427755805184</v>
      </c>
      <c r="C21" s="61" t="n">
        <f aca="false">ROUND(B21,0)</f>
        <v>2</v>
      </c>
      <c r="D21" s="29" t="s">
        <v>342</v>
      </c>
      <c r="E21" s="31" t="s">
        <v>354</v>
      </c>
    </row>
    <row r="22" customFormat="false" ht="15" hidden="false" customHeight="true" outlineLevel="0" collapsed="false">
      <c r="A22" s="28" t="s">
        <v>355</v>
      </c>
      <c r="B22" s="43" t="n">
        <f aca="false">C15*01_Inputs!$C$72</f>
        <v>97.4066792918189</v>
      </c>
      <c r="C22" s="61" t="n">
        <f aca="false">ROUND(B22,0)</f>
        <v>97</v>
      </c>
      <c r="D22" s="29" t="s">
        <v>342</v>
      </c>
      <c r="E22" s="31" t="s">
        <v>356</v>
      </c>
    </row>
    <row r="23" customFormat="false" ht="15" hidden="false" customHeight="true" outlineLevel="0" collapsed="false">
      <c r="A23" s="28" t="s">
        <v>357</v>
      </c>
      <c r="B23" s="43" t="n">
        <f aca="false">01_Inputs!$C$68</f>
        <v>-22</v>
      </c>
      <c r="C23" s="61" t="n">
        <f aca="false">ROUND(B23,0)</f>
        <v>-22</v>
      </c>
      <c r="D23" s="29" t="s">
        <v>342</v>
      </c>
      <c r="E23" s="31" t="s">
        <v>358</v>
      </c>
    </row>
    <row r="24" customFormat="false" ht="15" hidden="false" customHeight="true" outlineLevel="0" collapsed="false">
      <c r="A24" s="28" t="s">
        <v>359</v>
      </c>
      <c r="B24" s="43" t="n">
        <f aca="false">-01_Inputs!$C$69*B22</f>
        <v>-3.89626717167276</v>
      </c>
      <c r="C24" s="61" t="n">
        <f aca="false">ROUND(B24,0)</f>
        <v>-4</v>
      </c>
      <c r="D24" s="29" t="s">
        <v>342</v>
      </c>
      <c r="E24" s="31" t="s">
        <v>360</v>
      </c>
    </row>
    <row r="25" customFormat="false" ht="15" hidden="false" customHeight="true" outlineLevel="0" collapsed="false">
      <c r="A25" s="28" t="s">
        <v>183</v>
      </c>
      <c r="B25" s="43" t="n">
        <f aca="false">01_Inputs!$C$70</f>
        <v>18</v>
      </c>
      <c r="C25" s="61" t="n">
        <f aca="false">ROUND(B25,0)</f>
        <v>18</v>
      </c>
      <c r="D25" s="29" t="s">
        <v>361</v>
      </c>
      <c r="E25" s="31" t="s">
        <v>358</v>
      </c>
    </row>
    <row r="26" customFormat="false" ht="15" hidden="false" customHeight="true" outlineLevel="0" collapsed="false">
      <c r="A26" s="28" t="s">
        <v>185</v>
      </c>
      <c r="B26" s="43" t="n">
        <f aca="false">01_Inputs!$C$71</f>
        <v>4</v>
      </c>
      <c r="C26" s="61" t="n">
        <f aca="false">ROUND(B26,0)</f>
        <v>4</v>
      </c>
      <c r="D26" s="29" t="s">
        <v>362</v>
      </c>
      <c r="E26" s="31" t="s">
        <v>358</v>
      </c>
    </row>
    <row r="27" customFormat="false" ht="15" hidden="false" customHeight="true" outlineLevel="0" collapsed="false">
      <c r="A27" s="47" t="s">
        <v>363</v>
      </c>
      <c r="B27" s="59" t="n">
        <f aca="false">SUM(B20:B26)</f>
        <v>104.38818635926</v>
      </c>
      <c r="C27" s="62" t="n">
        <f aca="false">SUM(C20:C26)</f>
        <v>104</v>
      </c>
      <c r="D27" s="29"/>
      <c r="E27" s="31" t="s">
        <v>364</v>
      </c>
    </row>
    <row r="28" customFormat="false" ht="15.75" hidden="false" customHeight="true" outlineLevel="0" collapsed="false">
      <c r="A28" s="45" t="s">
        <v>365</v>
      </c>
      <c r="B28" s="45"/>
      <c r="C28" s="45"/>
      <c r="D28" s="45"/>
      <c r="E28" s="45"/>
    </row>
  </sheetData>
  <mergeCells count="2">
    <mergeCell ref="A1:E1"/>
    <mergeCell ref="A28:E28"/>
  </mergeCells>
  <hyperlinks>
    <hyperlink ref="F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(v39)&amp;R&amp;"Arial,Regular"&amp;8 &amp;A |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12"/>
    <col collapsed="false" customWidth="true" hidden="false" outlineLevel="0" max="7" min="7" style="0" width="50"/>
    <col collapsed="false" customWidth="true" hidden="false" outlineLevel="0" max="8" min="8" style="0" width="11"/>
  </cols>
  <sheetData>
    <row r="1" customFormat="false" ht="39.75" hidden="false" customHeight="true" outlineLevel="0" collapsed="false">
      <c r="A1" s="21" t="s">
        <v>366</v>
      </c>
      <c r="B1" s="21"/>
      <c r="C1" s="21"/>
      <c r="D1" s="21"/>
      <c r="E1" s="21"/>
      <c r="F1" s="21"/>
      <c r="G1" s="21"/>
      <c r="H1" s="22" t="s">
        <v>55</v>
      </c>
      <c r="I1" s="23"/>
    </row>
    <row r="2" customFormat="false" ht="7.5" hidden="false" customHeight="true" outlineLevel="0" collapsed="false"/>
    <row r="3" customFormat="false" ht="18" hidden="false" customHeight="true" outlineLevel="0" collapsed="false">
      <c r="A3" s="27" t="s">
        <v>367</v>
      </c>
      <c r="B3" s="27"/>
      <c r="C3" s="27"/>
      <c r="D3" s="27"/>
      <c r="E3" s="27"/>
      <c r="F3" s="27"/>
      <c r="G3" s="27"/>
    </row>
    <row r="4" customFormat="false" ht="15.75" hidden="false" customHeight="true" outlineLevel="0" collapsed="false">
      <c r="A4" s="45" t="s">
        <v>368</v>
      </c>
      <c r="B4" s="45"/>
      <c r="C4" s="45"/>
      <c r="D4" s="45"/>
      <c r="E4" s="45"/>
      <c r="F4" s="45"/>
      <c r="G4" s="45"/>
    </row>
    <row r="5" customFormat="false" ht="16.5" hidden="false" customHeight="true" outlineLevel="0" collapsed="false">
      <c r="A5" s="24" t="s">
        <v>369</v>
      </c>
      <c r="B5" s="65" t="n">
        <v>0.5</v>
      </c>
      <c r="C5" s="65" t="n">
        <v>0.75</v>
      </c>
      <c r="D5" s="65" t="n">
        <v>1</v>
      </c>
      <c r="E5" s="65" t="n">
        <v>1.25</v>
      </c>
      <c r="F5" s="65" t="n">
        <v>1.5</v>
      </c>
      <c r="G5" s="26" t="s">
        <v>224</v>
      </c>
    </row>
    <row r="6" customFormat="false" ht="15" hidden="false" customHeight="true" outlineLevel="0" collapsed="false">
      <c r="A6" s="66" t="n">
        <v>0.15</v>
      </c>
      <c r="B6" s="46" t="n">
        <f aca="false">05_Unit_Economics!$B$15*NORMSDIST((LN(05_Unit_Economics!$B$15/05_Unit_Economics!$B$21)+(01_Inputs!$C$20+$A6^2/2)*B$5)/($A6*SQRT(B$5)))-05_Unit_Economics!$B$21*EXP(-01_Inputs!$C$20*B$5)*NORMSDIST((LN(05_Unit_Economics!$B$15/05_Unit_Economics!$B$21)+(01_Inputs!$C$20+$A6^2/2)*B$5)/($A6*SQRT(B$5))-$A6*SQRT(B$5))</f>
        <v>17.9792287302697</v>
      </c>
      <c r="C6" s="46" t="n">
        <f aca="false">05_Unit_Economics!$B$15*NORMSDIST((LN(05_Unit_Economics!$B$15/05_Unit_Economics!$B$21)+(01_Inputs!$C$20+$A6^2/2)*C$5)/($A6*SQRT(C$5)))-05_Unit_Economics!$B$21*EXP(-01_Inputs!$C$20*C$5)*NORMSDIST((LN(05_Unit_Economics!$B$15/05_Unit_Economics!$B$21)+(01_Inputs!$C$20+$A6^2/2)*C$5)/($A6*SQRT(C$5))-$A6*SQRT(C$5))</f>
        <v>18.3862007139793</v>
      </c>
      <c r="D6" s="46" t="n">
        <f aca="false">05_Unit_Economics!$B$15*NORMSDIST((LN(05_Unit_Economics!$B$15/05_Unit_Economics!$B$21)+(01_Inputs!$C$20+$A6^2/2)*D$5)/($A6*SQRT(D$5)))-05_Unit_Economics!$B$21*EXP(-01_Inputs!$C$20*D$5)*NORMSDIST((LN(05_Unit_Economics!$B$15/05_Unit_Economics!$B$21)+(01_Inputs!$C$20+$A6^2/2)*D$5)/($A6*SQRT(D$5))-$A6*SQRT(D$5))</f>
        <v>18.791435318306</v>
      </c>
      <c r="E6" s="46" t="n">
        <f aca="false">05_Unit_Economics!$B$15*NORMSDIST((LN(05_Unit_Economics!$B$15/05_Unit_Economics!$B$21)+(01_Inputs!$C$20+$A6^2/2)*E$5)/($A6*SQRT(E$5)))-05_Unit_Economics!$B$21*EXP(-01_Inputs!$C$20*E$5)*NORMSDIST((LN(05_Unit_Economics!$B$15/05_Unit_Economics!$B$21)+(01_Inputs!$C$20+$A6^2/2)*E$5)/($A6*SQRT(E$5))-$A6*SQRT(E$5))</f>
        <v>19.1954648335686</v>
      </c>
      <c r="F6" s="46" t="n">
        <f aca="false">05_Unit_Economics!$B$15*NORMSDIST((LN(05_Unit_Economics!$B$15/05_Unit_Economics!$B$21)+(01_Inputs!$C$20+$A6^2/2)*F$5)/($A6*SQRT(F$5)))-05_Unit_Economics!$B$21*EXP(-01_Inputs!$C$20*F$5)*NORMSDIST((LN(05_Unit_Economics!$B$15/05_Unit_Economics!$B$21)+(01_Inputs!$C$20+$A6^2/2)*F$5)/($A6*SQRT(F$5))-$A6*SQRT(F$5))</f>
        <v>19.5979842505724</v>
      </c>
      <c r="G6" s="31"/>
    </row>
    <row r="7" customFormat="false" ht="15" hidden="false" customHeight="true" outlineLevel="0" collapsed="false">
      <c r="A7" s="66" t="n">
        <v>0.2</v>
      </c>
      <c r="B7" s="46" t="n">
        <f aca="false">05_Unit_Economics!$B$15*NORMSDIST((LN(05_Unit_Economics!$B$15/05_Unit_Economics!$B$21)+(01_Inputs!$C$20+$A7^2/2)*B$5)/($A7*SQRT(B$5)))-05_Unit_Economics!$B$21*EXP(-01_Inputs!$C$20*B$5)*NORMSDIST((LN(05_Unit_Economics!$B$15/05_Unit_Economics!$B$21)+(01_Inputs!$C$20+$A7^2/2)*B$5)/($A7*SQRT(B$5))-$A7*SQRT(B$5))</f>
        <v>17.9840493807368</v>
      </c>
      <c r="C7" s="46" t="n">
        <f aca="false">05_Unit_Economics!$B$15*NORMSDIST((LN(05_Unit_Economics!$B$15/05_Unit_Economics!$B$21)+(01_Inputs!$C$20+$A7^2/2)*C$5)/($A7*SQRT(C$5)))-05_Unit_Economics!$B$21*EXP(-01_Inputs!$C$20*C$5)*NORMSDIST((LN(05_Unit_Economics!$B$15/05_Unit_Economics!$B$21)+(01_Inputs!$C$20+$A7^2/2)*C$5)/($A7*SQRT(C$5))-$A7*SQRT(C$5))</f>
        <v>18.4096166435179</v>
      </c>
      <c r="D7" s="46" t="n">
        <f aca="false">05_Unit_Economics!$B$15*NORMSDIST((LN(05_Unit_Economics!$B$15/05_Unit_Economics!$B$21)+(01_Inputs!$C$20+$A7^2/2)*D$5)/($A7*SQRT(D$5)))-05_Unit_Economics!$B$21*EXP(-01_Inputs!$C$20*D$5)*NORMSDIST((LN(05_Unit_Economics!$B$15/05_Unit_Economics!$B$21)+(01_Inputs!$C$20+$A7^2/2)*D$5)/($A7*SQRT(D$5))-$A7*SQRT(D$5))</f>
        <v>18.8457957762617</v>
      </c>
      <c r="E7" s="46" t="n">
        <f aca="false">05_Unit_Economics!$B$15*NORMSDIST((LN(05_Unit_Economics!$B$15/05_Unit_Economics!$B$21)+(01_Inputs!$C$20+$A7^2/2)*E$5)/($A7*SQRT(E$5)))-05_Unit_Economics!$B$21*EXP(-01_Inputs!$C$20*E$5)*NORMSDIST((LN(05_Unit_Economics!$B$15/05_Unit_Economics!$B$21)+(01_Inputs!$C$20+$A7^2/2)*E$5)/($A7*SQRT(E$5))-$A7*SQRT(E$5))</f>
        <v>19.2879021868341</v>
      </c>
      <c r="F7" s="46" t="n">
        <f aca="false">05_Unit_Economics!$B$15*NORMSDIST((LN(05_Unit_Economics!$B$15/05_Unit_Economics!$B$21)+(01_Inputs!$C$20+$A7^2/2)*F$5)/($A7*SQRT(F$5)))-05_Unit_Economics!$B$21*EXP(-01_Inputs!$C$20*F$5)*NORMSDIST((LN(05_Unit_Economics!$B$15/05_Unit_Economics!$B$21)+(01_Inputs!$C$20+$A7^2/2)*F$5)/($A7*SQRT(F$5))-$A7*SQRT(F$5))</f>
        <v>19.7316212401876</v>
      </c>
      <c r="G7" s="31"/>
    </row>
    <row r="8" customFormat="false" ht="15" hidden="false" customHeight="true" outlineLevel="0" collapsed="false">
      <c r="A8" s="66" t="n">
        <v>0.25</v>
      </c>
      <c r="B8" s="46" t="n">
        <f aca="false">05_Unit_Economics!$B$15*NORMSDIST((LN(05_Unit_Economics!$B$15/05_Unit_Economics!$B$21)+(01_Inputs!$C$20+$A8^2/2)*B$5)/($A8*SQRT(B$5)))-05_Unit_Economics!$B$21*EXP(-01_Inputs!$C$20*B$5)*NORMSDIST((LN(05_Unit_Economics!$B$15/05_Unit_Economics!$B$21)+(01_Inputs!$C$20+$A8^2/2)*B$5)/($A8*SQRT(B$5))-$A8*SQRT(B$5))</f>
        <v>18.014205837411</v>
      </c>
      <c r="C8" s="46" t="n">
        <f aca="false">05_Unit_Economics!$B$15*NORMSDIST((LN(05_Unit_Economics!$B$15/05_Unit_Economics!$B$21)+(01_Inputs!$C$20+$A8^2/2)*C$5)/($A8*SQRT(C$5)))-05_Unit_Economics!$B$21*EXP(-01_Inputs!$C$20*C$5)*NORMSDIST((LN(05_Unit_Economics!$B$15/05_Unit_Economics!$B$21)+(01_Inputs!$C$20+$A8^2/2)*C$5)/($A8*SQRT(C$5))-$A8*SQRT(C$5))</f>
        <v>18.4985328630895</v>
      </c>
      <c r="D8" s="46" t="n">
        <f aca="false">05_Unit_Economics!$B$15*NORMSDIST((LN(05_Unit_Economics!$B$15/05_Unit_Economics!$B$21)+(01_Inputs!$C$20+$A8^2/2)*D$5)/($A8*SQRT(D$5)))-05_Unit_Economics!$B$21*EXP(-01_Inputs!$C$20*D$5)*NORMSDIST((LN(05_Unit_Economics!$B$15/05_Unit_Economics!$B$21)+(01_Inputs!$C$20+$A8^2/2)*D$5)/($A8*SQRT(D$5))-$A8*SQRT(D$5))</f>
        <v>19.0049122879107</v>
      </c>
      <c r="E8" s="46" t="n">
        <f aca="false">05_Unit_Economics!$B$15*NORMSDIST((LN(05_Unit_Economics!$B$15/05_Unit_Economics!$B$21)+(01_Inputs!$C$20+$A8^2/2)*E$5)/($A8*SQRT(E$5)))-05_Unit_Economics!$B$21*EXP(-01_Inputs!$C$20*E$5)*NORMSDIST((LN(05_Unit_Economics!$B$15/05_Unit_Economics!$B$21)+(01_Inputs!$C$20+$A8^2/2)*E$5)/($A8*SQRT(E$5))-$A8*SQRT(E$5))</f>
        <v>19.5185501036744</v>
      </c>
      <c r="F8" s="46" t="n">
        <f aca="false">05_Unit_Economics!$B$15*NORMSDIST((LN(05_Unit_Economics!$B$15/05_Unit_Economics!$B$21)+(01_Inputs!$C$20+$A8^2/2)*F$5)/($A8*SQRT(F$5)))-05_Unit_Economics!$B$21*EXP(-01_Inputs!$C$20*F$5)*NORMSDIST((LN(05_Unit_Economics!$B$15/05_Unit_Economics!$B$21)+(01_Inputs!$C$20+$A8^2/2)*F$5)/($A8*SQRT(F$5))-$A8*SQRT(F$5))</f>
        <v>20.0310509774306</v>
      </c>
      <c r="G8" s="31"/>
    </row>
    <row r="9" customFormat="false" ht="15" hidden="false" customHeight="true" outlineLevel="0" collapsed="false">
      <c r="A9" s="66" t="n">
        <v>0.3</v>
      </c>
      <c r="B9" s="46" t="n">
        <f aca="false">05_Unit_Economics!$B$15*NORMSDIST((LN(05_Unit_Economics!$B$15/05_Unit_Economics!$B$21)+(01_Inputs!$C$20+$A9^2/2)*B$5)/($A9*SQRT(B$5)))-05_Unit_Economics!$B$21*EXP(-01_Inputs!$C$20*B$5)*NORMSDIST((LN(05_Unit_Economics!$B$15/05_Unit_Economics!$B$21)+(01_Inputs!$C$20+$A9^2/2)*B$5)/($A9*SQRT(B$5))-$A9*SQRT(B$5))</f>
        <v>18.0950555873345</v>
      </c>
      <c r="C9" s="46" t="n">
        <f aca="false">05_Unit_Economics!$B$15*NORMSDIST((LN(05_Unit_Economics!$B$15/05_Unit_Economics!$B$21)+(01_Inputs!$C$20+$A9^2/2)*C$5)/($A9*SQRT(C$5)))-05_Unit_Economics!$B$21*EXP(-01_Inputs!$C$20*C$5)*NORMSDIST((LN(05_Unit_Economics!$B$15/05_Unit_Economics!$B$21)+(01_Inputs!$C$20+$A9^2/2)*C$5)/($A9*SQRT(C$5))-$A9*SQRT(C$5))</f>
        <v>18.6783120863712</v>
      </c>
      <c r="D9" s="46" t="n">
        <f aca="false">05_Unit_Economics!$B$15*NORMSDIST((LN(05_Unit_Economics!$B$15/05_Unit_Economics!$B$21)+(01_Inputs!$C$20+$A9^2/2)*D$5)/($A9*SQRT(D$5)))-05_Unit_Economics!$B$21*EXP(-01_Inputs!$C$20*D$5)*NORMSDIST((LN(05_Unit_Economics!$B$15/05_Unit_Economics!$B$21)+(01_Inputs!$C$20+$A9^2/2)*D$5)/($A9*SQRT(D$5))-$A9*SQRT(D$5))</f>
        <v>19.2835048593236</v>
      </c>
      <c r="E9" s="46" t="n">
        <f aca="false">05_Unit_Economics!$B$15*NORMSDIST((LN(05_Unit_Economics!$B$15/05_Unit_Economics!$B$21)+(01_Inputs!$C$20+$A9^2/2)*E$5)/($A9*SQRT(E$5)))-05_Unit_Economics!$B$21*EXP(-01_Inputs!$C$20*E$5)*NORMSDIST((LN(05_Unit_Economics!$B$15/05_Unit_Economics!$B$21)+(01_Inputs!$C$20+$A9^2/2)*E$5)/($A9*SQRT(E$5))-$A9*SQRT(E$5))</f>
        <v>19.8886922783985</v>
      </c>
      <c r="F9" s="46" t="n">
        <f aca="false">05_Unit_Economics!$B$15*NORMSDIST((LN(05_Unit_Economics!$B$15/05_Unit_Economics!$B$21)+(01_Inputs!$C$20+$A9^2/2)*F$5)/($A9*SQRT(F$5)))-05_Unit_Economics!$B$21*EXP(-01_Inputs!$C$20*F$5)*NORMSDIST((LN(05_Unit_Economics!$B$15/05_Unit_Economics!$B$21)+(01_Inputs!$C$20+$A9^2/2)*F$5)/($A9*SQRT(F$5))-$A9*SQRT(F$5))</f>
        <v>20.4843721531681</v>
      </c>
      <c r="G9" s="31"/>
    </row>
    <row r="10" customFormat="false" ht="15" hidden="false" customHeight="true" outlineLevel="0" collapsed="false">
      <c r="A10" s="67" t="n">
        <v>0.35</v>
      </c>
      <c r="B10" s="48" t="n">
        <f aca="false">05_Unit_Economics!$B$15*NORMSDIST((LN(05_Unit_Economics!$B$15/05_Unit_Economics!$B$21)+(01_Inputs!$C$20+$A10^2/2)*B$5)/($A10*SQRT(B$5)))-05_Unit_Economics!$B$21*EXP(-01_Inputs!$C$20*B$5)*NORMSDIST((LN(05_Unit_Economics!$B$15/05_Unit_Economics!$B$21)+(01_Inputs!$C$20+$A10^2/2)*B$5)/($A10*SQRT(B$5))-$A10*SQRT(B$5))</f>
        <v>18.2392387145242</v>
      </c>
      <c r="C10" s="48" t="n">
        <f aca="false">05_Unit_Economics!$B$15*NORMSDIST((LN(05_Unit_Economics!$B$15/05_Unit_Economics!$B$21)+(01_Inputs!$C$20+$A10^2/2)*C$5)/($A10*SQRT(C$5)))-05_Unit_Economics!$B$21*EXP(-01_Inputs!$C$20*C$5)*NORMSDIST((LN(05_Unit_Economics!$B$15/05_Unit_Economics!$B$21)+(01_Inputs!$C$20+$A10^2/2)*C$5)/($A10*SQRT(C$5))-$A10*SQRT(C$5))</f>
        <v>18.9489347793991</v>
      </c>
      <c r="D10" s="48" t="n">
        <f aca="false">05_Unit_Economics!$B$15*NORMSDIST((LN(05_Unit_Economics!$B$15/05_Unit_Economics!$B$21)+(01_Inputs!$C$20+$A10^2/2)*D$5)/($A10*SQRT(D$5)))-05_Unit_Economics!$B$21*EXP(-01_Inputs!$C$20*D$5)*NORMSDIST((LN(05_Unit_Economics!$B$15/05_Unit_Economics!$B$21)+(01_Inputs!$C$20+$A10^2/2)*D$5)/($A10*SQRT(D$5))-$A10*SQRT(D$5))</f>
        <v>19.6684243990264</v>
      </c>
      <c r="E10" s="48" t="n">
        <f aca="false">05_Unit_Economics!$B$15*NORMSDIST((LN(05_Unit_Economics!$B$15/05_Unit_Economics!$B$21)+(01_Inputs!$C$20+$A10^2/2)*E$5)/($A10*SQRT(E$5)))-05_Unit_Economics!$B$21*EXP(-01_Inputs!$C$20*E$5)*NORMSDIST((LN(05_Unit_Economics!$B$15/05_Unit_Economics!$B$21)+(01_Inputs!$C$20+$A10^2/2)*E$5)/($A10*SQRT(E$5))-$A10*SQRT(E$5))</f>
        <v>20.3743115704669</v>
      </c>
      <c r="F10" s="48" t="n">
        <f aca="false">05_Unit_Economics!$B$15*NORMSDIST((LN(05_Unit_Economics!$B$15/05_Unit_Economics!$B$21)+(01_Inputs!$C$20+$A10^2/2)*F$5)/($A10*SQRT(F$5)))-05_Unit_Economics!$B$21*EXP(-01_Inputs!$C$20*F$5)*NORMSDIST((LN(05_Unit_Economics!$B$15/05_Unit_Economics!$B$21)+(01_Inputs!$C$20+$A10^2/2)*F$5)/($A10*SQRT(F$5))-$A10*SQRT(F$5))</f>
        <v>21.058874377302</v>
      </c>
      <c r="G10" s="31" t="s">
        <v>370</v>
      </c>
    </row>
    <row r="11" customFormat="false" ht="15" hidden="false" customHeight="true" outlineLevel="0" collapsed="false">
      <c r="A11" s="66" t="n">
        <v>0.4</v>
      </c>
      <c r="B11" s="46" t="n">
        <f aca="false">05_Unit_Economics!$B$15*NORMSDIST((LN(05_Unit_Economics!$B$15/05_Unit_Economics!$B$21)+(01_Inputs!$C$20+$A11^2/2)*B$5)/($A11*SQRT(B$5)))-05_Unit_Economics!$B$21*EXP(-01_Inputs!$C$20*B$5)*NORMSDIST((LN(05_Unit_Economics!$B$15/05_Unit_Economics!$B$21)+(01_Inputs!$C$20+$A11^2/2)*B$5)/($A11*SQRT(B$5))-$A11*SQRT(B$5))</f>
        <v>18.4469101148376</v>
      </c>
      <c r="C11" s="46" t="n">
        <f aca="false">05_Unit_Economics!$B$15*NORMSDIST((LN(05_Unit_Economics!$B$15/05_Unit_Economics!$B$21)+(01_Inputs!$C$20+$A11^2/2)*C$5)/($A11*SQRT(C$5)))-05_Unit_Economics!$B$21*EXP(-01_Inputs!$C$20*C$5)*NORMSDIST((LN(05_Unit_Economics!$B$15/05_Unit_Economics!$B$21)+(01_Inputs!$C$20+$A11^2/2)*C$5)/($A11*SQRT(C$5))-$A11*SQRT(C$5))</f>
        <v>19.2986091110841</v>
      </c>
      <c r="D11" s="46" t="n">
        <f aca="false">05_Unit_Economics!$B$15*NORMSDIST((LN(05_Unit_Economics!$B$15/05_Unit_Economics!$B$21)+(01_Inputs!$C$20+$A11^2/2)*D$5)/($A11*SQRT(D$5)))-05_Unit_Economics!$B$21*EXP(-01_Inputs!$C$20*D$5)*NORMSDIST((LN(05_Unit_Economics!$B$15/05_Unit_Economics!$B$21)+(01_Inputs!$C$20+$A11^2/2)*D$5)/($A11*SQRT(D$5))-$A11*SQRT(D$5))</f>
        <v>20.1392213578533</v>
      </c>
      <c r="E11" s="46" t="n">
        <f aca="false">05_Unit_Economics!$B$15*NORMSDIST((LN(05_Unit_Economics!$B$15/05_Unit_Economics!$B$21)+(01_Inputs!$C$20+$A11^2/2)*E$5)/($A11*SQRT(E$5)))-05_Unit_Economics!$B$21*EXP(-01_Inputs!$C$20*E$5)*NORMSDIST((LN(05_Unit_Economics!$B$15/05_Unit_Economics!$B$21)+(01_Inputs!$C$20+$A11^2/2)*E$5)/($A11*SQRT(E$5))-$A11*SQRT(E$5))</f>
        <v>20.9488542490004</v>
      </c>
      <c r="F11" s="46" t="n">
        <f aca="false">05_Unit_Economics!$B$15*NORMSDIST((LN(05_Unit_Economics!$B$15/05_Unit_Economics!$B$21)+(01_Inputs!$C$20+$A11^2/2)*F$5)/($A11*SQRT(F$5)))-05_Unit_Economics!$B$21*EXP(-01_Inputs!$C$20*F$5)*NORMSDIST((LN(05_Unit_Economics!$B$15/05_Unit_Economics!$B$21)+(01_Inputs!$C$20+$A11^2/2)*F$5)/($A11*SQRT(F$5))-$A11*SQRT(F$5))</f>
        <v>21.7235335964577</v>
      </c>
      <c r="G11" s="31"/>
    </row>
    <row r="12" customFormat="false" ht="15" hidden="false" customHeight="true" outlineLevel="0" collapsed="false">
      <c r="A12" s="66" t="n">
        <v>0.45</v>
      </c>
      <c r="B12" s="46" t="n">
        <f aca="false">05_Unit_Economics!$B$15*NORMSDIST((LN(05_Unit_Economics!$B$15/05_Unit_Economics!$B$21)+(01_Inputs!$C$20+$A12^2/2)*B$5)/($A12*SQRT(B$5)))-05_Unit_Economics!$B$21*EXP(-01_Inputs!$C$20*B$5)*NORMSDIST((LN(05_Unit_Economics!$B$15/05_Unit_Economics!$B$21)+(01_Inputs!$C$20+$A12^2/2)*B$5)/($A12*SQRT(B$5))-$A12*SQRT(B$5))</f>
        <v>18.7118654328789</v>
      </c>
      <c r="C12" s="46" t="n">
        <f aca="false">05_Unit_Economics!$B$15*NORMSDIST((LN(05_Unit_Economics!$B$15/05_Unit_Economics!$B$21)+(01_Inputs!$C$20+$A12^2/2)*C$5)/($A12*SQRT(C$5)))-05_Unit_Economics!$B$21*EXP(-01_Inputs!$C$20*C$5)*NORMSDIST((LN(05_Unit_Economics!$B$15/05_Unit_Economics!$B$21)+(01_Inputs!$C$20+$A12^2/2)*C$5)/($A12*SQRT(C$5))-$A12*SQRT(C$5))</f>
        <v>19.7130741281366</v>
      </c>
      <c r="D12" s="46" t="n">
        <f aca="false">05_Unit_Economics!$B$15*NORMSDIST((LN(05_Unit_Economics!$B$15/05_Unit_Economics!$B$21)+(01_Inputs!$C$20+$A12^2/2)*D$5)/($A12*SQRT(D$5)))-05_Unit_Economics!$B$21*EXP(-01_Inputs!$C$20*D$5)*NORMSDIST((LN(05_Unit_Economics!$B$15/05_Unit_Economics!$B$21)+(01_Inputs!$C$20+$A12^2/2)*D$5)/($A12*SQRT(D$5))-$A12*SQRT(D$5))</f>
        <v>20.6767829952541</v>
      </c>
      <c r="E12" s="46" t="n">
        <f aca="false">05_Unit_Economics!$B$15*NORMSDIST((LN(05_Unit_Economics!$B$15/05_Unit_Economics!$B$21)+(01_Inputs!$C$20+$A12^2/2)*E$5)/($A12*SQRT(E$5)))-05_Unit_Economics!$B$21*EXP(-01_Inputs!$C$20*E$5)*NORMSDIST((LN(05_Unit_Economics!$B$15/05_Unit_Economics!$B$21)+(01_Inputs!$C$20+$A12^2/2)*E$5)/($A12*SQRT(E$5))-$A12*SQRT(E$5))</f>
        <v>21.5900800150519</v>
      </c>
      <c r="F12" s="46" t="n">
        <f aca="false">05_Unit_Economics!$B$15*NORMSDIST((LN(05_Unit_Economics!$B$15/05_Unit_Economics!$B$21)+(01_Inputs!$C$20+$A12^2/2)*F$5)/($A12*SQRT(F$5)))-05_Unit_Economics!$B$21*EXP(-01_Inputs!$C$20*F$5)*NORMSDIST((LN(05_Unit_Economics!$B$15/05_Unit_Economics!$B$21)+(01_Inputs!$C$20+$A12^2/2)*F$5)/($A12*SQRT(F$5))-$A12*SQRT(F$5))</f>
        <v>22.4539171329867</v>
      </c>
      <c r="G12" s="31"/>
    </row>
    <row r="13" customFormat="false" ht="15" hidden="false" customHeight="true" outlineLevel="0" collapsed="false">
      <c r="A13" s="66" t="n">
        <v>0.5</v>
      </c>
      <c r="B13" s="46" t="n">
        <f aca="false">05_Unit_Economics!$B$15*NORMSDIST((LN(05_Unit_Economics!$B$15/05_Unit_Economics!$B$21)+(01_Inputs!$C$20+$A13^2/2)*B$5)/($A13*SQRT(B$5)))-05_Unit_Economics!$B$21*EXP(-01_Inputs!$C$20*B$5)*NORMSDIST((LN(05_Unit_Economics!$B$15/05_Unit_Economics!$B$21)+(01_Inputs!$C$20+$A13^2/2)*B$5)/($A13*SQRT(B$5))-$A13*SQRT(B$5))</f>
        <v>19.0259113087879</v>
      </c>
      <c r="C13" s="46" t="n">
        <f aca="false">05_Unit_Economics!$B$15*NORMSDIST((LN(05_Unit_Economics!$B$15/05_Unit_Economics!$B$21)+(01_Inputs!$C$20+$A13^2/2)*C$5)/($A13*SQRT(C$5)))-05_Unit_Economics!$B$21*EXP(-01_Inputs!$C$20*C$5)*NORMSDIST((LN(05_Unit_Economics!$B$15/05_Unit_Economics!$B$21)+(01_Inputs!$C$20+$A13^2/2)*C$5)/($A13*SQRT(C$5))-$A13*SQRT(C$5))</f>
        <v>20.1792872623107</v>
      </c>
      <c r="D13" s="46" t="n">
        <f aca="false">05_Unit_Economics!$B$15*NORMSDIST((LN(05_Unit_Economics!$B$15/05_Unit_Economics!$B$21)+(01_Inputs!$C$20+$A13^2/2)*D$5)/($A13*SQRT(D$5)))-05_Unit_Economics!$B$21*EXP(-01_Inputs!$C$20*D$5)*NORMSDIST((LN(05_Unit_Economics!$B$15/05_Unit_Economics!$B$21)+(01_Inputs!$C$20+$A13^2/2)*D$5)/($A13*SQRT(D$5))-$A13*SQRT(D$5))</f>
        <v>21.2654799815185</v>
      </c>
      <c r="E13" s="46" t="n">
        <f aca="false">05_Unit_Economics!$B$15*NORMSDIST((LN(05_Unit_Economics!$B$15/05_Unit_Economics!$B$21)+(01_Inputs!$C$20+$A13^2/2)*E$5)/($A13*SQRT(E$5)))-05_Unit_Economics!$B$21*EXP(-01_Inputs!$C$20*E$5)*NORMSDIST((LN(05_Unit_Economics!$B$15/05_Unit_Economics!$B$21)+(01_Inputs!$C$20+$A13^2/2)*E$5)/($A13*SQRT(E$5))-$A13*SQRT(E$5))</f>
        <v>22.2807798867306</v>
      </c>
      <c r="F13" s="46" t="n">
        <f aca="false">05_Unit_Economics!$B$15*NORMSDIST((LN(05_Unit_Economics!$B$15/05_Unit_Economics!$B$21)+(01_Inputs!$C$20+$A13^2/2)*F$5)/($A13*SQRT(F$5)))-05_Unit_Economics!$B$21*EXP(-01_Inputs!$C$20*F$5)*NORMSDIST((LN(05_Unit_Economics!$B$15/05_Unit_Economics!$B$21)+(01_Inputs!$C$20+$A13^2/2)*F$5)/($A13*SQRT(F$5))-$A13*SQRT(F$5))</f>
        <v>23.231723467303</v>
      </c>
      <c r="G13" s="31"/>
    </row>
    <row r="15" customFormat="false" ht="18" hidden="false" customHeight="true" outlineLevel="0" collapsed="false">
      <c r="A15" s="27" t="s">
        <v>371</v>
      </c>
      <c r="B15" s="27"/>
      <c r="C15" s="27"/>
      <c r="D15" s="27"/>
      <c r="E15" s="27"/>
      <c r="F15" s="27"/>
      <c r="G15" s="27"/>
    </row>
    <row r="16" customFormat="false" ht="27.75" hidden="false" customHeight="true" outlineLevel="0" collapsed="false">
      <c r="A16" s="24" t="s">
        <v>372</v>
      </c>
      <c r="B16" s="25" t="s">
        <v>373</v>
      </c>
      <c r="C16" s="25" t="s">
        <v>374</v>
      </c>
      <c r="D16" s="25" t="s">
        <v>375</v>
      </c>
      <c r="E16" s="25"/>
      <c r="F16" s="25"/>
      <c r="G16" s="26" t="s">
        <v>376</v>
      </c>
    </row>
    <row r="17" customFormat="false" ht="15" hidden="false" customHeight="true" outlineLevel="0" collapsed="false">
      <c r="A17" s="28" t="s">
        <v>377</v>
      </c>
      <c r="B17" s="46" t="n">
        <f aca="false">05_Unit_Economics!$B$15*NORMSDIST((LN(05_Unit_Economics!$B$15/05_Unit_Economics!$B$21)+(01_Inputs!$C$20+0.35^2/2)*1)/(0.35*SQRT(1)))-05_Unit_Economics!$B$21*EXP(-01_Inputs!$C$20*1)*NORMSDIST((LN(05_Unit_Economics!$B$15/05_Unit_Economics!$B$21)+(01_Inputs!$C$20+0.35^2/2)*1)/(0.35*SQRT(1))-0.35*SQRT(1))</f>
        <v>19.6684243990264</v>
      </c>
      <c r="C17" s="43" t="n">
        <f aca="false">B17*01_Inputs!$C$23</f>
        <v>314.694790384423</v>
      </c>
      <c r="D17" s="68" t="n">
        <f aca="false">B17-07_Black_Scholes!$B$22</f>
        <v>0</v>
      </c>
      <c r="E17" s="29"/>
      <c r="F17" s="29"/>
      <c r="G17" s="31" t="s">
        <v>378</v>
      </c>
    </row>
    <row r="18" customFormat="false" ht="15" hidden="false" customHeight="true" outlineLevel="0" collapsed="false">
      <c r="A18" s="28" t="s">
        <v>379</v>
      </c>
      <c r="B18" s="46" t="n">
        <f aca="false">05_Unit_Economics!$B$15*NORMSDIST((LN(05_Unit_Economics!$B$15/05_Unit_Economics!$B$21)+(01_Inputs!$C$20+0.15^2/2)*1)/(0.15*SQRT(1)))-05_Unit_Economics!$B$21*EXP(-01_Inputs!$C$20*1)*NORMSDIST((LN(05_Unit_Economics!$B$15/05_Unit_Economics!$B$21)+(01_Inputs!$C$20+0.15^2/2)*1)/(0.15*SQRT(1))-0.15*SQRT(1))</f>
        <v>18.791435318306</v>
      </c>
      <c r="C18" s="43" t="n">
        <f aca="false">B18*01_Inputs!$C$23</f>
        <v>300.662965092897</v>
      </c>
      <c r="D18" s="68" t="n">
        <f aca="false">B18-07_Black_Scholes!$B$22</f>
        <v>-0.876989080720382</v>
      </c>
      <c r="E18" s="29"/>
      <c r="F18" s="29"/>
      <c r="G18" s="31" t="s">
        <v>380</v>
      </c>
    </row>
    <row r="19" customFormat="false" ht="15" hidden="false" customHeight="true" outlineLevel="0" collapsed="false">
      <c r="A19" s="28" t="s">
        <v>381</v>
      </c>
      <c r="B19" s="46" t="n">
        <f aca="false">05_Unit_Economics!$B$15*NORMSDIST((LN(05_Unit_Economics!$B$15/05_Unit_Economics!$B$21)+(01_Inputs!$C$20+0.6^2/2)*1)/(0.6*SQRT(1)))-05_Unit_Economics!$B$21*EXP(-01_Inputs!$C$20*1)*NORMSDIST((LN(05_Unit_Economics!$B$15/05_Unit_Economics!$B$21)+(01_Inputs!$C$20+0.6^2/2)*1)/(0.6*SQRT(1))-0.6*SQRT(1))</f>
        <v>22.5501200358801</v>
      </c>
      <c r="C19" s="43" t="n">
        <f aca="false">B19*01_Inputs!$C$23</f>
        <v>360.801920574081</v>
      </c>
      <c r="D19" s="68" t="n">
        <f aca="false">B19-07_Black_Scholes!$B$22</f>
        <v>2.88169563685364</v>
      </c>
      <c r="E19" s="29"/>
      <c r="F19" s="29"/>
      <c r="G19" s="31" t="s">
        <v>382</v>
      </c>
    </row>
    <row r="20" customFormat="false" ht="15" hidden="false" customHeight="true" outlineLevel="0" collapsed="false">
      <c r="A20" s="28" t="s">
        <v>383</v>
      </c>
      <c r="B20" s="46" t="n">
        <f aca="false">05_Unit_Economics!$B$15*NORMSDIST((LN(05_Unit_Economics!$B$15/05_Unit_Economics!$B$21)+(01_Inputs!$C$20+0.4^2/2)*1)/(0.4*SQRT(1)))-05_Unit_Economics!$B$21*EXP(-01_Inputs!$C$20*1)*NORMSDIST((LN(05_Unit_Economics!$B$15/05_Unit_Economics!$B$21)+(01_Inputs!$C$20+0.4^2/2)*1)/(0.4*SQRT(1))-0.4*SQRT(1))</f>
        <v>20.1392213578533</v>
      </c>
      <c r="C20" s="43" t="n">
        <f aca="false">B20*01_Inputs!$C$23</f>
        <v>322.227541725653</v>
      </c>
      <c r="D20" s="68" t="n">
        <f aca="false">B20-07_Black_Scholes!$B$22</f>
        <v>0.470796958826917</v>
      </c>
      <c r="E20" s="29"/>
      <c r="F20" s="29"/>
      <c r="G20" s="31" t="s">
        <v>384</v>
      </c>
    </row>
    <row r="21" customFormat="false" ht="15" hidden="false" customHeight="true" outlineLevel="0" collapsed="false">
      <c r="A21" s="28" t="s">
        <v>385</v>
      </c>
      <c r="B21" s="46" t="n">
        <f aca="false">(05_Unit_Economics!$B$15*1.2)*NORMSDIST((LN((05_Unit_Economics!$B$15*1.2)/05_Unit_Economics!$B$21)+(01_Inputs!$C$20+0.35^2/2)*1)/(0.35*SQRT(1)))-05_Unit_Economics!$B$21*EXP(-01_Inputs!$C$20*1)*NORMSDIST((LN((05_Unit_Economics!$B$15*1.2)/05_Unit_Economics!$B$21)+(01_Inputs!$C$20+0.35^2/2)*1)/(0.35*SQRT(1))-0.35*SQRT(1))</f>
        <v>30.0983384087001</v>
      </c>
      <c r="C21" s="43" t="n">
        <f aca="false">B21*01_Inputs!$C$23</f>
        <v>481.573414539201</v>
      </c>
      <c r="D21" s="68" t="n">
        <f aca="false">B21-07_Black_Scholes!$B$22</f>
        <v>10.4299140096736</v>
      </c>
      <c r="E21" s="29"/>
      <c r="F21" s="29"/>
      <c r="G21" s="31" t="s">
        <v>386</v>
      </c>
    </row>
    <row r="22" customFormat="false" ht="15" hidden="false" customHeight="true" outlineLevel="0" collapsed="false">
      <c r="A22" s="28" t="s">
        <v>387</v>
      </c>
      <c r="B22" s="46" t="n">
        <f aca="false">(05_Unit_Economics!$B$15*0.8)*NORMSDIST((LN((05_Unit_Economics!$B$15*0.8)/05_Unit_Economics!$B$21)+(01_Inputs!$C$20+0.35^2/2)*1)/(0.35*SQRT(1)))-05_Unit_Economics!$B$21*EXP(-01_Inputs!$C$20*1)*NORMSDIST((LN((05_Unit_Economics!$B$15*0.8)/05_Unit_Economics!$B$21)+(01_Inputs!$C$20+0.35^2/2)*1)/(0.35*SQRT(1))-0.35*SQRT(1))</f>
        <v>10.2916602693984</v>
      </c>
      <c r="C22" s="43" t="n">
        <f aca="false">B22*01_Inputs!$C$23</f>
        <v>164.666564310375</v>
      </c>
      <c r="D22" s="68" t="n">
        <f aca="false">B22-07_Black_Scholes!$B$22</f>
        <v>-9.37676412962798</v>
      </c>
      <c r="E22" s="29"/>
      <c r="F22" s="29"/>
      <c r="G22" s="31"/>
    </row>
  </sheetData>
  <mergeCells count="2">
    <mergeCell ref="A1:G1"/>
    <mergeCell ref="A4:G4"/>
  </mergeCells>
  <hyperlinks>
    <hyperlink ref="H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(v39)&amp;R&amp;"Arial,Regular"&amp;8 &amp;A | 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4" min="3" style="0" width="14"/>
    <col collapsed="false" customWidth="true" hidden="false" outlineLevel="0" max="5" min="5" style="0" width="40"/>
    <col collapsed="false" customWidth="true" hidden="false" outlineLevel="0" max="6" min="6" style="0" width="11"/>
  </cols>
  <sheetData>
    <row r="1" customFormat="false" ht="39.75" hidden="false" customHeight="true" outlineLevel="0" collapsed="false">
      <c r="A1" s="21" t="s">
        <v>388</v>
      </c>
      <c r="B1" s="21"/>
      <c r="C1" s="21"/>
      <c r="D1" s="21"/>
      <c r="E1" s="21"/>
      <c r="F1" s="22" t="s">
        <v>55</v>
      </c>
      <c r="G1" s="23"/>
    </row>
    <row r="2" customFormat="false" ht="7.5" hidden="false" customHeight="true" outlineLevel="0" collapsed="false"/>
    <row r="3" customFormat="false" ht="18" hidden="false" customHeight="true" outlineLevel="0" collapsed="false">
      <c r="A3" s="27" t="s">
        <v>389</v>
      </c>
      <c r="B3" s="27"/>
      <c r="C3" s="27"/>
      <c r="D3" s="27"/>
      <c r="E3" s="27"/>
    </row>
    <row r="4" customFormat="false" ht="27.75" hidden="false" customHeight="true" outlineLevel="0" collapsed="false">
      <c r="A4" s="24" t="s">
        <v>390</v>
      </c>
      <c r="B4" s="25" t="s">
        <v>391</v>
      </c>
      <c r="C4" s="25" t="s">
        <v>330</v>
      </c>
      <c r="D4" s="25" t="s">
        <v>331</v>
      </c>
      <c r="E4" s="26" t="s">
        <v>4</v>
      </c>
    </row>
    <row r="5" customFormat="false" ht="15" hidden="false" customHeight="true" outlineLevel="0" collapsed="false">
      <c r="A5" s="28" t="s">
        <v>392</v>
      </c>
      <c r="B5" s="29" t="s">
        <v>393</v>
      </c>
      <c r="C5" s="43" t="n">
        <f aca="false">19_Variant_Bridge!$B$9</f>
        <v>276.264000165806</v>
      </c>
      <c r="D5" s="61" t="n">
        <f aca="false">19_Variant_Bridge!$C$9</f>
        <v>276</v>
      </c>
      <c r="E5" s="31" t="s">
        <v>394</v>
      </c>
    </row>
    <row r="6" customFormat="false" ht="15" hidden="false" customHeight="true" outlineLevel="0" collapsed="false">
      <c r="A6" s="28" t="s">
        <v>395</v>
      </c>
      <c r="B6" s="29" t="s">
        <v>396</v>
      </c>
      <c r="C6" s="43" t="n">
        <f aca="false">19_Variant_Bridge!$B$27</f>
        <v>104.38818635926</v>
      </c>
      <c r="D6" s="61" t="n">
        <f aca="false">19_Variant_Bridge!$C$27</f>
        <v>104</v>
      </c>
      <c r="E6" s="31" t="s">
        <v>397</v>
      </c>
    </row>
    <row r="7" customFormat="false" ht="15" hidden="false" customHeight="true" outlineLevel="0" collapsed="false">
      <c r="A7" s="47" t="s">
        <v>398</v>
      </c>
      <c r="B7" s="29"/>
      <c r="C7" s="59" t="n">
        <f aca="false">C5+C6</f>
        <v>380.652186525067</v>
      </c>
      <c r="D7" s="62" t="n">
        <f aca="false">D5+D6</f>
        <v>380</v>
      </c>
      <c r="E7" s="31" t="s">
        <v>399</v>
      </c>
    </row>
    <row r="9" customFormat="false" ht="18" hidden="false" customHeight="true" outlineLevel="0" collapsed="false">
      <c r="A9" s="27" t="s">
        <v>400</v>
      </c>
      <c r="B9" s="27"/>
      <c r="C9" s="27"/>
      <c r="D9" s="27"/>
      <c r="E9" s="27"/>
    </row>
    <row r="10" customFormat="false" ht="16.5" hidden="false" customHeight="true" outlineLevel="0" collapsed="false">
      <c r="A10" s="24" t="s">
        <v>401</v>
      </c>
      <c r="B10" s="25" t="s">
        <v>402</v>
      </c>
      <c r="C10" s="25" t="s">
        <v>330</v>
      </c>
      <c r="D10" s="25"/>
      <c r="E10" s="26" t="s">
        <v>224</v>
      </c>
    </row>
    <row r="11" customFormat="false" ht="15" hidden="false" customHeight="true" outlineLevel="0" collapsed="false">
      <c r="A11" s="28" t="s">
        <v>396</v>
      </c>
      <c r="B11" s="29" t="s">
        <v>403</v>
      </c>
      <c r="C11" s="43" t="n">
        <f aca="false">19_Variant_Bridge!$B$27</f>
        <v>104.38818635926</v>
      </c>
      <c r="D11" s="29"/>
      <c r="E11" s="31"/>
    </row>
    <row r="12" customFormat="false" ht="15" hidden="false" customHeight="true" outlineLevel="0" collapsed="false">
      <c r="A12" s="28" t="s">
        <v>404</v>
      </c>
      <c r="B12" s="29" t="s">
        <v>405</v>
      </c>
      <c r="C12" s="43" t="n">
        <f aca="false">07_Black_Scholes!$B$33</f>
        <v>314.694790384423</v>
      </c>
      <c r="D12" s="29"/>
      <c r="E12" s="31"/>
    </row>
    <row r="13" customFormat="false" ht="15" hidden="false" customHeight="true" outlineLevel="0" collapsed="false">
      <c r="A13" s="28" t="s">
        <v>112</v>
      </c>
      <c r="B13" s="29" t="s">
        <v>406</v>
      </c>
      <c r="C13" s="43" t="n">
        <f aca="false">07_Black_Scholes!$B$34</f>
        <v>-8</v>
      </c>
      <c r="D13" s="29"/>
      <c r="E13" s="31"/>
    </row>
    <row r="14" customFormat="false" ht="15" hidden="false" customHeight="true" outlineLevel="0" collapsed="false">
      <c r="A14" s="28" t="s">
        <v>407</v>
      </c>
      <c r="B14" s="29" t="s">
        <v>408</v>
      </c>
      <c r="C14" s="43" t="n">
        <f aca="false">09_Arrhenius!$B$28</f>
        <v>-30.4307902186163</v>
      </c>
      <c r="D14" s="29"/>
      <c r="E14" s="31"/>
    </row>
    <row r="15" customFormat="false" ht="26.25" hidden="false" customHeight="true" outlineLevel="0" collapsed="false">
      <c r="A15" s="47" t="s">
        <v>409</v>
      </c>
      <c r="B15" s="29"/>
      <c r="C15" s="59" t="n">
        <f aca="false">SUM(C11:C14)</f>
        <v>380.652186525067</v>
      </c>
      <c r="D15" s="29"/>
      <c r="E15" s="41" t="s">
        <v>410</v>
      </c>
    </row>
    <row r="16" customFormat="false" ht="15.75" hidden="false" customHeight="true" outlineLevel="0" collapsed="false">
      <c r="A16" s="45" t="s">
        <v>411</v>
      </c>
      <c r="B16" s="45"/>
      <c r="C16" s="45"/>
      <c r="D16" s="45"/>
      <c r="E16" s="45"/>
    </row>
  </sheetData>
  <mergeCells count="2">
    <mergeCell ref="A1:E1"/>
    <mergeCell ref="A16:E16"/>
  </mergeCells>
  <hyperlinks>
    <hyperlink ref="F1" location="'00_Cover'!A1" display="Contents"/>
  </hyperlinks>
  <printOptions headings="false" gridLines="false" gridLinesSet="true" horizontalCentered="true" verticalCentered="false"/>
  <pageMargins left="0.5" right="0.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&amp;L&amp;"Arial,Regular"&amp;8 Simancas Capital | The Silicon-Power Gap (v39)&amp;R&amp;"Arial,Regular"&amp;8 &amp;A |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2026-10-14T13:10:29Z</dcterms:created>
  <dc:creator>openpyxl</dc:creator>
  <dc:description/>
  <dc:language>en-US</dc:language>
  <cp:lastModifiedBy/>
  <dcterms:modified xsi:type="dcterms:W3CDTF">2026-10-14T13:10:29Z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