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nstraint Data" sheetId="2" state="visible" r:id="rId4"/>
    <sheet name="Correlation" sheetId="3" state="visible" r:id="rId5"/>
    <sheet name="PCA" sheetId="4" state="visible" r:id="rId6"/>
    <sheet name="Delay Monte Carlo" sheetId="5" state="visible" r:id="rId7"/>
    <sheet name="GOES Bridge" sheetId="6" state="visible" r:id="rId8"/>
  </sheets>
  <definedNames>
    <definedName function="false" hidden="false" localSheetId="1" name="_xlnm.Print_Area" vbProcedure="false">'Constraint Data'!$A$1:$F$33</definedName>
    <definedName function="false" hidden="false" localSheetId="1" name="_xlnm.Print_Titles" vbProcedure="false">'Constraint Data'!$1:$1</definedName>
    <definedName function="false" hidden="false" localSheetId="2" name="_xlnm.Print_Area" vbProcedure="false">Correlation!$A$1:$G$13</definedName>
    <definedName function="false" hidden="false" localSheetId="2" name="_xlnm.Print_Titles" vbProcedure="false">Correlation!$1:$1</definedName>
    <definedName function="false" hidden="false" localSheetId="4" name="_xlnm.Print_Area" vbProcedure="false">'Delay Monte Carlo'!$A$1:$C$9</definedName>
    <definedName function="false" hidden="false" localSheetId="4" name="_xlnm.Print_Titles" vbProcedure="false">'Delay Monte Carlo'!$1:$1</definedName>
    <definedName function="false" hidden="false" localSheetId="5" name="_xlnm.Print_Area" vbProcedure="false">'GOES Bridge'!$A$1:$D$20</definedName>
    <definedName function="false" hidden="false" localSheetId="5" name="_xlnm.Print_Titles" vbProcedure="false">'GOES Bridge'!$1:$1</definedName>
    <definedName function="false" hidden="false" localSheetId="3" name="_xlnm.Print_Area" vbProcedure="false">PCA!$A$1:$D$11</definedName>
    <definedName function="false" hidden="false" localSheetId="3" name="_xlnm.Print_Titles" vbProcedure="false">PCA!$1:$1</definedName>
    <definedName function="false" hidden="false" localSheetId="0" name="_xlnm.Print_Area" vbProcedure="false">'Read Me'!$A$1:$C$24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<sst xmlns="http://schemas.openxmlformats.org/spreadsheetml/2006/main" count="141" uniqueCount="118">
  <si>
    <t xml:space="preserve">SIMANCAS CAPITAL  |  LORENZO FRASCOLLA</t>
  </si>
  <si>
    <t xml:space="preserve">The Silicon-Power Gap</t>
  </si>
  <si>
    <t xml:space="preserve">Appendix B: Data and Reproducibility</t>
  </si>
  <si>
    <t xml:space="preserve">ABOUT THIS APPENDIX</t>
  </si>
  <si>
    <t xml:space="preserve">Scope</t>
  </si>
  <si>
    <t xml:space="preserve">Supporting workbook for Section I.C (the correlated-constraint moat) and the GOES supply claim.</t>
  </si>
  <si>
    <t xml:space="preserve">Purpose</t>
  </si>
  <si>
    <t xml:space="preserve">Makes the Section I.C quantitative claims auditable: the constraint-correlation result, the principal-component summary, the energization-delay simulation, and the AI share of grain-oriented electrical steel (GOES) demand growth.</t>
  </si>
  <si>
    <t xml:space="preserve">Method</t>
  </si>
  <si>
    <t xml:space="preserve">Five constraint series are built from cited public anchors (2018-2025). Correlations are computed on YEAR-OVER-YEAR CHANGES, not levels, to strip the common upward trend that would otherwise inflate every pairwise correlation toward 1. The correlation cells are live =CORREL() formulas. PCA eigenvalues are computed by eigen-decomposition of that matrix (numpy.linalg.eigh; values shown with a note). The delay simulation is a Monte Carlo (method noted on its tab). The GOES bridge is fully formula-driven from assumption cells.</t>
  </si>
  <si>
    <t xml:space="preserve">Result 1</t>
  </si>
  <si>
    <t xml:space="preserve">The manufacturing-supply cluster (transformer lead time, GOES tightness, HV winding labor) co-moves: average pairwise rho ~0.70 on YoY changes, strongest pair (GOES-labor) ~0.83, and a single component explains ~80% of its variance. This supports the I.C moat.</t>
  </si>
  <si>
    <t xml:space="preserve">Result 2</t>
  </si>
  <si>
    <t xml:space="preserve">Interconnection-queue time and NEPA review time are governed by SEPARATE dynamics. NEPA review time fell over 2018-2025 while the supply constraints rose, so NEPA is negatively correlated with them and is NOT part of the latent supply factor. The original text overstated this by bundling all five.</t>
  </si>
  <si>
    <t xml:space="preserve">Result 3</t>
  </si>
  <si>
    <t xml:space="preserve">Assuming the constraints are independent understates the 95th-percentile energization delay by ~0.3-0.4 years, not 3.4 years. The larger figure is not supported and is corrected in the paper.</t>
  </si>
  <si>
    <t xml:space="preserve">Result 4</t>
  </si>
  <si>
    <t xml:space="preserve">AI data-center transformers absorb ~35-40% of the annual GROWTH in GOES demand (range ~20-50% across reasonable inputs), not 42% of total or of installed supply. The claim is reframed accordingly.</t>
  </si>
  <si>
    <t xml:space="preserve">Caveats</t>
  </si>
  <si>
    <t xml:space="preserve">Annual anchors are interpolated/estimated where only range data exist; the GOES and labor series are tightness proxies, not audited price indices. Treat the exact coefficients as defensible magnitudes, not precise measurements. Sources are listed on each tab.</t>
  </si>
  <si>
    <t xml:space="preserve">CONTENTS</t>
  </si>
  <si>
    <t xml:space="preserve">Constraint Data</t>
  </si>
  <si>
    <t xml:space="preserve">Five constraint series, 2018-2025, in levels and as year-over-year changes, with sources.</t>
  </si>
  <si>
    <t xml:space="preserve">Correlation</t>
  </si>
  <si>
    <t xml:space="preserve">Pairwise correlations of year-over-year changes (live CORREL formulas).</t>
  </si>
  <si>
    <t xml:space="preserve">PCA</t>
  </si>
  <si>
    <t xml:space="preserve">Share of variance explained by the first principal component of the change-correlation matrix.</t>
  </si>
  <si>
    <t xml:space="preserve">Delay Monte Carlo</t>
  </si>
  <si>
    <t xml:space="preserve">95th-percentile energization delay when constraints are correlated vs assumed independent.</t>
  </si>
  <si>
    <t xml:space="preserve">GOES Bridge</t>
  </si>
  <si>
    <t xml:space="preserve">AI data centers' share of annual growth in grain-oriented electrical steel (GOES) demand.</t>
  </si>
  <si>
    <t xml:space="preserve">Lorenzo Frascolla  |  Simancas Capital</t>
  </si>
  <si>
    <r>
      <rPr>
        <b val="true"/>
        <sz val="14"/>
        <color rgb="FF000000"/>
        <rFont val="Arial"/>
        <family val="0"/>
        <charset val="1"/>
      </rPr>
      <t xml:space="preserve">Constraint Data
</t>
    </r>
    <r>
      <rPr>
        <sz val="9.5"/>
        <color rgb="FF000000"/>
        <rFont val="Arial"/>
        <family val="0"/>
        <charset val="1"/>
      </rPr>
      <t xml:space="preserve">Five constraint series, 2018-2025, in levels and as year-over-year changes, with sources.</t>
    </r>
  </si>
  <si>
    <t xml:space="preserve">Contents</t>
  </si>
  <si>
    <t xml:space="preserve">Year</t>
  </si>
  <si>
    <t xml:space="preserve">Interconnect (yrs)</t>
  </si>
  <si>
    <t xml:space="preserve">Transformer (mo)</t>
  </si>
  <si>
    <t xml:space="preserve">GOES tightness idx</t>
  </si>
  <si>
    <t xml:space="preserve">NEPA EIS (yrs)</t>
  </si>
  <si>
    <t xml:space="preserve">HV labor idx</t>
  </si>
  <si>
    <t xml:space="preserve">2018</t>
  </si>
  <si>
    <t xml:space="preserve">2019</t>
  </si>
  <si>
    <t xml:space="preserve">2020</t>
  </si>
  <si>
    <t xml:space="preserve">2021</t>
  </si>
  <si>
    <t xml:space="preserve">2022</t>
  </si>
  <si>
    <t xml:space="preserve">2023</t>
  </si>
  <si>
    <t xml:space="preserve">2024</t>
  </si>
  <si>
    <t xml:space="preserve">2025</t>
  </si>
  <si>
    <t xml:space="preserve">Year-over-year changes (used for correlation)</t>
  </si>
  <si>
    <t xml:space="preserve">Sources (anchors):</t>
  </si>
  <si>
    <t xml:space="preserve">Interconnect: LBNL "Queued Up" 2024/2025, median IR-to-COD ~4-5 yr; 55 months in 2024. https://emp.lbl.gov/queues</t>
  </si>
  <si>
    <t xml:space="preserve">Transformer: industry reporting, large power transformer lead times 18-24 mo (2018) to 44-56 mo (2024); GSU ~144 wk (2025). Wood Mackenzie; CWIEME.</t>
  </si>
  <si>
    <t xml:space="preserve">GOES tightness idx: proxy from GOES market price/demand reports (global ~2.4 Mt/yr; tightening post-2021). Mordor/Grand View; Fastmarkets.</t>
  </si>
  <si>
    <t xml:space="preserve">NEPA: CEQ EIS timelines, mean NOI-to-ROD 4.5 yr (2010-18) to ~3.8 yr (2021-24). https://ceq.doe.gov/nepa-practice/eis-timelines.html</t>
  </si>
  <si>
    <t xml:space="preserve">HV labor idx: proxy for high-voltage winding skilled-labor tightness (rising). Author estimate from trade/OEM commentary.</t>
  </si>
  <si>
    <r>
      <rPr>
        <b val="true"/>
        <sz val="14"/>
        <color rgb="FF000000"/>
        <rFont val="Arial"/>
        <family val="0"/>
        <charset val="1"/>
      </rPr>
      <t xml:space="preserve">Correlation
</t>
    </r>
    <r>
      <rPr>
        <sz val="9.5"/>
        <color rgb="FF000000"/>
        <rFont val="Arial"/>
        <family val="0"/>
        <charset val="1"/>
      </rPr>
      <t xml:space="preserve">Pairwise correlations of year-over-year changes (live CORREL formulas).</t>
    </r>
  </si>
  <si>
    <t xml:space="preserve">Interconnect</t>
  </si>
  <si>
    <t xml:space="preserve">Transformer</t>
  </si>
  <si>
    <t xml:space="preserve">GOES</t>
  </si>
  <si>
    <t xml:space="preserve">NEPA</t>
  </si>
  <si>
    <t xml:space="preserve">HV labor</t>
  </si>
  <si>
    <t xml:space="preserve">Manufacturing cluster = Transformer, GOES, HV labor. Avg pair rho ~0.70; strongest GOES-labor ~0.83.</t>
  </si>
  <si>
    <t xml:space="preserve">NEPA is negatively correlated with the supply constraints (it improved over the period); interconnection is weakly linked.</t>
  </si>
  <si>
    <r>
      <rPr>
        <b val="true"/>
        <sz val="14"/>
        <color rgb="FF000000"/>
        <rFont val="Arial"/>
        <family val="0"/>
        <charset val="1"/>
      </rPr>
      <t xml:space="preserve">Principal Components
</t>
    </r>
    <r>
      <rPr>
        <sz val="9.5"/>
        <color rgb="FF000000"/>
        <rFont val="Arial"/>
        <family val="0"/>
        <charset val="1"/>
      </rPr>
      <t xml:space="preserve">Share of variance explained by the first principal component of the change-correlation matrix.</t>
    </r>
  </si>
  <si>
    <t xml:space="preserve">Computed in Python (numpy.linalg.eigh) on the Correlation tab matrix; recompute if data change.</t>
  </si>
  <si>
    <t xml:space="preserve">Set</t>
  </si>
  <si>
    <t xml:space="preserve">PC1 variance explained</t>
  </si>
  <si>
    <t xml:space="preserve">Note</t>
  </si>
  <si>
    <t xml:space="preserve">All five constraints</t>
  </si>
  <si>
    <t xml:space="preserve">49.6%</t>
  </si>
  <si>
    <t xml:space="preserve">one common factor, NEPA loads inversely</t>
  </si>
  <si>
    <t xml:space="preserve">Four supply-side (ex-NEPA)</t>
  </si>
  <si>
    <t xml:space="preserve">61.9%</t>
  </si>
  <si>
    <t xml:space="preserve">interconnection loads weakly</t>
  </si>
  <si>
    <t xml:space="preserve">Manufacturing cluster (3)</t>
  </si>
  <si>
    <t xml:space="preserve">80.0%</t>
  </si>
  <si>
    <t xml:space="preserve">transformer/GOES/labor as one factor</t>
  </si>
  <si>
    <t xml:space="preserve">Manufacturing-cluster PC1 loadings ~ Transformer 0.57, GOES 0.50, HV labor 0.60 (single dominant factor).</t>
  </si>
  <si>
    <r>
      <rPr>
        <b val="true"/>
        <sz val="14"/>
        <color rgb="FF000000"/>
        <rFont val="Arial"/>
        <family val="0"/>
        <charset val="1"/>
      </rPr>
      <t xml:space="preserve">Energization-Delay Simulation
</t>
    </r>
    <r>
      <rPr>
        <sz val="9.5"/>
        <color rgb="FF000000"/>
        <rFont val="Arial"/>
        <family val="0"/>
        <charset val="1"/>
      </rPr>
      <t xml:space="preserve">95th-percentile energization delay when constraints are correlated vs assumed independent.</t>
    </r>
  </si>
  <si>
    <t xml:space="preserve">Additive (sequential) stage-delay model; 300,000 draws; correlation from the manufacturing cluster. Computed in Python (numpy).</t>
  </si>
  <si>
    <t xml:space="preserve">Metric</t>
  </si>
  <si>
    <t xml:space="preserve">Value</t>
  </si>
  <si>
    <t xml:space="preserve">p95 delay, correlated (months)</t>
  </si>
  <si>
    <t xml:space="preserve">161.9</t>
  </si>
  <si>
    <t xml:space="preserve">p95 delay, independent (months)</t>
  </si>
  <si>
    <t xml:space="preserve">157.8</t>
  </si>
  <si>
    <t xml:space="preserve">Understatement if assumed independent (years)</t>
  </si>
  <si>
    <t xml:space="preserve">0.34</t>
  </si>
  <si>
    <t xml:space="preserve">Paper's earlier claim (years)</t>
  </si>
  <si>
    <t xml:space="preserve">3.4 (not supported; corrected in the paper)</t>
  </si>
  <si>
    <r>
      <rPr>
        <b val="true"/>
        <sz val="14"/>
        <color rgb="FF000000"/>
        <rFont val="Arial"/>
        <family val="0"/>
        <charset val="1"/>
      </rPr>
      <t xml:space="preserve">GOES Demand Bridge
</t>
    </r>
    <r>
      <rPr>
        <sz val="9.5"/>
        <color rgb="FF000000"/>
        <rFont val="Arial"/>
        <family val="0"/>
        <charset val="1"/>
      </rPr>
      <t xml:space="preserve">AI data centers' share of annual growth in grain-oriented electrical steel (GOES) demand.</t>
    </r>
  </si>
  <si>
    <t xml:space="preserve">Assumption</t>
  </si>
  <si>
    <t xml:space="preserve">Unit</t>
  </si>
  <si>
    <t xml:space="preserve">Source / note</t>
  </si>
  <si>
    <t xml:space="preserve">Global GOES consumption</t>
  </si>
  <si>
    <t xml:space="preserve">2400</t>
  </si>
  <si>
    <t xml:space="preserve">kt/yr</t>
  </si>
  <si>
    <t xml:space="preserve">Market reports (~2.4 Mt/yr)</t>
  </si>
  <si>
    <t xml:space="preserve">GOES demand growth (CAGR)</t>
  </si>
  <si>
    <t xml:space="preserve">5.6%</t>
  </si>
  <si>
    <t xml:space="preserve">GOES market CAGR ~5-6%</t>
  </si>
  <si>
    <t xml:space="preserve">GOES per transformer</t>
  </si>
  <si>
    <t xml:space="preserve">0.28</t>
  </si>
  <si>
    <t xml:space="preserve">t/MVA</t>
  </si>
  <si>
    <t xml:space="preserve">28 t per 100 MVA (paper, Nippon Steel)</t>
  </si>
  <si>
    <t xml:space="preserve">New AI data-center capacity, 2026</t>
  </si>
  <si>
    <t xml:space="preserve">70</t>
  </si>
  <si>
    <t xml:space="preserve">GW</t>
  </si>
  <si>
    <t xml:space="preserve">Estimate</t>
  </si>
  <si>
    <t xml:space="preserve">Transformer MVA per MW IT</t>
  </si>
  <si>
    <t xml:space="preserve">2.5</t>
  </si>
  <si>
    <t xml:space="preserve">MVA/MW</t>
  </si>
  <si>
    <t xml:space="preserve">GSU + substation + step-downs</t>
  </si>
  <si>
    <t xml:space="preserve">Annual GOES demand growth (kt)</t>
  </si>
  <si>
    <t xml:space="preserve">AI transformer GOES demand (kt)</t>
  </si>
  <si>
    <t xml:space="preserve">AI share of GOES demand growth</t>
  </si>
  <si>
    <t xml:space="preserve">Sensitivity: AI share of GOES demand growth</t>
  </si>
  <si>
    <t xml:space="preserve">GW \ MVA/MW</t>
  </si>
</sst>
</file>

<file path=xl/styles.xml><?xml version="1.0" encoding="utf-8"?>
<styleSheet xmlns="http://schemas.openxmlformats.org/spreadsheetml/2006/main">
  <numFmts count="7">
    <numFmt numFmtId="164" formatCode="General"/>
    <numFmt numFmtId="165" formatCode="0.0"/>
    <numFmt numFmtId="166" formatCode="0"/>
    <numFmt numFmtId="167" formatCode="0.00"/>
    <numFmt numFmtId="168" formatCode="#,##0"/>
    <numFmt numFmtId="169" formatCode="0.0%"/>
    <numFmt numFmtId="170" formatCode="0%"/>
  </numFmts>
  <fonts count="20">
    <font>
      <sz val="11"/>
      <color theme="1"/>
      <name val="Calibri"/>
      <family val="2"/>
      <charset val="1"/>
    </font>
    <font>
      <sz val="10"/>
      <name val="Arial"/>
      <family val="0"/>
    </font>
    <font>
      <sz val="10"/>
      <name val="Arial"/>
      <family val="0"/>
    </font>
    <font>
      <sz val="10"/>
      <name val="Arial"/>
      <family val="0"/>
    </font>
    <font>
      <b val="true"/>
      <sz val="9"/>
      <color rgb="FF000000"/>
      <name val="Arial"/>
      <family val="0"/>
      <charset val="1"/>
    </font>
    <font>
      <b val="true"/>
      <sz val="22"/>
      <color rgb="FF000000"/>
      <name val="Arial"/>
      <family val="0"/>
      <charset val="1"/>
    </font>
    <font>
      <sz val="12"/>
      <color rgb="FF000000"/>
      <name val="Arial"/>
      <family val="0"/>
      <charset val="1"/>
    </font>
    <font>
      <b val="true"/>
      <sz val="10"/>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name val="Arial"/>
      <family val="0"/>
      <charset val="1"/>
    </font>
    <font>
      <u val="single"/>
      <sz val="10"/>
      <color rgb="FF000000"/>
      <name val="Arial"/>
      <family val="0"/>
      <charset val="1"/>
    </font>
    <font>
      <sz val="9.5"/>
      <color rgb="FF000000"/>
      <name val="Arial"/>
      <family val="0"/>
      <charset val="1"/>
    </font>
    <font>
      <sz val="8.5"/>
      <color rgb="FF000000"/>
      <name val="Arial"/>
      <family val="0"/>
      <charset val="1"/>
    </font>
    <font>
      <b val="true"/>
      <sz val="14"/>
      <color rgb="FF000000"/>
      <name val="Arial"/>
      <family val="0"/>
      <charset val="1"/>
    </font>
    <font>
      <u val="single"/>
      <sz val="9"/>
      <color rgb="FF000000"/>
      <name val="Arial"/>
      <family val="0"/>
      <charset val="1"/>
    </font>
    <font>
      <b val="true"/>
      <sz val="9.5"/>
      <color rgb="FF000000"/>
      <name val="Arial"/>
      <family val="0"/>
      <charset val="1"/>
    </font>
    <font>
      <i val="true"/>
      <sz val="9"/>
      <color rgb="FF000000"/>
      <name val="Arial"/>
      <family val="0"/>
      <charset val="1"/>
    </font>
    <font>
      <sz val="9"/>
      <color rgb="FF000000"/>
      <name val="Arial"/>
      <family val="0"/>
      <charset val="1"/>
    </font>
  </fonts>
  <fills count="5">
    <fill>
      <patternFill patternType="none"/>
    </fill>
    <fill>
      <patternFill patternType="gray125"/>
    </fill>
    <fill>
      <patternFill patternType="solid">
        <fgColor rgb="FF262626"/>
        <bgColor rgb="FF333300"/>
      </patternFill>
    </fill>
    <fill>
      <patternFill patternType="solid">
        <fgColor rgb="FFD9D9D9"/>
        <bgColor rgb="FFF2F2F2"/>
      </patternFill>
    </fill>
    <fill>
      <patternFill patternType="solid">
        <fgColor rgb="FFF2F2F2"/>
        <bgColor rgb="FFFFFFFF"/>
      </patternFill>
    </fill>
  </fills>
  <borders count="5">
    <border diagonalUp="false" diagonalDown="false">
      <left/>
      <right/>
      <top/>
      <bottom/>
      <diagonal/>
    </border>
    <border diagonalUp="false" diagonalDown="false">
      <left/>
      <right/>
      <top/>
      <bottom style="medium"/>
      <diagonal/>
    </border>
    <border diagonalUp="false" diagonalDown="false">
      <left/>
      <right/>
      <top/>
      <bottom style="thin">
        <color rgb="FFBFBFBF"/>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0" xfId="0" applyFont="true" applyBorder="false" applyAlignment="true" applyProtection="false">
      <alignment horizontal="left"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2" fillId="0"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general" vertical="center" textRotation="0" wrapText="tru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7" fillId="3" borderId="3" xfId="0" applyFont="true" applyBorder="true" applyAlignment="true" applyProtection="false">
      <alignment horizontal="left" vertical="center" textRotation="0" wrapText="true" indent="0" shrinkToFit="false"/>
      <protection locked="true" hidden="false"/>
    </xf>
    <xf numFmtId="164" fontId="17" fillId="3" borderId="3"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false" indent="0" shrinkToFit="false"/>
      <protection locked="true" hidden="false"/>
    </xf>
    <xf numFmtId="165" fontId="10" fillId="4" borderId="2" xfId="0" applyFont="true" applyBorder="true" applyAlignment="true" applyProtection="false">
      <alignment horizontal="right" vertical="center" textRotation="0" wrapText="false" indent="0" shrinkToFit="false"/>
      <protection locked="true" hidden="false"/>
    </xf>
    <xf numFmtId="166" fontId="10" fillId="4"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5" fontId="10" fillId="0" borderId="2" xfId="0" applyFont="true" applyBorder="true" applyAlignment="true" applyProtection="false">
      <alignment horizontal="right" vertical="center" textRotation="0" wrapText="fals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7" fontId="10" fillId="0" borderId="2" xfId="0" applyFont="true" applyBorder="true" applyAlignment="true" applyProtection="false">
      <alignment horizontal="right" vertical="center" textRotation="0" wrapText="false" indent="0" shrinkToFit="false"/>
      <protection locked="true" hidden="false"/>
    </xf>
    <xf numFmtId="167" fontId="9" fillId="0" borderId="4"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9" fillId="0" borderId="2" xfId="0" applyFont="true" applyBorder="true" applyAlignment="true" applyProtection="false">
      <alignment horizontal="left" vertical="center" textRotation="0" wrapText="true" indent="0" shrinkToFit="false"/>
      <protection locked="true" hidden="false"/>
    </xf>
    <xf numFmtId="168" fontId="10" fillId="0" borderId="2" xfId="0" applyFont="true" applyBorder="true" applyAlignment="true" applyProtection="false">
      <alignment horizontal="left" vertical="center" textRotation="0" wrapText="false" indent="0" shrinkToFit="false"/>
      <protection locked="true" hidden="false"/>
    </xf>
    <xf numFmtId="169" fontId="10" fillId="0" borderId="2" xfId="0" applyFont="true" applyBorder="true" applyAlignment="true" applyProtection="false">
      <alignment horizontal="right" vertical="center" textRotation="0" wrapText="false" indent="0" shrinkToFit="false"/>
      <protection locked="true" hidden="false"/>
    </xf>
    <xf numFmtId="165" fontId="9" fillId="4" borderId="4" xfId="0" applyFont="true" applyBorder="true" applyAlignment="true" applyProtection="false">
      <alignment horizontal="right" vertical="center" textRotation="0" wrapText="false" indent="0" shrinkToFit="false"/>
      <protection locked="true" hidden="false"/>
    </xf>
    <xf numFmtId="170" fontId="10" fillId="0"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0" width="90"/>
  </cols>
  <sheetData>
    <row r="2" customFormat="false" ht="15" hidden="false" customHeight="true" outlineLevel="0" collapsed="false">
      <c r="B2" s="2" t="s">
        <v>0</v>
      </c>
    </row>
    <row r="3" customFormat="false" ht="30" hidden="false" customHeight="true" outlineLevel="0" collapsed="false">
      <c r="B3" s="3" t="s">
        <v>1</v>
      </c>
    </row>
    <row r="4" customFormat="false" ht="15" hidden="false" customHeight="true" outlineLevel="0" collapsed="false">
      <c r="B4" s="4" t="s">
        <v>2</v>
      </c>
      <c r="C4" s="5"/>
    </row>
    <row r="5" customFormat="false" ht="15" hidden="false" customHeight="true" outlineLevel="0" collapsed="false">
      <c r="B5" s="6"/>
    </row>
    <row r="6" customFormat="false" ht="18" hidden="false" customHeight="true" outlineLevel="0" collapsed="false">
      <c r="B6" s="7" t="s">
        <v>3</v>
      </c>
      <c r="C6" s="8"/>
    </row>
    <row r="7" customFormat="false" ht="30.75" hidden="false" customHeight="true" outlineLevel="0" collapsed="false">
      <c r="B7" s="9" t="s">
        <v>4</v>
      </c>
      <c r="C7" s="10" t="s">
        <v>5</v>
      </c>
    </row>
    <row r="8" customFormat="false" ht="43.5" hidden="false" customHeight="true" outlineLevel="0" collapsed="false">
      <c r="B8" s="9" t="s">
        <v>6</v>
      </c>
      <c r="C8" s="10" t="s">
        <v>7</v>
      </c>
    </row>
    <row r="9" customFormat="false" ht="81" hidden="false" customHeight="true" outlineLevel="0" collapsed="false">
      <c r="B9" s="9" t="s">
        <v>8</v>
      </c>
      <c r="C9" s="10" t="s">
        <v>9</v>
      </c>
    </row>
    <row r="10" customFormat="false" ht="43.5" hidden="false" customHeight="true" outlineLevel="0" collapsed="false">
      <c r="B10" s="9" t="s">
        <v>10</v>
      </c>
      <c r="C10" s="10" t="s">
        <v>11</v>
      </c>
    </row>
    <row r="11" customFormat="false" ht="55.5" hidden="false" customHeight="true" outlineLevel="0" collapsed="false">
      <c r="B11" s="9" t="s">
        <v>12</v>
      </c>
      <c r="C11" s="10" t="s">
        <v>13</v>
      </c>
    </row>
    <row r="12" customFormat="false" ht="43.5" hidden="false" customHeight="true" outlineLevel="0" collapsed="false">
      <c r="B12" s="9" t="s">
        <v>14</v>
      </c>
      <c r="C12" s="10" t="s">
        <v>15</v>
      </c>
    </row>
    <row r="13" customFormat="false" ht="43.5" hidden="false" customHeight="true" outlineLevel="0" collapsed="false">
      <c r="B13" s="9" t="s">
        <v>16</v>
      </c>
      <c r="C13" s="10" t="s">
        <v>17</v>
      </c>
    </row>
    <row r="14" customFormat="false" ht="43.5" hidden="false" customHeight="true" outlineLevel="0" collapsed="false">
      <c r="B14" s="9" t="s">
        <v>18</v>
      </c>
      <c r="C14" s="10" t="s">
        <v>19</v>
      </c>
    </row>
    <row r="15" customFormat="false" ht="23.25" hidden="false" customHeight="true" outlineLevel="0" collapsed="false">
      <c r="B15" s="11"/>
    </row>
    <row r="16" customFormat="false" ht="18" hidden="false" customHeight="true" outlineLevel="0" collapsed="false">
      <c r="B16" s="7" t="s">
        <v>20</v>
      </c>
      <c r="C16" s="8"/>
    </row>
    <row r="17" customFormat="false" ht="15.75" hidden="false" customHeight="true" outlineLevel="0" collapsed="false">
      <c r="B17" s="12" t="s">
        <v>21</v>
      </c>
      <c r="C17" s="13" t="s">
        <v>22</v>
      </c>
    </row>
    <row r="18" customFormat="false" ht="15.75" hidden="false" customHeight="true" outlineLevel="0" collapsed="false">
      <c r="B18" s="12" t="s">
        <v>23</v>
      </c>
      <c r="C18" s="13" t="s">
        <v>24</v>
      </c>
    </row>
    <row r="19" customFormat="false" ht="15.75" hidden="false" customHeight="true" outlineLevel="0" collapsed="false">
      <c r="B19" s="14" t="s">
        <v>25</v>
      </c>
      <c r="C19" s="13" t="s">
        <v>26</v>
      </c>
    </row>
    <row r="20" customFormat="false" ht="15.75" hidden="false" customHeight="true" outlineLevel="0" collapsed="false">
      <c r="B20" s="14" t="s">
        <v>27</v>
      </c>
      <c r="C20" s="13" t="s">
        <v>28</v>
      </c>
    </row>
    <row r="21" customFormat="false" ht="15.75" hidden="false" customHeight="true" outlineLevel="0" collapsed="false">
      <c r="B21" s="14" t="s">
        <v>29</v>
      </c>
      <c r="C21" s="13" t="s">
        <v>30</v>
      </c>
    </row>
    <row r="23" customFormat="false" ht="15" hidden="false" customHeight="false" outlineLevel="0" collapsed="false">
      <c r="B23" s="15" t="s">
        <v>31</v>
      </c>
    </row>
  </sheetData>
  <hyperlinks>
    <hyperlink ref="B17" location="'Constraint Data'!A1" display="Constraint Data"/>
    <hyperlink ref="B18" location="'Correlation'!A1" display="Correlation"/>
    <hyperlink ref="B19" location="'PCA'!A1" display="PCA"/>
    <hyperlink ref="B20" location="'Delay Monte Carlo'!A1" display="Delay Monte Carlo"/>
    <hyperlink ref="B21" location="'GOES Bridge'!A1" display="GOES Bridge"/>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3" min="2" style="1" width="14"/>
    <col collapsed="false" customWidth="true" hidden="false" outlineLevel="0" max="4" min="4" style="0" width="14"/>
    <col collapsed="false" customWidth="true" hidden="false" outlineLevel="0" max="6" min="5" style="1" width="14"/>
    <col collapsed="false" customWidth="true" hidden="false" outlineLevel="0" max="7" min="7" style="0" width="11"/>
  </cols>
  <sheetData>
    <row r="1" customFormat="false" ht="39.75" hidden="false" customHeight="true" outlineLevel="0" collapsed="false">
      <c r="A1" s="16" t="s">
        <v>32</v>
      </c>
      <c r="B1" s="16"/>
      <c r="C1" s="16"/>
      <c r="D1" s="16"/>
      <c r="E1" s="16"/>
      <c r="F1" s="16"/>
      <c r="G1" s="17" t="s">
        <v>33</v>
      </c>
      <c r="H1" s="18"/>
    </row>
    <row r="2" customFormat="false" ht="9" hidden="false" customHeight="true" outlineLevel="0" collapsed="false">
      <c r="A2" s="19"/>
      <c r="B2" s="19"/>
      <c r="C2" s="19"/>
      <c r="D2" s="19"/>
      <c r="E2" s="19"/>
      <c r="F2" s="19"/>
    </row>
    <row r="3" customFormat="false" ht="9" hidden="true" customHeight="true" outlineLevel="0" collapsed="false">
      <c r="A3" s="19"/>
      <c r="B3" s="19"/>
      <c r="C3" s="19"/>
      <c r="D3" s="19"/>
      <c r="E3" s="19"/>
      <c r="F3" s="19"/>
    </row>
    <row r="4" customFormat="false" ht="26.25" hidden="false" customHeight="true" outlineLevel="0" collapsed="false">
      <c r="A4" s="20" t="s">
        <v>34</v>
      </c>
      <c r="B4" s="21" t="s">
        <v>35</v>
      </c>
      <c r="C4" s="21" t="s">
        <v>36</v>
      </c>
      <c r="D4" s="21" t="s">
        <v>37</v>
      </c>
      <c r="E4" s="21" t="s">
        <v>38</v>
      </c>
      <c r="F4" s="21" t="s">
        <v>39</v>
      </c>
    </row>
    <row r="5" customFormat="false" ht="15" hidden="false" customHeight="true" outlineLevel="0" collapsed="false">
      <c r="A5" s="22" t="s">
        <v>40</v>
      </c>
      <c r="B5" s="23" t="n">
        <v>3.7</v>
      </c>
      <c r="C5" s="24" t="n">
        <v>21</v>
      </c>
      <c r="D5" s="24" t="n">
        <v>100</v>
      </c>
      <c r="E5" s="23" t="n">
        <v>4.5</v>
      </c>
      <c r="F5" s="24" t="n">
        <v>100</v>
      </c>
    </row>
    <row r="6" customFormat="false" ht="15" hidden="false" customHeight="true" outlineLevel="0" collapsed="false">
      <c r="A6" s="22" t="s">
        <v>41</v>
      </c>
      <c r="B6" s="23" t="n">
        <v>3.9</v>
      </c>
      <c r="C6" s="24" t="n">
        <v>24</v>
      </c>
      <c r="D6" s="24" t="n">
        <v>98</v>
      </c>
      <c r="E6" s="23" t="n">
        <v>4.4</v>
      </c>
      <c r="F6" s="24" t="n">
        <v>103</v>
      </c>
    </row>
    <row r="7" customFormat="false" ht="15" hidden="false" customHeight="true" outlineLevel="0" collapsed="false">
      <c r="A7" s="22" t="s">
        <v>42</v>
      </c>
      <c r="B7" s="23" t="n">
        <v>4.1</v>
      </c>
      <c r="C7" s="24" t="n">
        <v>27</v>
      </c>
      <c r="D7" s="24" t="n">
        <v>96</v>
      </c>
      <c r="E7" s="23" t="n">
        <v>4.3</v>
      </c>
      <c r="F7" s="24" t="n">
        <v>101</v>
      </c>
    </row>
    <row r="8" customFormat="false" ht="15" hidden="false" customHeight="true" outlineLevel="0" collapsed="false">
      <c r="A8" s="22" t="s">
        <v>43</v>
      </c>
      <c r="B8" s="23" t="n">
        <v>4.5</v>
      </c>
      <c r="C8" s="24" t="n">
        <v>31</v>
      </c>
      <c r="D8" s="24" t="n">
        <v>110</v>
      </c>
      <c r="E8" s="23" t="n">
        <v>4</v>
      </c>
      <c r="F8" s="24" t="n">
        <v>108</v>
      </c>
    </row>
    <row r="9" customFormat="false" ht="15" hidden="false" customHeight="true" outlineLevel="0" collapsed="false">
      <c r="A9" s="22" t="s">
        <v>44</v>
      </c>
      <c r="B9" s="23" t="n">
        <v>5</v>
      </c>
      <c r="C9" s="24" t="n">
        <v>36</v>
      </c>
      <c r="D9" s="24" t="n">
        <v>135</v>
      </c>
      <c r="E9" s="23" t="n">
        <v>3.9</v>
      </c>
      <c r="F9" s="24" t="n">
        <v>118</v>
      </c>
    </row>
    <row r="10" customFormat="false" ht="15" hidden="false" customHeight="true" outlineLevel="0" collapsed="false">
      <c r="A10" s="22" t="s">
        <v>45</v>
      </c>
      <c r="B10" s="23" t="n">
        <v>5</v>
      </c>
      <c r="C10" s="24" t="n">
        <v>43</v>
      </c>
      <c r="D10" s="24" t="n">
        <v>150</v>
      </c>
      <c r="E10" s="23" t="n">
        <v>3.8</v>
      </c>
      <c r="F10" s="24" t="n">
        <v>128</v>
      </c>
    </row>
    <row r="11" customFormat="false" ht="15" hidden="false" customHeight="true" outlineLevel="0" collapsed="false">
      <c r="A11" s="22" t="s">
        <v>46</v>
      </c>
      <c r="B11" s="23" t="n">
        <v>4.6</v>
      </c>
      <c r="C11" s="24" t="n">
        <v>50</v>
      </c>
      <c r="D11" s="24" t="n">
        <v>160</v>
      </c>
      <c r="E11" s="23" t="n">
        <v>3.7</v>
      </c>
      <c r="F11" s="24" t="n">
        <v>138</v>
      </c>
    </row>
    <row r="12" customFormat="false" ht="15" hidden="false" customHeight="true" outlineLevel="0" collapsed="false">
      <c r="A12" s="22" t="s">
        <v>47</v>
      </c>
      <c r="B12" s="23" t="n">
        <v>4.8</v>
      </c>
      <c r="C12" s="24" t="n">
        <v>53</v>
      </c>
      <c r="D12" s="24" t="n">
        <v>170</v>
      </c>
      <c r="E12" s="23" t="n">
        <v>3.7</v>
      </c>
      <c r="F12" s="24" t="n">
        <v>145</v>
      </c>
    </row>
    <row r="13" customFormat="false" ht="9" hidden="false" customHeight="true" outlineLevel="0" collapsed="false">
      <c r="A13" s="19"/>
      <c r="B13" s="19"/>
      <c r="C13" s="19"/>
      <c r="D13" s="19"/>
      <c r="E13" s="19"/>
      <c r="F13" s="19"/>
    </row>
    <row r="14" customFormat="false" ht="9" hidden="true" customHeight="true" outlineLevel="0" collapsed="false">
      <c r="A14" s="19"/>
      <c r="B14" s="19"/>
      <c r="C14" s="19"/>
      <c r="D14" s="19"/>
      <c r="E14" s="19"/>
      <c r="F14" s="19"/>
    </row>
    <row r="15" customFormat="false" ht="15" hidden="false" customHeight="true" outlineLevel="0" collapsed="false">
      <c r="A15" s="25" t="s">
        <v>48</v>
      </c>
      <c r="B15" s="25"/>
      <c r="C15" s="25"/>
      <c r="D15" s="25"/>
      <c r="E15" s="25"/>
      <c r="F15" s="25"/>
    </row>
    <row r="16" customFormat="false" ht="9" hidden="false" customHeight="true" outlineLevel="0" collapsed="false">
      <c r="A16" s="19"/>
      <c r="B16" s="19"/>
      <c r="C16" s="19"/>
      <c r="D16" s="19"/>
      <c r="E16" s="19"/>
      <c r="F16" s="19"/>
    </row>
    <row r="17" customFormat="false" ht="26.25" hidden="false" customHeight="true" outlineLevel="0" collapsed="false">
      <c r="A17" s="20" t="s">
        <v>34</v>
      </c>
      <c r="B17" s="21" t="s">
        <v>35</v>
      </c>
      <c r="C17" s="21" t="s">
        <v>36</v>
      </c>
      <c r="D17" s="21" t="s">
        <v>37</v>
      </c>
      <c r="E17" s="21" t="s">
        <v>38</v>
      </c>
      <c r="F17" s="21" t="s">
        <v>39</v>
      </c>
    </row>
    <row r="18" customFormat="false" ht="15" hidden="false" customHeight="true" outlineLevel="0" collapsed="false">
      <c r="A18" s="22" t="s">
        <v>41</v>
      </c>
      <c r="B18" s="26" t="n">
        <f aca="false">B6-B5</f>
        <v>0.2</v>
      </c>
      <c r="C18" s="26" t="n">
        <f aca="false">C6-C5</f>
        <v>3</v>
      </c>
      <c r="D18" s="26" t="n">
        <f aca="false">D6-D5</f>
        <v>-2</v>
      </c>
      <c r="E18" s="26" t="n">
        <f aca="false">E6-E5</f>
        <v>-0.0999999999999996</v>
      </c>
      <c r="F18" s="26" t="n">
        <f aca="false">F6-F5</f>
        <v>3</v>
      </c>
    </row>
    <row r="19" customFormat="false" ht="15" hidden="false" customHeight="true" outlineLevel="0" collapsed="false">
      <c r="A19" s="22" t="s">
        <v>42</v>
      </c>
      <c r="B19" s="26" t="n">
        <f aca="false">B7-B6</f>
        <v>0.2</v>
      </c>
      <c r="C19" s="26" t="n">
        <f aca="false">C7-C6</f>
        <v>3</v>
      </c>
      <c r="D19" s="26" t="n">
        <f aca="false">D7-D6</f>
        <v>-2</v>
      </c>
      <c r="E19" s="26" t="n">
        <f aca="false">E7-E6</f>
        <v>-0.100000000000001</v>
      </c>
      <c r="F19" s="26" t="n">
        <f aca="false">F7-F6</f>
        <v>-2</v>
      </c>
    </row>
    <row r="20" customFormat="false" ht="15" hidden="false" customHeight="true" outlineLevel="0" collapsed="false">
      <c r="A20" s="22" t="s">
        <v>43</v>
      </c>
      <c r="B20" s="26" t="n">
        <f aca="false">B8-B7</f>
        <v>0.4</v>
      </c>
      <c r="C20" s="26" t="n">
        <f aca="false">C8-C7</f>
        <v>4</v>
      </c>
      <c r="D20" s="26" t="n">
        <f aca="false">D8-D7</f>
        <v>14</v>
      </c>
      <c r="E20" s="26" t="n">
        <f aca="false">E8-E7</f>
        <v>-0.3</v>
      </c>
      <c r="F20" s="26" t="n">
        <f aca="false">F8-F7</f>
        <v>7</v>
      </c>
    </row>
    <row r="21" customFormat="false" ht="15" hidden="false" customHeight="true" outlineLevel="0" collapsed="false">
      <c r="A21" s="22" t="s">
        <v>44</v>
      </c>
      <c r="B21" s="26" t="n">
        <f aca="false">B9-B8</f>
        <v>0.5</v>
      </c>
      <c r="C21" s="26" t="n">
        <f aca="false">C9-C8</f>
        <v>5</v>
      </c>
      <c r="D21" s="26" t="n">
        <f aca="false">D9-D8</f>
        <v>25</v>
      </c>
      <c r="E21" s="26" t="n">
        <f aca="false">E9-E8</f>
        <v>-0.1</v>
      </c>
      <c r="F21" s="26" t="n">
        <f aca="false">F9-F8</f>
        <v>10</v>
      </c>
    </row>
    <row r="22" customFormat="false" ht="15" hidden="false" customHeight="true" outlineLevel="0" collapsed="false">
      <c r="A22" s="22" t="s">
        <v>45</v>
      </c>
      <c r="B22" s="26" t="n">
        <f aca="false">B10-B9</f>
        <v>0</v>
      </c>
      <c r="C22" s="26" t="n">
        <f aca="false">C10-C9</f>
        <v>7</v>
      </c>
      <c r="D22" s="26" t="n">
        <f aca="false">D10-D9</f>
        <v>15</v>
      </c>
      <c r="E22" s="26" t="n">
        <f aca="false">E10-E9</f>
        <v>-0.1</v>
      </c>
      <c r="F22" s="26" t="n">
        <f aca="false">F10-F9</f>
        <v>10</v>
      </c>
    </row>
    <row r="23" customFormat="false" ht="15" hidden="false" customHeight="true" outlineLevel="0" collapsed="false">
      <c r="A23" s="22" t="s">
        <v>46</v>
      </c>
      <c r="B23" s="26" t="n">
        <f aca="false">B11-B10</f>
        <v>-0.4</v>
      </c>
      <c r="C23" s="26" t="n">
        <f aca="false">C11-C10</f>
        <v>7</v>
      </c>
      <c r="D23" s="26" t="n">
        <f aca="false">D11-D10</f>
        <v>10</v>
      </c>
      <c r="E23" s="26" t="n">
        <f aca="false">E11-E10</f>
        <v>-0.0999999999999996</v>
      </c>
      <c r="F23" s="26" t="n">
        <f aca="false">F11-F10</f>
        <v>10</v>
      </c>
    </row>
    <row r="24" customFormat="false" ht="15" hidden="false" customHeight="true" outlineLevel="0" collapsed="false">
      <c r="A24" s="22" t="s">
        <v>47</v>
      </c>
      <c r="B24" s="26" t="n">
        <f aca="false">B12-B11</f>
        <v>0.2</v>
      </c>
      <c r="C24" s="26" t="n">
        <f aca="false">C12-C11</f>
        <v>3</v>
      </c>
      <c r="D24" s="26" t="n">
        <f aca="false">D12-D11</f>
        <v>10</v>
      </c>
      <c r="E24" s="26" t="n">
        <f aca="false">E12-E11</f>
        <v>0</v>
      </c>
      <c r="F24" s="26" t="n">
        <f aca="false">F12-F11</f>
        <v>7</v>
      </c>
    </row>
    <row r="25" customFormat="false" ht="9" hidden="false" customHeight="true" outlineLevel="0" collapsed="false">
      <c r="A25" s="19"/>
      <c r="B25" s="19"/>
      <c r="C25" s="19"/>
      <c r="D25" s="19"/>
      <c r="E25" s="19"/>
      <c r="F25" s="19"/>
    </row>
    <row r="26" customFormat="false" ht="9" hidden="true" customHeight="true" outlineLevel="0" collapsed="false">
      <c r="A26" s="19"/>
      <c r="B26" s="19"/>
      <c r="C26" s="19"/>
      <c r="D26" s="19"/>
      <c r="E26" s="19"/>
      <c r="F26" s="19"/>
    </row>
    <row r="27" customFormat="false" ht="9" hidden="true" customHeight="true" outlineLevel="0" collapsed="false">
      <c r="A27" s="19"/>
      <c r="B27" s="19"/>
      <c r="C27" s="19"/>
      <c r="D27" s="19"/>
      <c r="E27" s="19"/>
      <c r="F27" s="19"/>
    </row>
    <row r="28" customFormat="false" ht="15" hidden="false" customHeight="true" outlineLevel="0" collapsed="false">
      <c r="A28" s="25" t="s">
        <v>49</v>
      </c>
      <c r="B28" s="25"/>
      <c r="C28" s="25"/>
      <c r="D28" s="25"/>
      <c r="E28" s="25"/>
      <c r="F28" s="25"/>
    </row>
    <row r="29" customFormat="false" ht="15.75" hidden="false" customHeight="true" outlineLevel="0" collapsed="false">
      <c r="A29" s="27" t="s">
        <v>50</v>
      </c>
      <c r="B29" s="27"/>
      <c r="C29" s="27"/>
      <c r="D29" s="27"/>
      <c r="E29" s="27"/>
      <c r="F29" s="27"/>
    </row>
    <row r="30" customFormat="false" ht="27.75" hidden="false" customHeight="true" outlineLevel="0" collapsed="false">
      <c r="A30" s="27" t="s">
        <v>51</v>
      </c>
      <c r="B30" s="27"/>
      <c r="C30" s="27"/>
      <c r="D30" s="27"/>
      <c r="E30" s="27"/>
      <c r="F30" s="27"/>
    </row>
    <row r="31" customFormat="false" ht="27.75" hidden="false" customHeight="true" outlineLevel="0" collapsed="false">
      <c r="A31" s="27" t="s">
        <v>52</v>
      </c>
      <c r="B31" s="27"/>
      <c r="C31" s="27"/>
      <c r="D31" s="27"/>
      <c r="E31" s="27"/>
      <c r="F31" s="27"/>
    </row>
    <row r="32" customFormat="false" ht="27.75" hidden="false" customHeight="true" outlineLevel="0" collapsed="false">
      <c r="A32" s="27" t="s">
        <v>53</v>
      </c>
      <c r="B32" s="27"/>
      <c r="C32" s="27"/>
      <c r="D32" s="27"/>
      <c r="E32" s="27"/>
      <c r="F32" s="27"/>
    </row>
    <row r="33" customFormat="false" ht="27.75" hidden="false" customHeight="true" outlineLevel="0" collapsed="false">
      <c r="A33" s="27" t="s">
        <v>54</v>
      </c>
      <c r="B33" s="27"/>
      <c r="C33" s="27"/>
      <c r="D33" s="27"/>
      <c r="E33" s="27"/>
      <c r="F33" s="27"/>
    </row>
  </sheetData>
  <mergeCells count="6">
    <mergeCell ref="A1:F1"/>
    <mergeCell ref="A29:F29"/>
    <mergeCell ref="A30:F30"/>
    <mergeCell ref="A31:F31"/>
    <mergeCell ref="A32:F32"/>
    <mergeCell ref="A33:F33"/>
  </mergeCells>
  <hyperlinks>
    <hyperlink ref="G1" location="'Read Me'!A1" display="Contents"/>
  </hyperlinks>
  <printOptions headings="false" gridLines="false" gridLinesSet="true" horizontalCentered="true" verticalCentered="false"/>
  <pageMargins left="0.5" right="0.5" top="0.6" bottom="0.6" header="0.511811023622047" footer="0.511805555555556"/>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Gap&amp;R&amp;"Arial,Regular"&amp;8 &amp;A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0" width="14"/>
    <col collapsed="false" customWidth="true" hidden="false" outlineLevel="0" max="6" min="4" style="1" width="14"/>
    <col collapsed="false" customWidth="true" hidden="false" outlineLevel="0" max="7" min="7" style="0" width="13"/>
    <col collapsed="false" customWidth="true" hidden="false" outlineLevel="0" max="8" min="8" style="0" width="11"/>
  </cols>
  <sheetData>
    <row r="1" customFormat="false" ht="39.75" hidden="false" customHeight="true" outlineLevel="0" collapsed="false">
      <c r="A1" s="16" t="s">
        <v>55</v>
      </c>
      <c r="B1" s="16"/>
      <c r="C1" s="16"/>
      <c r="D1" s="16"/>
      <c r="E1" s="16"/>
      <c r="F1" s="16"/>
      <c r="G1" s="16"/>
      <c r="H1" s="17" t="s">
        <v>33</v>
      </c>
    </row>
    <row r="2" customFormat="false" ht="9" hidden="false" customHeight="true" outlineLevel="0" collapsed="false">
      <c r="A2" s="19"/>
      <c r="B2" s="19"/>
      <c r="C2" s="19"/>
      <c r="D2" s="19"/>
      <c r="E2" s="19"/>
      <c r="F2" s="19"/>
    </row>
    <row r="3" customFormat="false" ht="9" hidden="true" customHeight="true" outlineLevel="0" collapsed="false">
      <c r="A3" s="19"/>
      <c r="B3" s="19"/>
      <c r="C3" s="19"/>
      <c r="D3" s="19"/>
      <c r="E3" s="19"/>
      <c r="F3" s="19"/>
    </row>
    <row r="4" customFormat="false" ht="16.5" hidden="false" customHeight="true" outlineLevel="0" collapsed="false">
      <c r="A4" s="20"/>
      <c r="B4" s="21" t="s">
        <v>56</v>
      </c>
      <c r="C4" s="21" t="s">
        <v>57</v>
      </c>
      <c r="D4" s="21" t="s">
        <v>58</v>
      </c>
      <c r="E4" s="21" t="s">
        <v>59</v>
      </c>
      <c r="F4" s="21" t="s">
        <v>60</v>
      </c>
    </row>
    <row r="5" customFormat="false" ht="15" hidden="false" customHeight="true" outlineLevel="0" collapsed="false">
      <c r="A5" s="22" t="s">
        <v>56</v>
      </c>
      <c r="B5" s="28" t="n">
        <f aca="false">CORREL('Constraint Data'!B18:B24,'Constraint Data'!B18:B24)</f>
        <v>1</v>
      </c>
      <c r="C5" s="28" t="n">
        <f aca="false">CORREL('Constraint Data'!B18:B24,'Constraint Data'!C18:C24)</f>
        <v>-0.604004174254959</v>
      </c>
      <c r="D5" s="28" t="n">
        <f aca="false">CORREL('Constraint Data'!B18:B24,'Constraint Data'!D18:D24)</f>
        <v>0.254043628982761</v>
      </c>
      <c r="E5" s="28" t="n">
        <f aca="false">CORREL('Constraint Data'!B18:B24,'Constraint Data'!E18:E24)</f>
        <v>-0.279426731036153</v>
      </c>
      <c r="F5" s="28" t="n">
        <f aca="false">CORREL('Constraint Data'!B18:B24,'Constraint Data'!F18:F24)</f>
        <v>-0.210674406485947</v>
      </c>
    </row>
    <row r="6" customFormat="false" ht="15" hidden="false" customHeight="true" outlineLevel="0" collapsed="false">
      <c r="A6" s="22" t="s">
        <v>57</v>
      </c>
      <c r="B6" s="28" t="n">
        <f aca="false">CORREL('Constraint Data'!C18:C24,'Constraint Data'!B18:B24)</f>
        <v>-0.604004174254959</v>
      </c>
      <c r="C6" s="28" t="n">
        <f aca="false">CORREL('Constraint Data'!C18:C24,'Constraint Data'!C18:C24)</f>
        <v>1</v>
      </c>
      <c r="D6" s="28" t="n">
        <f aca="false">CORREL('Constraint Data'!C18:C24,'Constraint Data'!D18:D24)</f>
        <v>0.516711769954834</v>
      </c>
      <c r="E6" s="28" t="n">
        <f aca="false">CORREL('Constraint Data'!C18:C24,'Constraint Data'!E18:E24)</f>
        <v>-0.043796787185533</v>
      </c>
      <c r="F6" s="28" t="n">
        <f aca="false">CORREL('Constraint Data'!C18:C24,'Constraint Data'!F18:F24)</f>
        <v>0.740754632334416</v>
      </c>
    </row>
    <row r="7" customFormat="false" ht="15" hidden="false" customHeight="true" outlineLevel="0" collapsed="false">
      <c r="A7" s="25" t="s">
        <v>58</v>
      </c>
      <c r="B7" s="29" t="n">
        <f aca="false">CORREL('Constraint Data'!D18:D24,'Constraint Data'!B18:B24)</f>
        <v>0.254043628982761</v>
      </c>
      <c r="C7" s="29" t="n">
        <f aca="false">CORREL('Constraint Data'!D18:D24,'Constraint Data'!C18:C24)</f>
        <v>0.516711769954834</v>
      </c>
      <c r="D7" s="29" t="n">
        <f aca="false">CORREL('Constraint Data'!D18:D24,'Constraint Data'!D18:D24)</f>
        <v>1</v>
      </c>
      <c r="E7" s="29" t="n">
        <f aca="false">CORREL('Constraint Data'!D18:D24,'Constraint Data'!E18:E24)</f>
        <v>-0.154221408822034</v>
      </c>
      <c r="F7" s="29" t="n">
        <f aca="false">CORREL('Constraint Data'!D18:D24,'Constraint Data'!F18:F24)</f>
        <v>0.831817573704798</v>
      </c>
    </row>
    <row r="8" customFormat="false" ht="15" hidden="false" customHeight="true" outlineLevel="0" collapsed="false">
      <c r="A8" s="25" t="s">
        <v>59</v>
      </c>
      <c r="B8" s="29" t="n">
        <f aca="false">CORREL('Constraint Data'!E18:E24,'Constraint Data'!B18:B24)</f>
        <v>-0.279426731036153</v>
      </c>
      <c r="C8" s="29" t="n">
        <f aca="false">CORREL('Constraint Data'!E18:E24,'Constraint Data'!C18:C24)</f>
        <v>-0.043796787185533</v>
      </c>
      <c r="D8" s="29" t="n">
        <f aca="false">CORREL('Constraint Data'!E18:E24,'Constraint Data'!D18:D24)</f>
        <v>-0.154221408822034</v>
      </c>
      <c r="E8" s="29" t="n">
        <f aca="false">CORREL('Constraint Data'!E18:E24,'Constraint Data'!E18:E24)</f>
        <v>1</v>
      </c>
      <c r="F8" s="29" t="n">
        <f aca="false">CORREL('Constraint Data'!E18:E24,'Constraint Data'!F18:F24)</f>
        <v>-0.0235017788582069</v>
      </c>
    </row>
    <row r="9" customFormat="false" ht="15" hidden="false" customHeight="true" outlineLevel="0" collapsed="false">
      <c r="A9" s="22" t="s">
        <v>60</v>
      </c>
      <c r="B9" s="28" t="n">
        <f aca="false">CORREL('Constraint Data'!F18:F24,'Constraint Data'!B18:B24)</f>
        <v>-0.210674406485947</v>
      </c>
      <c r="C9" s="28" t="n">
        <f aca="false">CORREL('Constraint Data'!F18:F24,'Constraint Data'!C18:C24)</f>
        <v>0.740754632334416</v>
      </c>
      <c r="D9" s="28" t="n">
        <f aca="false">CORREL('Constraint Data'!F18:F24,'Constraint Data'!D18:D24)</f>
        <v>0.831817573704798</v>
      </c>
      <c r="E9" s="28" t="n">
        <f aca="false">CORREL('Constraint Data'!F18:F24,'Constraint Data'!E18:E24)</f>
        <v>-0.0235017788582069</v>
      </c>
      <c r="F9" s="28" t="n">
        <f aca="false">CORREL('Constraint Data'!F18:F24,'Constraint Data'!F18:F24)</f>
        <v>1</v>
      </c>
    </row>
    <row r="10" customFormat="false" ht="9" hidden="false" customHeight="true" outlineLevel="0" collapsed="false">
      <c r="A10" s="19"/>
      <c r="B10" s="19"/>
      <c r="C10" s="19"/>
      <c r="D10" s="19"/>
      <c r="E10" s="19"/>
      <c r="F10" s="19"/>
    </row>
    <row r="11" customFormat="false" ht="9" hidden="true" customHeight="true" outlineLevel="0" collapsed="false">
      <c r="A11" s="19"/>
      <c r="B11" s="19"/>
      <c r="C11" s="19"/>
      <c r="D11" s="19"/>
      <c r="E11" s="19"/>
      <c r="F11" s="19"/>
    </row>
    <row r="12" customFormat="false" ht="27.75" hidden="false" customHeight="true" outlineLevel="0" collapsed="false">
      <c r="A12" s="27" t="s">
        <v>61</v>
      </c>
      <c r="B12" s="27"/>
      <c r="C12" s="27"/>
      <c r="D12" s="27"/>
      <c r="E12" s="27"/>
      <c r="F12" s="27"/>
    </row>
    <row r="13" customFormat="false" ht="27.75" hidden="false" customHeight="true" outlineLevel="0" collapsed="false">
      <c r="A13" s="27" t="s">
        <v>62</v>
      </c>
      <c r="B13" s="27"/>
      <c r="C13" s="27"/>
      <c r="D13" s="27"/>
      <c r="E13" s="27"/>
      <c r="F13" s="27"/>
    </row>
  </sheetData>
  <mergeCells count="3">
    <mergeCell ref="A1:G1"/>
    <mergeCell ref="A12:F12"/>
    <mergeCell ref="A13:F13"/>
  </mergeCells>
  <hyperlinks>
    <hyperlink ref="H1" location="'Read Me'!A1" display="Contents"/>
  </hyperlinks>
  <printOptions headings="false" gridLines="false" gridLinesSet="true" horizontalCentered="true" verticalCentered="false"/>
  <pageMargins left="0.5" right="0.5" top="0.6" bottom="0.6" header="0.511811023622047" footer="0.511805555555556"/>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Gap&amp;R&amp;"Arial,Regular"&amp;8 &amp;A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9"/>
    <col collapsed="false" customWidth="true" hidden="false" outlineLevel="0" max="2" min="2" style="1" width="11"/>
    <col collapsed="false" customWidth="true" hidden="false" outlineLevel="0" max="3" min="3" style="1" width="58"/>
    <col collapsed="false" customWidth="true" hidden="false" outlineLevel="0" max="4" min="4" style="0" width="13"/>
    <col collapsed="false" customWidth="true" hidden="false" outlineLevel="0" max="5" min="5" style="0" width="11"/>
  </cols>
  <sheetData>
    <row r="1" customFormat="false" ht="39.75" hidden="false" customHeight="true" outlineLevel="0" collapsed="false">
      <c r="A1" s="16" t="s">
        <v>63</v>
      </c>
      <c r="B1" s="16"/>
      <c r="C1" s="16"/>
      <c r="D1" s="16"/>
      <c r="E1" s="17" t="s">
        <v>33</v>
      </c>
    </row>
    <row r="2" customFormat="false" ht="9" hidden="false" customHeight="true" outlineLevel="0" collapsed="false">
      <c r="A2" s="19"/>
      <c r="B2" s="19"/>
      <c r="C2" s="30"/>
    </row>
    <row r="3" customFormat="false" ht="15.75" hidden="false" customHeight="true" outlineLevel="0" collapsed="false">
      <c r="A3" s="27" t="s">
        <v>64</v>
      </c>
      <c r="B3" s="27"/>
      <c r="C3" s="27"/>
    </row>
    <row r="4" customFormat="false" ht="9" hidden="false" customHeight="true" outlineLevel="0" collapsed="false">
      <c r="A4" s="19"/>
      <c r="B4" s="19"/>
      <c r="C4" s="30"/>
    </row>
    <row r="5" customFormat="false" ht="37.5" hidden="false" customHeight="true" outlineLevel="0" collapsed="false">
      <c r="A5" s="20" t="s">
        <v>65</v>
      </c>
      <c r="B5" s="21" t="s">
        <v>66</v>
      </c>
      <c r="C5" s="20" t="s">
        <v>67</v>
      </c>
    </row>
    <row r="6" customFormat="false" ht="15" hidden="false" customHeight="true" outlineLevel="0" collapsed="false">
      <c r="A6" s="22" t="s">
        <v>68</v>
      </c>
      <c r="B6" s="22" t="s">
        <v>69</v>
      </c>
      <c r="C6" s="31" t="s">
        <v>70</v>
      </c>
    </row>
    <row r="7" customFormat="false" ht="15" hidden="false" customHeight="true" outlineLevel="0" collapsed="false">
      <c r="A7" s="22" t="s">
        <v>71</v>
      </c>
      <c r="B7" s="22" t="s">
        <v>72</v>
      </c>
      <c r="C7" s="31" t="s">
        <v>73</v>
      </c>
    </row>
    <row r="8" customFormat="false" ht="15" hidden="false" customHeight="true" outlineLevel="0" collapsed="false">
      <c r="A8" s="22" t="s">
        <v>74</v>
      </c>
      <c r="B8" s="22" t="s">
        <v>75</v>
      </c>
      <c r="C8" s="31" t="s">
        <v>76</v>
      </c>
    </row>
    <row r="9" customFormat="false" ht="9" hidden="false" customHeight="true" outlineLevel="0" collapsed="false">
      <c r="A9" s="19"/>
      <c r="B9" s="19"/>
      <c r="C9" s="30"/>
    </row>
    <row r="10" customFormat="false" ht="9" hidden="true" customHeight="true" outlineLevel="0" collapsed="false">
      <c r="A10" s="19"/>
      <c r="B10" s="19"/>
      <c r="C10" s="30"/>
    </row>
    <row r="11" customFormat="false" ht="27.75" hidden="false" customHeight="true" outlineLevel="0" collapsed="false">
      <c r="A11" s="27" t="s">
        <v>77</v>
      </c>
      <c r="B11" s="27"/>
      <c r="C11" s="27"/>
    </row>
  </sheetData>
  <mergeCells count="3">
    <mergeCell ref="A1:D1"/>
    <mergeCell ref="A3:C3"/>
    <mergeCell ref="A11:C11"/>
  </mergeCells>
  <hyperlinks>
    <hyperlink ref="E1" location="'Read Me'!A1" display="Contents"/>
  </hyperlinks>
  <printOptions headings="false" gridLines="false" gridLinesSet="true" horizontalCentered="true" verticalCentered="false"/>
  <pageMargins left="0.5" right="0.5" top="0.6" bottom="0.6" header="0.511811023622047" footer="0.511805555555556"/>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Gap&amp;R&amp;"Arial,Regular"&amp;8 &amp;A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40"/>
    <col collapsed="false" customWidth="true" hidden="false" outlineLevel="0" max="3" min="3" style="0" width="13"/>
    <col collapsed="false" customWidth="true" hidden="false" outlineLevel="0" max="4" min="4" style="0" width="11"/>
  </cols>
  <sheetData>
    <row r="1" customFormat="false" ht="39.75" hidden="false" customHeight="true" outlineLevel="0" collapsed="false">
      <c r="A1" s="16" t="s">
        <v>78</v>
      </c>
      <c r="B1" s="16"/>
      <c r="C1" s="16"/>
      <c r="D1" s="17" t="s">
        <v>33</v>
      </c>
    </row>
    <row r="2" customFormat="false" ht="9" hidden="false" customHeight="true" outlineLevel="0" collapsed="false">
      <c r="A2" s="19"/>
      <c r="B2" s="19"/>
    </row>
    <row r="3" customFormat="false" ht="27.75" hidden="false" customHeight="true" outlineLevel="0" collapsed="false">
      <c r="A3" s="27" t="s">
        <v>79</v>
      </c>
      <c r="B3" s="27"/>
    </row>
    <row r="4" customFormat="false" ht="9" hidden="false" customHeight="true" outlineLevel="0" collapsed="false">
      <c r="A4" s="19"/>
      <c r="B4" s="19"/>
    </row>
    <row r="5" customFormat="false" ht="15" hidden="false" customHeight="true" outlineLevel="0" collapsed="false">
      <c r="A5" s="22" t="s">
        <v>80</v>
      </c>
      <c r="B5" s="22" t="s">
        <v>81</v>
      </c>
    </row>
    <row r="6" customFormat="false" ht="15" hidden="false" customHeight="true" outlineLevel="0" collapsed="false">
      <c r="A6" s="22" t="s">
        <v>82</v>
      </c>
      <c r="B6" s="22" t="s">
        <v>83</v>
      </c>
    </row>
    <row r="7" customFormat="false" ht="15" hidden="false" customHeight="true" outlineLevel="0" collapsed="false">
      <c r="A7" s="22" t="s">
        <v>84</v>
      </c>
      <c r="B7" s="22" t="s">
        <v>85</v>
      </c>
    </row>
    <row r="8" customFormat="false" ht="15" hidden="false" customHeight="true" outlineLevel="0" collapsed="false">
      <c r="A8" s="22" t="s">
        <v>86</v>
      </c>
      <c r="B8" s="22" t="s">
        <v>87</v>
      </c>
    </row>
    <row r="9" customFormat="false" ht="15" hidden="false" customHeight="true" outlineLevel="0" collapsed="false">
      <c r="A9" s="22" t="s">
        <v>88</v>
      </c>
      <c r="B9" s="22" t="s">
        <v>89</v>
      </c>
    </row>
  </sheetData>
  <mergeCells count="2">
    <mergeCell ref="A1:C1"/>
    <mergeCell ref="A3:B3"/>
  </mergeCells>
  <hyperlinks>
    <hyperlink ref="D1" location="'Read Me'!A1" display="Contents"/>
  </hyperlinks>
  <printOptions headings="false" gridLines="false" gridLinesSet="true" horizontalCentered="true" verticalCentered="false"/>
  <pageMargins left="0.5" right="0.5" top="0.6" bottom="0.6" header="0.511811023622047" footer="0.511805555555556"/>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Gap&amp;R&amp;"Arial,Regular"&amp;8 &amp;A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3"/>
    <col collapsed="false" customWidth="true" hidden="false" outlineLevel="0" max="4" min="4" style="1" width="40"/>
    <col collapsed="false" customWidth="true" hidden="false" outlineLevel="0" max="5" min="5" style="0" width="11"/>
  </cols>
  <sheetData>
    <row r="1" customFormat="false" ht="39.75" hidden="false" customHeight="true" outlineLevel="0" collapsed="false">
      <c r="A1" s="16" t="s">
        <v>90</v>
      </c>
      <c r="B1" s="16"/>
      <c r="C1" s="16"/>
      <c r="D1" s="16"/>
      <c r="E1" s="17" t="s">
        <v>33</v>
      </c>
      <c r="F1" s="18"/>
    </row>
    <row r="2" customFormat="false" ht="9" hidden="false" customHeight="true" outlineLevel="0" collapsed="false">
      <c r="A2" s="19"/>
      <c r="B2" s="19"/>
      <c r="C2" s="19"/>
      <c r="D2" s="19"/>
    </row>
    <row r="3" customFormat="false" ht="9" hidden="true" customHeight="true" outlineLevel="0" collapsed="false">
      <c r="A3" s="19"/>
      <c r="B3" s="19"/>
      <c r="C3" s="19"/>
      <c r="D3" s="19"/>
    </row>
    <row r="4" customFormat="false" ht="16.5" hidden="false" customHeight="true" outlineLevel="0" collapsed="false">
      <c r="A4" s="20" t="s">
        <v>91</v>
      </c>
      <c r="B4" s="21" t="s">
        <v>81</v>
      </c>
      <c r="C4" s="21" t="s">
        <v>92</v>
      </c>
      <c r="D4" s="21" t="s">
        <v>93</v>
      </c>
    </row>
    <row r="5" customFormat="false" ht="15" hidden="false" customHeight="true" outlineLevel="0" collapsed="false">
      <c r="A5" s="22" t="s">
        <v>94</v>
      </c>
      <c r="B5" s="32" t="s">
        <v>95</v>
      </c>
      <c r="C5" s="22" t="s">
        <v>96</v>
      </c>
      <c r="D5" s="22" t="s">
        <v>97</v>
      </c>
    </row>
    <row r="6" customFormat="false" ht="15" hidden="false" customHeight="true" outlineLevel="0" collapsed="false">
      <c r="A6" s="22" t="s">
        <v>98</v>
      </c>
      <c r="B6" s="22" t="s">
        <v>99</v>
      </c>
      <c r="C6" s="22"/>
      <c r="D6" s="22" t="s">
        <v>100</v>
      </c>
    </row>
    <row r="7" customFormat="false" ht="15" hidden="false" customHeight="true" outlineLevel="0" collapsed="false">
      <c r="A7" s="22" t="s">
        <v>101</v>
      </c>
      <c r="B7" s="22" t="s">
        <v>102</v>
      </c>
      <c r="C7" s="22" t="s">
        <v>103</v>
      </c>
      <c r="D7" s="22" t="s">
        <v>104</v>
      </c>
    </row>
    <row r="8" customFormat="false" ht="15" hidden="false" customHeight="true" outlineLevel="0" collapsed="false">
      <c r="A8" s="22" t="s">
        <v>105</v>
      </c>
      <c r="B8" s="22" t="s">
        <v>106</v>
      </c>
      <c r="C8" s="22" t="s">
        <v>107</v>
      </c>
      <c r="D8" s="22" t="s">
        <v>108</v>
      </c>
    </row>
    <row r="9" customFormat="false" ht="15" hidden="false" customHeight="true" outlineLevel="0" collapsed="false">
      <c r="A9" s="22" t="s">
        <v>109</v>
      </c>
      <c r="B9" s="22" t="s">
        <v>110</v>
      </c>
      <c r="C9" s="22" t="s">
        <v>111</v>
      </c>
      <c r="D9" s="22" t="s">
        <v>112</v>
      </c>
    </row>
    <row r="10" customFormat="false" ht="9" hidden="false" customHeight="true" outlineLevel="0" collapsed="false">
      <c r="A10" s="19"/>
      <c r="B10" s="19"/>
      <c r="C10" s="19"/>
      <c r="D10" s="19"/>
    </row>
    <row r="11" customFormat="false" ht="15" hidden="false" customHeight="true" outlineLevel="0" collapsed="false">
      <c r="A11" s="22" t="s">
        <v>113</v>
      </c>
      <c r="B11" s="26" t="n">
        <f aca="false">B5*B6</f>
        <v>134.4</v>
      </c>
      <c r="C11" s="22"/>
      <c r="D11" s="22"/>
    </row>
    <row r="12" customFormat="false" ht="15" hidden="false" customHeight="true" outlineLevel="0" collapsed="false">
      <c r="A12" s="22" t="s">
        <v>114</v>
      </c>
      <c r="B12" s="26" t="n">
        <f aca="false">B8*1000*B9*B7/1000</f>
        <v>49</v>
      </c>
      <c r="C12" s="22"/>
      <c r="D12" s="22"/>
    </row>
    <row r="13" customFormat="false" ht="15" hidden="false" customHeight="true" outlineLevel="0" collapsed="false">
      <c r="A13" s="22" t="s">
        <v>115</v>
      </c>
      <c r="B13" s="33" t="n">
        <f aca="false">B12/B11</f>
        <v>0.364583333333333</v>
      </c>
      <c r="C13" s="22"/>
      <c r="D13" s="22"/>
    </row>
    <row r="14" customFormat="false" ht="9" hidden="false" customHeight="true" outlineLevel="0" collapsed="false">
      <c r="A14" s="19"/>
      <c r="B14" s="19"/>
      <c r="C14" s="19"/>
      <c r="D14" s="19"/>
    </row>
    <row r="15" customFormat="false" ht="9" hidden="true" customHeight="true" outlineLevel="0" collapsed="false">
      <c r="A15" s="19"/>
      <c r="B15" s="19"/>
      <c r="C15" s="19"/>
      <c r="D15" s="19"/>
    </row>
    <row r="16" customFormat="false" ht="15" hidden="false" customHeight="true" outlineLevel="0" collapsed="false">
      <c r="A16" s="25" t="s">
        <v>116</v>
      </c>
      <c r="B16" s="25"/>
      <c r="C16" s="25"/>
      <c r="D16" s="25"/>
    </row>
    <row r="17" customFormat="false" ht="15" hidden="false" customHeight="true" outlineLevel="0" collapsed="false">
      <c r="A17" s="25" t="s">
        <v>117</v>
      </c>
      <c r="B17" s="34" t="n">
        <v>2</v>
      </c>
      <c r="C17" s="34" t="n">
        <v>2.5</v>
      </c>
      <c r="D17" s="34" t="n">
        <v>3</v>
      </c>
    </row>
    <row r="18" customFormat="false" ht="15" hidden="false" customHeight="true" outlineLevel="0" collapsed="false">
      <c r="A18" s="22" t="n">
        <v>50</v>
      </c>
      <c r="B18" s="35" t="n">
        <f aca="false">50*1000*2*$B$7/1000/$B$11</f>
        <v>0.208333333333333</v>
      </c>
      <c r="C18" s="35" t="n">
        <f aca="false">50*1000*2.5*$B$7/1000/$B$11</f>
        <v>0.260416666666667</v>
      </c>
      <c r="D18" s="35" t="n">
        <f aca="false">50*1000*3*$B$7/1000/$B$11</f>
        <v>0.3125</v>
      </c>
    </row>
    <row r="19" customFormat="false" ht="15" hidden="false" customHeight="true" outlineLevel="0" collapsed="false">
      <c r="A19" s="22" t="n">
        <v>70</v>
      </c>
      <c r="B19" s="35" t="n">
        <f aca="false">70*1000*2*$B$7/1000/$B$11</f>
        <v>0.291666666666667</v>
      </c>
      <c r="C19" s="35" t="n">
        <f aca="false">70*1000*2.5*$B$7/1000/$B$11</f>
        <v>0.364583333333333</v>
      </c>
      <c r="D19" s="35" t="n">
        <f aca="false">70*1000*3*$B$7/1000/$B$11</f>
        <v>0.4375</v>
      </c>
    </row>
    <row r="20" customFormat="false" ht="15" hidden="false" customHeight="true" outlineLevel="0" collapsed="false">
      <c r="A20" s="22" t="n">
        <v>90</v>
      </c>
      <c r="B20" s="35" t="n">
        <f aca="false">90*1000*2*$B$7/1000/$B$11</f>
        <v>0.375</v>
      </c>
      <c r="C20" s="35" t="n">
        <f aca="false">90*1000*2.5*$B$7/1000/$B$11</f>
        <v>0.46875</v>
      </c>
      <c r="D20" s="35" t="n">
        <f aca="false">90*1000*3*$B$7/1000/$B$11</f>
        <v>0.5625</v>
      </c>
    </row>
  </sheetData>
  <mergeCells count="1">
    <mergeCell ref="A1:D1"/>
  </mergeCells>
  <hyperlinks>
    <hyperlink ref="E1" location="'Read Me'!A1" display="Contents"/>
  </hyperlinks>
  <printOptions headings="false" gridLines="false" gridLinesSet="true" horizontalCentered="true" verticalCentered="false"/>
  <pageMargins left="0.5" right="0.5" top="0.6" bottom="0.6" header="0.511811023622047" footer="0.511805555555556"/>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Gap&amp;R&amp;"Arial,Regular"&amp;8 &amp;A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
  <dc:language>en-US</dc:language>
  <cp:lastModifiedBy/>
  <cp:revision>0</cp:revision>
  <dc:subject/>
  <dc:title/>
</cp:coreProperties>
</file>

<file path=docProps/custom.xml><?xml version="1.0" encoding="utf-8"?>
<Properties xmlns="http://schemas.openxmlformats.org/officeDocument/2006/custom-properties" xmlns:vt="http://schemas.openxmlformats.org/officeDocument/2006/docPropsVTypes"/>
</file>