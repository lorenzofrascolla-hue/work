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Cover" sheetId="1" state="visible" r:id="rId3"/>
    <sheet name="01_Inputs" sheetId="2" state="visible" r:id="rId4"/>
    <sheet name="02_WACC_Build" sheetId="3" state="visible" r:id="rId5"/>
    <sheet name="03_Hamada" sheetId="4" state="visible" r:id="rId6"/>
    <sheet name="04_Merton_DD" sheetId="5" state="visible" r:id="rId7"/>
    <sheet name="05_Unit_Economics" sheetId="6" state="visible" r:id="rId8"/>
    <sheet name="06_Free_Cooling" sheetId="7" state="visible" r:id="rId9"/>
    <sheet name="07_Black_Scholes" sheetId="8" state="visible" r:id="rId10"/>
    <sheet name="08_Greeks" sheetId="9" state="visible" r:id="rId11"/>
    <sheet name="09_Arrhenius" sheetId="10" state="visible" r:id="rId12"/>
    <sheet name="10_Heat_Balance" sheetId="11" state="visible" r:id="rId13"/>
    <sheet name="11_Transformer_Losses" sheetId="12" state="visible" r:id="rId14"/>
    <sheet name="12_Monte_Carlo" sheetId="13" state="visible" r:id="rId15"/>
    <sheet name="13_Income_Statement" sheetId="14" state="visible" r:id="rId16"/>
    <sheet name="14_Balance_Sheet" sheetId="15" state="visible" r:id="rId17"/>
    <sheet name="15_Cash_Flow" sheetId="16" state="visible" r:id="rId18"/>
    <sheet name="16_DCF_Terminal" sheetId="17" state="visible" r:id="rId19"/>
    <sheet name="17_Sensitivity" sheetId="18" state="visible" r:id="rId20"/>
    <sheet name="18_Football_Field" sheetId="19" state="visible" r:id="rId21"/>
    <sheet name="19_Variant_Bridge" sheetId="20" state="visible" r:id="rId22"/>
    <sheet name="20_Robustness" sheetId="21" state="visible" r:id="rId23"/>
    <sheet name="21_Two_Name_Book" sheetId="22" state="visible" r:id="rId24"/>
  </sheets>
  <definedNames>
    <definedName function="false" hidden="false" localSheetId="0" name="_xlnm.Print_Area" vbProcedure="false">00_Cover!$A$1:$D$54</definedName>
    <definedName function="false" hidden="false" localSheetId="1" name="_xlnm.Print_Area" vbProcedure="false">01_Inputs!$A$1:$E$137</definedName>
    <definedName function="false" hidden="false" localSheetId="1" name="_xlnm.Print_Titles" vbProcedure="false">01_Inputs!$1:$1</definedName>
    <definedName function="false" hidden="false" localSheetId="2" name="_xlnm.Print_Area" vbProcedure="false">02_WACC_Build!$A$1:$D$23</definedName>
    <definedName function="false" hidden="false" localSheetId="2" name="_xlnm.Print_Titles" vbProcedure="false">02_WACC_Build!$1:$1</definedName>
    <definedName function="false" hidden="false" localSheetId="3" name="_xlnm.Print_Area" vbProcedure="false">03_Hamada!$A$1:$D$20</definedName>
    <definedName function="false" hidden="false" localSheetId="3" name="_xlnm.Print_Titles" vbProcedure="false">03_Hamada!$1:$1</definedName>
    <definedName function="false" hidden="false" localSheetId="4" name="_xlnm.Print_Area" vbProcedure="false">04_Merton_DD!$A$1:$D$14</definedName>
    <definedName function="false" hidden="false" localSheetId="4" name="_xlnm.Print_Titles" vbProcedure="false">04_Merton_DD!$1:$1</definedName>
    <definedName function="false" hidden="false" localSheetId="5" name="_xlnm.Print_Area" vbProcedure="false">05_Unit_Economics!$A$1:$D$22</definedName>
    <definedName function="false" hidden="false" localSheetId="5" name="_xlnm.Print_Titles" vbProcedure="false">05_Unit_Economics!$1:$1</definedName>
    <definedName function="false" hidden="false" localSheetId="6" name="_xlnm.Print_Area" vbProcedure="false">06_Free_Cooling!$A$1:$F$18</definedName>
    <definedName function="false" hidden="false" localSheetId="6" name="_xlnm.Print_Titles" vbProcedure="false">06_Free_Cooling!$1:$1</definedName>
    <definedName function="false" hidden="false" localSheetId="7" name="_xlnm.Print_Area" vbProcedure="false">07_Black_Scholes!$A$1:$D$37</definedName>
    <definedName function="false" hidden="false" localSheetId="7" name="_xlnm.Print_Titles" vbProcedure="false">07_Black_Scholes!$1:$1</definedName>
    <definedName function="false" hidden="false" localSheetId="8" name="_xlnm.Print_Area" vbProcedure="false">08_Greeks!$A$1:$D$17</definedName>
    <definedName function="false" hidden="false" localSheetId="8" name="_xlnm.Print_Titles" vbProcedure="false">08_Greeks!$1:$1</definedName>
    <definedName function="false" hidden="false" localSheetId="9" name="_xlnm.Print_Area" vbProcedure="false">09_Arrhenius!$A$1:$J$30</definedName>
    <definedName function="false" hidden="false" localSheetId="9" name="_xlnm.Print_Titles" vbProcedure="false">09_Arrhenius!$1:$1</definedName>
    <definedName function="false" hidden="false" localSheetId="10" name="_xlnm.Print_Area" vbProcedure="false">10_Heat_Balance!$A$1:$G$20</definedName>
    <definedName function="false" hidden="false" localSheetId="10" name="_xlnm.Print_Titles" vbProcedure="false">10_Heat_Balance!$1:$1</definedName>
    <definedName function="false" hidden="false" localSheetId="11" name="_xlnm.Print_Area" vbProcedure="false">11_Transformer_Losses!$A$1:$D$21</definedName>
    <definedName function="false" hidden="false" localSheetId="11" name="_xlnm.Print_Titles" vbProcedure="false">11_Transformer_Losses!$1:$1</definedName>
    <definedName function="false" hidden="false" localSheetId="12" name="_xlnm.Print_Area" vbProcedure="false">12_Monte_Carlo!$A$1:$F$2012</definedName>
    <definedName function="false" hidden="false" localSheetId="12" name="_xlnm.Print_Titles" vbProcedure="false">12_Monte_Carlo!$1:$1</definedName>
    <definedName function="false" hidden="false" localSheetId="13" name="_xlnm.Print_Area" vbProcedure="false">13_Income_Statement!$A$1:$H$14</definedName>
    <definedName function="false" hidden="false" localSheetId="13" name="_xlnm.Print_Titles" vbProcedure="false">13_Income_Statement!$1:$1</definedName>
    <definedName function="false" hidden="false" localSheetId="14" name="_xlnm.Print_Area" vbProcedure="false">14_Balance_Sheet!$A$1:$H$14</definedName>
    <definedName function="false" hidden="false" localSheetId="14" name="_xlnm.Print_Titles" vbProcedure="false">14_Balance_Sheet!$1:$1</definedName>
    <definedName function="false" hidden="false" localSheetId="15" name="_xlnm.Print_Area" vbProcedure="false">15_Cash_Flow!$A$1:$H$21</definedName>
    <definedName function="false" hidden="false" localSheetId="15" name="_xlnm.Print_Titles" vbProcedure="false">15_Cash_Flow!$1:$1</definedName>
    <definedName function="false" hidden="false" localSheetId="16" name="_xlnm.Print_Area" vbProcedure="false">16_DCF_Terminal!$A$1:$G$30</definedName>
    <definedName function="false" hidden="false" localSheetId="16" name="_xlnm.Print_Titles" vbProcedure="false">16_DCF_Terminal!$1:$1</definedName>
    <definedName function="false" hidden="false" localSheetId="17" name="_xlnm.Print_Area" vbProcedure="false">17_Sensitivity!$A$1:$G$11</definedName>
    <definedName function="false" hidden="false" localSheetId="17" name="_xlnm.Print_Titles" vbProcedure="false">17_Sensitivity!$1:$1</definedName>
    <definedName function="false" hidden="false" localSheetId="18" name="_xlnm.Print_Area" vbProcedure="false">18_Football_Field!$A$1:$E$15</definedName>
    <definedName function="false" hidden="false" localSheetId="18" name="_xlnm.Print_Titles" vbProcedure="false">18_Football_Field!$1:$1</definedName>
    <definedName function="false" hidden="false" localSheetId="19" name="_xlnm.Print_Area" vbProcedure="false">19_Variant_Bridge!$A$1:$E$29</definedName>
    <definedName function="false" hidden="false" localSheetId="19" name="_xlnm.Print_Titles" vbProcedure="false">19_Variant_Bridge!$1:$1</definedName>
    <definedName function="false" hidden="false" localSheetId="20" name="_xlnm.Print_Area" vbProcedure="false">20_Robustness!$A$1:$G$29</definedName>
    <definedName function="false" hidden="false" localSheetId="20" name="_xlnm.Print_Titles" vbProcedure="false">20_Robustness!$1:$1</definedName>
    <definedName function="false" hidden="false" localSheetId="21" name="_xlnm.Print_Area" vbProcedure="false">21_Two_Name_Book!$A$1:$E$17</definedName>
    <definedName function="false" hidden="false" localSheetId="21" name="_xlnm.Print_Titles" vbProcedure="false">21_Two_Name_Book!$1:$1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<sst xmlns="http://schemas.openxmlformats.org/spreadsheetml/2006/main" count="1261" uniqueCount="845">
  <si>
    <t xml:space="preserve">SIMANCAS CAPITAL  |  LORENZO FRASCOLLA</t>
  </si>
  <si>
    <t xml:space="preserve">The Silicon-Power Gap</t>
  </si>
  <si>
    <t xml:space="preserve">Valuation Model, companion to paper version 39.1</t>
  </si>
  <si>
    <t xml:space="preserve">ABOUT THIS WORKBOOK</t>
  </si>
  <si>
    <t xml:space="preserve">Thesis</t>
  </si>
  <si>
    <t xml:space="preserve">High-voltage transformer supply, not chips, is the binding constraint on AI compute in the next two to four years. This workbook rebuilds every valuation figure in Section I of the paper with live formulas, so each number can be traced to its inputs. Where the paper rounds intermediate steps, the note beside the figure says so.</t>
  </si>
  <si>
    <t xml:space="preserve">Operators</t>
  </si>
  <si>
    <t xml:space="preserve">Operator X: hypothetical Sun Belt landlord with 16 secured 75 MW transformer slots (Digital Realty-sized for scale). Operator H: hypothetical Nordic operator with 16 Helsinki / Luleå 100 MVA units. Both are long legs.</t>
  </si>
  <si>
    <t xml:space="preserve">Paper version</t>
  </si>
  <si>
    <t xml:space="preserve">v39.1, October 2026 (v39 with five printing corrections). Paper market inputs as of 1 June 2026; the extension tabs add Digital Realty filings to 23 July 2026 and its market value on 31 July 2026.</t>
  </si>
  <si>
    <t xml:space="preserve">Units</t>
  </si>
  <si>
    <t xml:space="preserve">US$ millions unless a row states otherwise.</t>
  </si>
  <si>
    <t xml:space="preserve">Structure</t>
  </si>
  <si>
    <t xml:space="preserve">Tabs 05, 06, 07, 09, 19, 20 and 21 reproduce the paper to its printed rounding. Tabs marked Extension go beyond it: cost of capital, credit risk, option Greeks, a Monte Carlo check, transformer physics, and a three-statement model and DCF of Operator X at Digital Realty scale built from its public filings.</t>
  </si>
  <si>
    <t xml:space="preserve">HEADLINE OUTPUTS</t>
  </si>
  <si>
    <t xml:space="preserve">Slot option value per slot ($M)</t>
  </si>
  <si>
    <t xml:space="preserve">Black-Scholes, 75 MW slot (paper: $19.7M)</t>
  </si>
  <si>
    <t xml:space="preserve">Option book, 16 slots ($M)</t>
  </si>
  <si>
    <t xml:space="preserve">Before the liquidity discount (paper: $315M)</t>
  </si>
  <si>
    <t xml:space="preserve">Operator X net hidden value ($M)</t>
  </si>
  <si>
    <t xml:space="preserve">After liquidity and Miami thermal liability (paper: $276M)</t>
  </si>
  <si>
    <t xml:space="preserve">Operator H net hidden value ($M)</t>
  </si>
  <si>
    <t xml:space="preserve">Free cooling, aging, insurance and siting lines (paper: $104M)</t>
  </si>
  <si>
    <t xml:space="preserve">Combined two-name book ($M)</t>
  </si>
  <si>
    <t xml:space="preserve">Both legs long (paper: about $380M)</t>
  </si>
  <si>
    <t xml:space="preserve">Monte Carlo vs Black-Scholes (std. errors)</t>
  </si>
  <si>
    <t xml:space="preserve">Within ±2 confirms the closed-form option value</t>
  </si>
  <si>
    <t xml:space="preserve">Operator X WACC (extension)</t>
  </si>
  <si>
    <t xml:space="preserve">CAPM on June 2026 market data</t>
  </si>
  <si>
    <t xml:space="preserve">HOW TO READ IT</t>
  </si>
  <si>
    <t xml:space="preserve">1,200</t>
  </si>
  <si>
    <t xml:space="preserve">Hardcoded input. Every input is sourced on the 01_Inputs tab; all other figures are live formulas.</t>
  </si>
  <si>
    <t xml:space="preserve">SECTION</t>
  </si>
  <si>
    <t xml:space="preserve">Section band</t>
  </si>
  <si>
    <t xml:space="preserve">Bold</t>
  </si>
  <si>
    <t xml:space="preserve">Key result row</t>
  </si>
  <si>
    <t xml:space="preserve">Click a tab name below to jump to it. Each tab has a Contents link in its top row to return here.</t>
  </si>
  <si>
    <t xml:space="preserve">CONTENTS</t>
  </si>
  <si>
    <t xml:space="preserve">Tab</t>
  </si>
  <si>
    <t xml:space="preserve">What it shows</t>
  </si>
  <si>
    <t xml:space="preserve">01_Inputs</t>
  </si>
  <si>
    <t xml:space="preserve">Every hardcoded assumption, with its value, unit and source. Every other figure in the workbook is a live formula built from this tab.</t>
  </si>
  <si>
    <t xml:space="preserve">02_WACC_Build</t>
  </si>
  <si>
    <t xml:space="preserve">Extension beyond the paper: CAPM cost of equity, market cost of debt and market-value weights for both operators.</t>
  </si>
  <si>
    <t xml:space="preserve">03_Hamada</t>
  </si>
  <si>
    <t xml:space="preserve">Extension beyond the paper: the REIT sector's asset beta relevered at each operator's own leverage.</t>
  </si>
  <si>
    <t xml:space="preserve">04_Merton_DD</t>
  </si>
  <si>
    <t xml:space="preserve">Extension beyond the paper: how far each operator's asset value sits above its debt, and the implied one-year default probability.</t>
  </si>
  <si>
    <t xml:space="preserve">05_Unit_Economics</t>
  </si>
  <si>
    <t xml:space="preserve">Paper §I.A.3 to §I.A.4: the megawatt-to-revenue bridge, then how the option's underlying S and strike K are built.</t>
  </si>
  <si>
    <t xml:space="preserve">06_Free_Cooling</t>
  </si>
  <si>
    <t xml:space="preserve">Paper §I.D.3: realized PUE from free-cooling hours, and the cooling-energy gap between Miami and the Nordic sites.</t>
  </si>
  <si>
    <t xml:space="preserve">07_Black_Scholes</t>
  </si>
  <si>
    <t xml:space="preserve">Paper §I.A.4: each secured 75 MW slot valued as a European call on accelerated deployment, then aggregated across 16 slots.</t>
  </si>
  <si>
    <t xml:space="preserve">08_Greeks</t>
  </si>
  <si>
    <t xml:space="preserve">Extension beyond the paper: delta, gamma, vega, theta and rho of the slot option, with a put-call parity check.</t>
  </si>
  <si>
    <t xml:space="preserve">09_Arrhenius</t>
  </si>
  <si>
    <t xml:space="preserve">Paper §I.B.3 to §I.B.4 and §I.D.3: insulation aging by site, competing-risks life, replacement reserve and insurance, and the Miami fleet liability.</t>
  </si>
  <si>
    <t xml:space="preserve">10_Heat_Balance</t>
  </si>
  <si>
    <t xml:space="preserve">Paper §I.B.3 and §I.D.3: the oil flow each cooling fluid needs to carry a transformer's waste heat, Miami against Helsinki.</t>
  </si>
  <si>
    <t xml:space="preserve">11_Transformer_Losses</t>
  </si>
  <si>
    <t xml:space="preserve">Paper §I.B.3 and §I.C.3, extended: a unit's losses and efficiency, their annual cost, and the steel a fleet ties up.</t>
  </si>
  <si>
    <t xml:space="preserve">12_Monte_Carlo</t>
  </si>
  <si>
    <t xml:space="preserve">Extension beyond the paper: 2,000 simulated price paths that independently reproduce the Black-Scholes slot value.</t>
  </si>
  <si>
    <t xml:space="preserve">13_Income_Statement</t>
  </si>
  <si>
    <t xml:space="preserve">Extension beyond the paper: five-year projection at Digital Realty scale, from reported FY2025 results and 2026 guidance.</t>
  </si>
  <si>
    <t xml:space="preserve">14_Balance_Sheet</t>
  </si>
  <si>
    <t xml:space="preserve">Extension beyond the paper: linked year-end balance sheet that balances in every year.</t>
  </si>
  <si>
    <t xml:space="preserve">15_Cash_Flow</t>
  </si>
  <si>
    <t xml:space="preserve">Extension beyond the paper: operating, investing and financing cash flows, and unlevered free cash flow.</t>
  </si>
  <si>
    <t xml:space="preserve">16_DCF_Terminal</t>
  </si>
  <si>
    <t xml:space="preserve">Extension beyond the paper: discounted free cash flow plus a value-driver terminal value, compared with the market price.</t>
  </si>
  <si>
    <t xml:space="preserve">17_Sensitivity</t>
  </si>
  <si>
    <t xml:space="preserve">Extension beyond the paper: Operator X value per share across discount rates and growth rates.</t>
  </si>
  <si>
    <t xml:space="preserve">18_Football_Field</t>
  </si>
  <si>
    <t xml:space="preserve">Extension beyond the paper: value per share by method, against the market price, with the paper's hidden value in context.</t>
  </si>
  <si>
    <t xml:space="preserve">19_Variant_Bridge</t>
  </si>
  <si>
    <t xml:space="preserve">Paper Tables A5 and A6 (§I.C.4, §I.D.4): the off-balance-sheet value of each operator, line by line.</t>
  </si>
  <si>
    <t xml:space="preserve">20_Robustness</t>
  </si>
  <si>
    <t xml:space="preserve">Paper Table A1 and §I.A.4: per-slot value across volatility and time to expiry, the stress tests quoted in the text, and a risk-free rate check.</t>
  </si>
  <si>
    <t xml:space="preserve">21_Two_Name_Book</t>
  </si>
  <si>
    <t xml:space="preserve">Paper Table A7 (§I.D.4): both legs long; the Miami thermal drag sits inside Operator X rather than as a separate short.</t>
  </si>
  <si>
    <t xml:space="preserve">Lorenzo Frascolla  |  Simancas Capital  |  Miami, Florida  |  fras032@stu.gulliverprep.org</t>
  </si>
  <si>
    <t xml:space="preserve">Illustrative research model. Operators are hypothetical; values are order-of-magnitude estimates built on the cited sources and stated assumptions. Not investment advice.</t>
  </si>
  <si>
    <r>
      <rPr>
        <b val="true"/>
        <sz val="14"/>
        <color rgb="FF000000"/>
        <rFont val="Arial"/>
        <family val="0"/>
        <charset val="1"/>
      </rPr>
      <t xml:space="preserve">01.  Inputs
</t>
    </r>
    <r>
      <rPr>
        <sz val="9.5"/>
        <color rgb="FF000000"/>
        <rFont val="Arial"/>
        <family val="0"/>
        <charset val="1"/>
      </rPr>
      <t xml:space="preserve">Every hardcoded assumption, with its value, unit and source. Every other figure in the workbook is a live formula built from this tab.</t>
    </r>
  </si>
  <si>
    <t xml:space="preserve">Contents</t>
  </si>
  <si>
    <t xml:space="preserve">Input</t>
  </si>
  <si>
    <t xml:space="preserve">Symbol</t>
  </si>
  <si>
    <t xml:space="preserve">Value</t>
  </si>
  <si>
    <t xml:space="preserve">Unit</t>
  </si>
  <si>
    <t xml:space="preserve">Source (paper section; external source)</t>
  </si>
  <si>
    <t xml:space="preserve">A. REVENUE BRIDGE (§I.A.3)</t>
  </si>
  <si>
    <t xml:space="preserve">IT-load utilization</t>
  </si>
  <si>
    <t xml:space="preserve">η_IT</t>
  </si>
  <si>
    <t xml:space="preserve">fraction</t>
  </si>
  <si>
    <t xml:space="preserve">§I.A.3; training-dominant workloads</t>
  </si>
  <si>
    <t xml:space="preserve">PUE, new direct-to-chip liquid-cooled build</t>
  </si>
  <si>
    <t xml:space="preserve">PUE</t>
  </si>
  <si>
    <t xml:space="preserve">ratio</t>
  </si>
  <si>
    <t xml:space="preserve">§I.A.3; Green Grid 2012</t>
  </si>
  <si>
    <t xml:space="preserve">GPU-hour price, H100-equivalent</t>
  </si>
  <si>
    <t xml:space="preserve">P_GPU-hr</t>
  </si>
  <si>
    <t xml:space="preserve">$/hr</t>
  </si>
  <si>
    <t xml:space="preserve">§I.A.3; 2026 spot</t>
  </si>
  <si>
    <t xml:space="preserve">Hours per year</t>
  </si>
  <si>
    <t xml:space="preserve">hr</t>
  </si>
  <si>
    <t xml:space="preserve">Calendar</t>
  </si>
  <si>
    <t xml:space="preserve">Accelerators per MW of IT load</t>
  </si>
  <si>
    <t xml:space="preserve">N_GPU/MW</t>
  </si>
  <si>
    <t xml:space="preserve">GPUs</t>
  </si>
  <si>
    <t xml:space="preserve">§I.A.3; 1 MW ÷ ~1 kW per node</t>
  </si>
  <si>
    <t xml:space="preserve">Tenant EBITDA per MW after power, staffing, network</t>
  </si>
  <si>
    <t xml:space="preserve">$M/MW/yr</t>
  </si>
  <si>
    <t xml:space="preserve">§I.A.3</t>
  </si>
  <si>
    <t xml:space="preserve">B. SLOT OPTION (§I.A.4)</t>
  </si>
  <si>
    <t xml:space="preserve">Scarcity premium over normalized lease economics</t>
  </si>
  <si>
    <t xml:space="preserve">§I.A.4; risk- and probability-adjusted; order-of-magnitude input</t>
  </si>
  <si>
    <t xml:space="preserve">Slot size</t>
  </si>
  <si>
    <t xml:space="preserve">MW</t>
  </si>
  <si>
    <t xml:space="preserve">§I.A.4</t>
  </si>
  <si>
    <t xml:space="preserve">Scarcity rent arrives, year 1</t>
  </si>
  <si>
    <t xml:space="preserve">t₁</t>
  </si>
  <si>
    <t xml:space="preserve">yr</t>
  </si>
  <si>
    <t xml:space="preserve">Scarcity rent arrives, year 2</t>
  </si>
  <si>
    <t xml:space="preserve">t₂</t>
  </si>
  <si>
    <t xml:space="preserve">Fit-out cost ex shell, land, transformer, tenant IT</t>
  </si>
  <si>
    <t xml:space="preserve">$M/MW</t>
  </si>
  <si>
    <t xml:space="preserve">§I.A.4; Turner &amp; Townsend 2025</t>
  </si>
  <si>
    <t xml:space="preserve">Acceleration of the build</t>
  </si>
  <si>
    <t xml:space="preserve">Δ</t>
  </si>
  <si>
    <t xml:space="preserve">Risk-free rate (U.S. Treasury)</t>
  </si>
  <si>
    <t xml:space="preserve">r</t>
  </si>
  <si>
    <t xml:space="preserve">rate</t>
  </si>
  <si>
    <t xml:space="preserve">§I.A.4: a conservative rate above the 1-year yield (3.83%); see 20_Robustness</t>
  </si>
  <si>
    <t xml:space="preserve">Volatility proxy (H100 spot, 12-month realized)</t>
  </si>
  <si>
    <t xml:space="preserve">σ</t>
  </si>
  <si>
    <t xml:space="preserve">§I.A.4; deliberately high proxy</t>
  </si>
  <si>
    <t xml:space="preserve">Time to slot-delivery decision</t>
  </si>
  <si>
    <t xml:space="preserve">T</t>
  </si>
  <si>
    <t xml:space="preserve">Secured slots, Operator X</t>
  </si>
  <si>
    <t xml:space="preserve">slots</t>
  </si>
  <si>
    <t xml:space="preserve">§I.A.4; 16 × 75 MW = 1.2 GW</t>
  </si>
  <si>
    <t xml:space="preserve">Liquidity / non-tradeability discount</t>
  </si>
  <si>
    <t xml:space="preserve">$M</t>
  </si>
  <si>
    <t xml:space="preserve">§I.A.4; single haircut, about 2.5%</t>
  </si>
  <si>
    <t xml:space="preserve">C. THERMAL AGING AND RESERVES (§I.B.3 TO §I.B.4)</t>
  </si>
  <si>
    <t xml:space="preserve">Replacement value per 100 MVA unit</t>
  </si>
  <si>
    <t xml:space="preserve">§I.B.4; Table A2 (2024 Q3 Operator X anchor)</t>
  </si>
  <si>
    <t xml:space="preserve">Normal insulation life at F_AA = 1</t>
  </si>
  <si>
    <t xml:space="preserve">IEEE C57.91-2011</t>
  </si>
  <si>
    <t xml:space="preserve">Non-thermal characteristic life</t>
  </si>
  <si>
    <t xml:space="preserve">§I.B.4; CIGRE 2015 (bushings, tap changers, moisture, through-faults)</t>
  </si>
  <si>
    <t xml:space="preserve">Hot-spot rise over ambient at rated load</t>
  </si>
  <si>
    <t xml:space="preserve">°C</t>
  </si>
  <si>
    <t xml:space="preserve">§I.B.3; IEEE rated 30 °C ambient → 110 °C hot-spot</t>
  </si>
  <si>
    <t xml:space="preserve">Arrhenius constant</t>
  </si>
  <si>
    <t xml:space="preserve">B</t>
  </si>
  <si>
    <t xml:space="preserve">K</t>
  </si>
  <si>
    <t xml:space="preserve">§I.B.3; IEEE C57.91 Clause 5.2</t>
  </si>
  <si>
    <t xml:space="preserve">Discount rate for reserve and insurance NPVs</t>
  </si>
  <si>
    <t xml:space="preserve">§I.B.4</t>
  </si>
  <si>
    <t xml:space="preserve">NPV horizon</t>
  </si>
  <si>
    <t xml:space="preserve">Insurance base rate, % of unit value</t>
  </si>
  <si>
    <t xml:space="preserve">§I.B.4; inside a 0.2% to 0.5% benchmark band, not an underwriting quote</t>
  </si>
  <si>
    <t xml:space="preserve">Insurance uplift (Miami) / reduction (Nordic)</t>
  </si>
  <si>
    <t xml:space="preserve">§I.B.4 and §I.D.4; illustrative</t>
  </si>
  <si>
    <t xml:space="preserve">D. SITE CLIMATE AND EQUIVALENT AGING (§I.B.3, §I.D.3)</t>
  </si>
  <si>
    <t xml:space="preserve">Northern Virginia (Loudoun): annual mean ambient</t>
  </si>
  <si>
    <t xml:space="preserve">θ̄_a</t>
  </si>
  <si>
    <t xml:space="preserve">§I.B.3 / §I.D.3 site tables</t>
  </si>
  <si>
    <t xml:space="preserve">Northern Virginia (Loudoun): equivalent aging factor</t>
  </si>
  <si>
    <t xml:space="preserve">F_EQA</t>
  </si>
  <si>
    <t xml:space="preserve">§I.B.3 / §I.D.3; integrated over monthly climate normals</t>
  </si>
  <si>
    <t xml:space="preserve">Dallas-Fort Worth: annual mean ambient</t>
  </si>
  <si>
    <t xml:space="preserve">Dallas-Fort Worth: equivalent aging factor</t>
  </si>
  <si>
    <t xml:space="preserve">Miami-Dade: annual mean ambient</t>
  </si>
  <si>
    <t xml:space="preserve">Miami-Dade: equivalent aging factor</t>
  </si>
  <si>
    <t xml:space="preserve">Phoenix (peak-weighted): annual mean ambient</t>
  </si>
  <si>
    <t xml:space="preserve">Phoenix (peak-weighted): equivalent aging factor</t>
  </si>
  <si>
    <t xml:space="preserve">Helsinki, FI: annual mean ambient</t>
  </si>
  <si>
    <t xml:space="preserve">Helsinki, FI: equivalent aging factor</t>
  </si>
  <si>
    <t xml:space="preserve">Stockholm, SE: annual mean ambient</t>
  </si>
  <si>
    <t xml:space="preserve">Stockholm, SE: equivalent aging factor</t>
  </si>
  <si>
    <t xml:space="preserve">Luleå, SE: annual mean ambient</t>
  </si>
  <si>
    <t xml:space="preserve">Luleå, SE: equivalent aging factor</t>
  </si>
  <si>
    <t xml:space="preserve">Reykjavík, IS: annual mean ambient</t>
  </si>
  <si>
    <t xml:space="preserve">Reykjavík, IS: equivalent aging factor</t>
  </si>
  <si>
    <t xml:space="preserve">E. FREE COOLING AND THE OPERATOR H BRIDGE (§I.D.3 TO §I.D.4)</t>
  </si>
  <si>
    <t xml:space="preserve">PUE in free-cooling regime</t>
  </si>
  <si>
    <t xml:space="preserve">§I.D.3; pump and fan parasitics only</t>
  </si>
  <si>
    <t xml:space="preserve">PUE with chiller plant active</t>
  </si>
  <si>
    <t xml:space="preserve">§I.D.3</t>
  </si>
  <si>
    <t xml:space="preserve">Free-cooling share of hours, Miami-Dade</t>
  </si>
  <si>
    <t xml:space="preserve">ϕ_free</t>
  </si>
  <si>
    <t xml:space="preserve">§I.D.3; wet-bulb below setpoint less approaches</t>
  </si>
  <si>
    <t xml:space="preserve">Free-cooling share of hours, Loudoun</t>
  </si>
  <si>
    <t xml:space="preserve">Free-cooling share of hours, Helsinki</t>
  </si>
  <si>
    <t xml:space="preserve">Free-cooling share of hours, Luleå</t>
  </si>
  <si>
    <t xml:space="preserve">Realized PUE as carried in the paper, Miami-Dade</t>
  </si>
  <si>
    <t xml:space="preserve">§I.D.3 table (two decimals)</t>
  </si>
  <si>
    <t xml:space="preserve">Realized PUE as carried in the paper, Loudoun</t>
  </si>
  <si>
    <t xml:space="preserve">Realized PUE as carried in the paper, Helsinki</t>
  </si>
  <si>
    <t xml:space="preserve">Realized PUE as carried in the paper, Luleå</t>
  </si>
  <si>
    <t xml:space="preserve">IT load allocated per transformer unit</t>
  </si>
  <si>
    <t xml:space="preserve">§I.D.4; conservative allocation</t>
  </si>
  <si>
    <t xml:space="preserve">Delivered power price</t>
  </si>
  <si>
    <t xml:space="preserve">$/MWh</t>
  </si>
  <si>
    <t xml:space="preserve">§I.D.4; back-solved from the paper's $620K/yr cooling line ('near $32/MWh')</t>
  </si>
  <si>
    <t xml:space="preserve">Latency penalty, inference workloads</t>
  </si>
  <si>
    <t xml:space="preserve">$M NPV</t>
  </si>
  <si>
    <t xml:space="preserve">§I.D.4; assumption (Helsinki ↔ NYC 80 to 120 ms)</t>
  </si>
  <si>
    <t xml:space="preserve">FX / repatriation friction on the cooling uplift</t>
  </si>
  <si>
    <t xml:space="preserve">§I.D.4; EUR/SEK cross-border reserve</t>
  </si>
  <si>
    <t xml:space="preserve">Sovereign-AI / low-carbon EU-siting premium</t>
  </si>
  <si>
    <t xml:space="preserve">§I.D.4 / §I.D.6; assumption, not derived</t>
  </si>
  <si>
    <t xml:space="preserve">District-heating waste-heat monetization</t>
  </si>
  <si>
    <t xml:space="preserve">§I.D.5; around $250K/MW/yr (Mäntsälä precedent)</t>
  </si>
  <si>
    <t xml:space="preserve">Transformer units, Operator H</t>
  </si>
  <si>
    <t xml:space="preserve">units</t>
  </si>
  <si>
    <t xml:space="preserve">§I.D.4; Helsinki / Luleå-weighted 100 MVA units</t>
  </si>
  <si>
    <t xml:space="preserve">F. EXTENSION: MARKET DATA, 1 JUNE 2026 (SOURCED)</t>
  </si>
  <si>
    <t xml:space="preserve">10-year U.S. Treasury yield</t>
  </si>
  <si>
    <t xml:space="preserve">r_f</t>
  </si>
  <si>
    <t xml:space="preserve">Damodaran ERP-by-month dataset, T.Bond rate at 1 June 2026 (FRED DGS10: 4.47%)</t>
  </si>
  <si>
    <t xml:space="preserve">1-year U.S. Treasury yield</t>
  </si>
  <si>
    <t xml:space="preserve">FRED DGS1, 1 June 2026. Used in the 20_Robustness rate check</t>
  </si>
  <si>
    <t xml:space="preserve">Implied U.S. equity risk premium</t>
  </si>
  <si>
    <t xml:space="preserve">ERP</t>
  </si>
  <si>
    <t xml:space="preserve">Damodaran implied ERP by month, 1 June 2026</t>
  </si>
  <si>
    <t xml:space="preserve">BBB corporate bond yield</t>
  </si>
  <si>
    <t xml:space="preserve">K_d</t>
  </si>
  <si>
    <t xml:space="preserve">FRED BAMLC0A4CBBBEY (ICE BofA BBB effective yield), 1 June 2026</t>
  </si>
  <si>
    <t xml:space="preserve">Levered beta, U.S. REITs</t>
  </si>
  <si>
    <t xml:space="preserve">β_L</t>
  </si>
  <si>
    <t xml:space="preserve">×</t>
  </si>
  <si>
    <t xml:space="preserve">Damodaran industry betas, January 2026 (190 REITs)</t>
  </si>
  <si>
    <t xml:space="preserve">Debt-to-equity, U.S. REITs</t>
  </si>
  <si>
    <t xml:space="preserve">D/E</t>
  </si>
  <si>
    <t xml:space="preserve">Damodaran industry betas, January 2026 (market D/E)</t>
  </si>
  <si>
    <t xml:space="preserve">Unlevered beta as published, U.S. REITs</t>
  </si>
  <si>
    <t xml:space="preserve">β_U</t>
  </si>
  <si>
    <t xml:space="preserve">Damodaran, January 2026. Unlevered at a 25% marginal tax rate; used only as a cross-check on 03_Hamada</t>
  </si>
  <si>
    <t xml:space="preserve">Equity volatility, U.S. REITs</t>
  </si>
  <si>
    <t xml:space="preserve">σ_E</t>
  </si>
  <si>
    <t xml:space="preserve">Damodaran industry betas, January 2026: standard deviation of equity</t>
  </si>
  <si>
    <t xml:space="preserve">Effective tax rate, U.S. REITs</t>
  </si>
  <si>
    <t xml:space="preserve">t</t>
  </si>
  <si>
    <t xml:space="preserve">Damodaran industry data, January 2026 (REITs distribute taxable income)</t>
  </si>
  <si>
    <t xml:space="preserve">G. EXTENSION: OPERATOR X SCALE CALIBRATION (DIGITAL REALTY PUBLIC FILINGS)</t>
  </si>
  <si>
    <t xml:space="preserve">Equity market value</t>
  </si>
  <si>
    <t xml:space="preserve">E</t>
  </si>
  <si>
    <t xml:space="preserve">§I.A.4: Digital Realty-sized capitalization, about $71B at 31 July 2026</t>
  </si>
  <si>
    <t xml:space="preserve">Total debt, 30 June 2026</t>
  </si>
  <si>
    <t xml:space="preserve">D</t>
  </si>
  <si>
    <t xml:space="preserve">Digital Realty Q2 2026 results, Form 8-K, 23 July 2026</t>
  </si>
  <si>
    <t xml:space="preserve">Cash and equivalents, 30 June 2026</t>
  </si>
  <si>
    <t xml:space="preserve">Common shares and operating-partnership units, 30 June 2026</t>
  </si>
  <si>
    <t xml:space="preserve">M</t>
  </si>
  <si>
    <t xml:space="preserve">Digital Realty Q2 2026 supplemental (370.0M shares + 6.7M units); $71B ÷ 376.7M = the $188.52 close on 31 July 2026</t>
  </si>
  <si>
    <t xml:space="preserve">Preferred stock, liquidation value, 30 June 2026</t>
  </si>
  <si>
    <t xml:space="preserve">Digital Realty Q2 2026 supplemental</t>
  </si>
  <si>
    <t xml:space="preserve">Redeemable noncontrolling interests, 30 June 2026</t>
  </si>
  <si>
    <t xml:space="preserve">Digital Realty Q2 2026 consolidated balance sheet</t>
  </si>
  <si>
    <t xml:space="preserve">Total operating revenue, FY2025</t>
  </si>
  <si>
    <t xml:space="preserve">Digital Realty Q4 2025 results, 5 February 2026</t>
  </si>
  <si>
    <t xml:space="preserve">Adjusted EBITDA, FY2025</t>
  </si>
  <si>
    <t xml:space="preserve">Digital Realty Q4 2025 results (sum of the four 2025 quarters)</t>
  </si>
  <si>
    <t xml:space="preserve">Depreciation and amortization, FY2025</t>
  </si>
  <si>
    <t xml:space="preserve">Digital Realty Q4 2025 results</t>
  </si>
  <si>
    <t xml:space="preserve">Interest expense, FY2025</t>
  </si>
  <si>
    <t xml:space="preserve">Recurring capital expenditure, FY2025</t>
  </si>
  <si>
    <t xml:space="preserve">Digital Realty Q4 2025 results (AFFO reconciliation)</t>
  </si>
  <si>
    <t xml:space="preserve">Total assets, 31 December 2025</t>
  </si>
  <si>
    <t xml:space="preserve">Total liabilities, 31 December 2025</t>
  </si>
  <si>
    <t xml:space="preserve">Total debt, 31 December 2025</t>
  </si>
  <si>
    <t xml:space="preserve">Digital Realty Q4 2025 results: $17,533.1M unsecured plus $869.1M secured</t>
  </si>
  <si>
    <t xml:space="preserve">Cash and equivalents, 31 December 2025</t>
  </si>
  <si>
    <t xml:space="preserve">Revenue, 2026 guidance midpoint</t>
  </si>
  <si>
    <t xml:space="preserve">Digital Realty guidance of $6.85B to $6.95B, 23 July 2026</t>
  </si>
  <si>
    <t xml:space="preserve">Adjusted EBITDA, 2026 guidance midpoint</t>
  </si>
  <si>
    <t xml:space="preserve">Digital Realty guidance of $3.75B to $3.85B, 23 July 2026</t>
  </si>
  <si>
    <t xml:space="preserve">Development capital expenditure, 2026</t>
  </si>
  <si>
    <t xml:space="preserve">Digital Realty 2026 guidance of $4.25B to $4.75B net of partners (raised 23 July 2026 from $3.5B to $4.0B). Used for 2026E only</t>
  </si>
  <si>
    <t xml:space="preserve">Common dividend per share, annualized</t>
  </si>
  <si>
    <t xml:space="preserve">$</t>
  </si>
  <si>
    <t xml:space="preserve">$1.22 quarterly, declared February 2026, × 4</t>
  </si>
  <si>
    <t xml:space="preserve">Development yield, EBITDA on cost</t>
  </si>
  <si>
    <t xml:space="preserve">Assumption: the double-digit stabilized yields targeted on new data-center development; ties 2027E to 2030E development spend to the growth it funds</t>
  </si>
  <si>
    <t xml:space="preserve">Revenue growth, 2027 to 2030</t>
  </si>
  <si>
    <t xml:space="preserve">g</t>
  </si>
  <si>
    <t xml:space="preserve">Assumption (illustrative), below the 2026 guided growth of about 13%</t>
  </si>
  <si>
    <t xml:space="preserve">Terminal growth</t>
  </si>
  <si>
    <t xml:space="preserve">g_T</t>
  </si>
  <si>
    <t xml:space="preserve">Assumption: long-run nominal growth</t>
  </si>
  <si>
    <t xml:space="preserve">Return on new invested capital, terminal period</t>
  </si>
  <si>
    <t xml:space="preserve">RONIC</t>
  </si>
  <si>
    <t xml:space="preserve">Assumption: about the double-digit stabilized yield targeted on new data-center development</t>
  </si>
  <si>
    <t xml:space="preserve">EV / EBITDA multiple, low</t>
  </si>
  <si>
    <t xml:space="preserve">Assumption: valuation range for large data-center REITs</t>
  </si>
  <si>
    <t xml:space="preserve">EV / EBITDA multiple, high</t>
  </si>
  <si>
    <t xml:space="preserve">H. EXTENSION: OPERATOR H CAPITAL STRUCTURE (ILLUSTRATIVE; NO LISTED COMPANY)</t>
  </si>
  <si>
    <t xml:space="preserve">German 10-year Bund yield (euro risk-free)</t>
  </si>
  <si>
    <t xml:space="preserve">FRED IRLTLT01DEM156N, June 2026 monthly average</t>
  </si>
  <si>
    <t xml:space="preserve">Debt-to-equity, Operator H</t>
  </si>
  <si>
    <t xml:space="preserve">Illustrative assumption carried from the original model</t>
  </si>
  <si>
    <t xml:space="preserve">Corporate tax rate, Finland</t>
  </si>
  <si>
    <t xml:space="preserve">Finnish statutory corporate income tax rate</t>
  </si>
  <si>
    <t xml:space="preserve">Pre-tax cost of debt, Operator H</t>
  </si>
  <si>
    <t xml:space="preserve">Illustrative: Bund yield plus an investment-grade spread</t>
  </si>
  <si>
    <t xml:space="preserve">Asset value, Operator H</t>
  </si>
  <si>
    <t xml:space="preserve">V</t>
  </si>
  <si>
    <t xml:space="preserve">Debt face value, Operator H</t>
  </si>
  <si>
    <t xml:space="preserve">Asset volatility, Operator H</t>
  </si>
  <si>
    <t xml:space="preserve">σ_A</t>
  </si>
  <si>
    <t xml:space="preserve">I. EXTENSION: TRANSFORMER PHYSICS (PAPER §I.B.3, §I.C.3)</t>
  </si>
  <si>
    <t xml:space="preserve">Transformer rating</t>
  </si>
  <si>
    <t xml:space="preserve">MVA</t>
  </si>
  <si>
    <t xml:space="preserve">§I.B.3</t>
  </si>
  <si>
    <t xml:space="preserve">Total losses at rated load</t>
  </si>
  <si>
    <t xml:space="preserve">of rating</t>
  </si>
  <si>
    <t xml:space="preserve">§I.B.3; Heathcote 2007, Hitachi Energy 2025</t>
  </si>
  <si>
    <t xml:space="preserve">No-load (core) loss, midpoint of 40 to 60 kW</t>
  </si>
  <si>
    <t xml:space="preserve">kW</t>
  </si>
  <si>
    <t xml:space="preserve">Load (I²R) loss, midpoint of 250 to 350 kW</t>
  </si>
  <si>
    <t xml:space="preserve">Oil temperature rise, standard case</t>
  </si>
  <si>
    <t xml:space="preserve">ΔT</t>
  </si>
  <si>
    <t xml:space="preserve">Oil temperature rise, Miami-derated case</t>
  </si>
  <si>
    <t xml:space="preserve">Oil temperature rise, Helsinki case</t>
  </si>
  <si>
    <t xml:space="preserve">Grain-oriented steel per 100 MVA unit</t>
  </si>
  <si>
    <t xml:space="preserve">§I.C.3; Nippon Steel 2024</t>
  </si>
  <si>
    <t xml:space="preserve">Monte Carlo draws (12_Monte_Carlo)</t>
  </si>
  <si>
    <t xml:space="preserve">draws</t>
  </si>
  <si>
    <t xml:space="preserve">Fixed seeded standard-normal draws, antithetic pairs</t>
  </si>
  <si>
    <t xml:space="preserve">Specific heat, Mineral oil (Nynas Nytro 10X)</t>
  </si>
  <si>
    <t xml:space="preserve">c_p</t>
  </si>
  <si>
    <t xml:space="preserve">J/kg·K</t>
  </si>
  <si>
    <t xml:space="preserve">§I.B.3 fluid table</t>
  </si>
  <si>
    <t xml:space="preserve">Density, Mineral oil (Nynas Nytro 10X)</t>
  </si>
  <si>
    <t xml:space="preserve">ρ</t>
  </si>
  <si>
    <t xml:space="preserve">kg/m³</t>
  </si>
  <si>
    <t xml:space="preserve">Specific heat, Synthetic ester (Midel 7131)</t>
  </si>
  <si>
    <t xml:space="preserve">Specific heat, Natural ester (FR3)</t>
  </si>
  <si>
    <t xml:space="preserve">Density, Natural ester (FR3)</t>
  </si>
  <si>
    <t xml:space="preserve">Specific heat, Silicone fluid (50 cSt)</t>
  </si>
  <si>
    <r>
      <rPr>
        <b val="true"/>
        <sz val="14"/>
        <color rgb="FF000000"/>
        <rFont val="Arial"/>
        <family val="0"/>
        <charset val="1"/>
      </rPr>
      <t xml:space="preserve">02.  Cost of Capital (WACC)
</t>
    </r>
    <r>
      <rPr>
        <sz val="9.5"/>
        <color rgb="FF000000"/>
        <rFont val="Arial"/>
        <family val="0"/>
        <charset val="1"/>
      </rPr>
      <t xml:space="preserve">Extension beyond the paper: CAPM cost of equity, market cost of debt and market-value weights for both operators.</t>
    </r>
  </si>
  <si>
    <t xml:space="preserve">Extension beyond the paper. Cost of capital for each operator from first principles: CAPM for equity, a market yield for debt, and market-value weights (Brealey, Myers and Allen 2019; Damodaran 2024).</t>
  </si>
  <si>
    <t xml:space="preserve">COST OF EQUITY (CAPM)</t>
  </si>
  <si>
    <t xml:space="preserve">Component</t>
  </si>
  <si>
    <t xml:space="preserve">Operator X</t>
  </si>
  <si>
    <t xml:space="preserve">Operator H</t>
  </si>
  <si>
    <t xml:space="preserve">How it is calculated</t>
  </si>
  <si>
    <t xml:space="preserve">Risk-free rate</t>
  </si>
  <si>
    <t xml:space="preserve">U.S. 10-year Treasury for X; German 10-year Bund for H (euro assets).</t>
  </si>
  <si>
    <t xml:space="preserve">Equity risk premium</t>
  </si>
  <si>
    <t xml:space="preserve">Damodaran implied U.S. ERP for both. Finland's country risk premium (0.36% in Damodaran's January 2026 data) is not added, so H's cost of equity is slightly understated.</t>
  </si>
  <si>
    <t xml:space="preserve">Levered beta</t>
  </si>
  <si>
    <t xml:space="preserve">From 03_Hamada: REIT asset beta relevered at each operator's leverage.</t>
  </si>
  <si>
    <t xml:space="preserve">Cost of equity, K_e = r_f + β × ERP</t>
  </si>
  <si>
    <t xml:space="preserve">Capital Asset Pricing Model.</t>
  </si>
  <si>
    <t xml:space="preserve">COST OF DEBT</t>
  </si>
  <si>
    <t xml:space="preserve">Pre-tax cost of debt</t>
  </si>
  <si>
    <t xml:space="preserve">BBB market yield for X (an investment-grade REIT); illustrative for H.</t>
  </si>
  <si>
    <t xml:space="preserve">Tax rate</t>
  </si>
  <si>
    <t xml:space="preserve">REIT effective rate for X; Finnish statutory rate for H.</t>
  </si>
  <si>
    <t xml:space="preserve">After-tax cost of debt, K_d × (1 − t)</t>
  </si>
  <si>
    <t xml:space="preserve">Interest is tax-deductible.</t>
  </si>
  <si>
    <t xml:space="preserve">CAPITAL WEIGHTS AND WACC</t>
  </si>
  <si>
    <t xml:space="preserve">Equity weight, E / (D + E)</t>
  </si>
  <si>
    <t xml:space="preserve">Market values for X; from D/E for H.</t>
  </si>
  <si>
    <t xml:space="preserve">Debt weight, D / (D + E)</t>
  </si>
  <si>
    <t xml:space="preserve">WACC</t>
  </si>
  <si>
    <t xml:space="preserve">WACC = E/V × K_e + D/V × K_d × (1 − t). Preferred stock and redeemable interests (about 2% of capital) are left out of the weights.</t>
  </si>
  <si>
    <r>
      <rPr>
        <b val="true"/>
        <sz val="14"/>
        <color rgb="FF000000"/>
        <rFont val="Arial"/>
        <family val="0"/>
        <charset val="1"/>
      </rPr>
      <t xml:space="preserve">03.  Beta Unlever and Relever (Hamada)
</t>
    </r>
    <r>
      <rPr>
        <sz val="9.5"/>
        <color rgb="FF000000"/>
        <rFont val="Arial"/>
        <family val="0"/>
        <charset val="1"/>
      </rPr>
      <t xml:space="preserve">Extension beyond the paper: the REIT sector's asset beta relevered at each operator's own leverage.</t>
    </r>
  </si>
  <si>
    <t xml:space="preserve">Extension beyond the paper. Hamada (1972): β_L = β_U × [1 + (1 − t) × D/E]. The REIT sector's levered beta is unlevered at the sector's own leverage and REIT tax rate, then relevered at each operator's leverage and tax rate, so one tax convention runs through both steps.</t>
  </si>
  <si>
    <t xml:space="preserve">STEP 1: SECTOR ASSET BETA</t>
  </si>
  <si>
    <t xml:space="preserve">Step</t>
  </si>
  <si>
    <t xml:space="preserve">Damodaran, January 2026 (190 REITs).</t>
  </si>
  <si>
    <t xml:space="preserve">Damodaran, January 2026.</t>
  </si>
  <si>
    <t xml:space="preserve">REIT effective tax rate</t>
  </si>
  <si>
    <t xml:space="preserve">REITs distribute taxable income, so the debt tax shield is small.</t>
  </si>
  <si>
    <t xml:space="preserve">Unlevered (asset) beta, β_U</t>
  </si>
  <si>
    <t xml:space="preserve">β_L ÷ [1 + (1 − t) × D/E].</t>
  </si>
  <si>
    <t xml:space="preserve">Cross-check: Damodaran's published β_U</t>
  </si>
  <si>
    <t xml:space="preserve">Damodaran unlevers at a 25% marginal tax rate: 0.642 ÷ (1 + 0.75 × 0.8446) = 0.393.</t>
  </si>
  <si>
    <t xml:space="preserve">STEP 2: RELEVER AT EACH OPERATOR</t>
  </si>
  <si>
    <t xml:space="preserve">Step 1; the REIT sector is the closest listed proxy for H as well.</t>
  </si>
  <si>
    <t xml:space="preserve">Debt-to-equity, D/E</t>
  </si>
  <si>
    <t xml:space="preserve">Market values for X.</t>
  </si>
  <si>
    <t xml:space="preserve">Leverage factor, 1 + (1 − t) × D/E</t>
  </si>
  <si>
    <t xml:space="preserve">Relevered (equity) beta, β_L</t>
  </si>
  <si>
    <t xml:space="preserve">Feeds 02_WACC_Build.</t>
  </si>
  <si>
    <r>
      <rPr>
        <b val="true"/>
        <sz val="14"/>
        <color rgb="FF000000"/>
        <rFont val="Arial"/>
        <family val="0"/>
        <charset val="1"/>
      </rPr>
      <t xml:space="preserve">04.  Credit Risk (Merton Distance-to-Default)
</t>
    </r>
    <r>
      <rPr>
        <sz val="9.5"/>
        <color rgb="FF000000"/>
        <rFont val="Arial"/>
        <family val="0"/>
        <charset val="1"/>
      </rPr>
      <t xml:space="preserve">Extension beyond the paper: how far each operator's asset value sits above its debt, and the implied one-year default probability.</t>
    </r>
  </si>
  <si>
    <t xml:space="preserve">Extension beyond the paper. Merton (1974): equity is a call option on the firm's assets with the debt as strike. Distance to default counts how many standard deviations asset value sits above the default point over one year.</t>
  </si>
  <si>
    <t xml:space="preserve">Asset value, V</t>
  </si>
  <si>
    <t xml:space="preserve">Equity plus debt for X.</t>
  </si>
  <si>
    <t xml:space="preserve">Default point, D</t>
  </si>
  <si>
    <t xml:space="preserve">Face value of debt.</t>
  </si>
  <si>
    <t xml:space="preserve">Asset volatility, σ_A</t>
  </si>
  <si>
    <t xml:space="preserve">For X: equity volatility × E/V (first-order de-levering).</t>
  </si>
  <si>
    <t xml:space="preserve">Risk-free rate, r</t>
  </si>
  <si>
    <t xml:space="preserve">One-year horizon for X; Bund for H.</t>
  </si>
  <si>
    <t xml:space="preserve">Horizon, T (years)</t>
  </si>
  <si>
    <t xml:space="preserve">ln(V / D)</t>
  </si>
  <si>
    <t xml:space="preserve">Drift, (r − σ_A² / 2) × T</t>
  </si>
  <si>
    <t xml:space="preserve">Distance to default, DD</t>
  </si>
  <si>
    <t xml:space="preserve">[ln(V/D) + (r − σ²/2)T] ÷ σ√T.</t>
  </si>
  <si>
    <t xml:space="preserve">One-year default probability, N(−DD)</t>
  </si>
  <si>
    <t xml:space="preserve">Risk-neutral probability; values this small mean default is remote.</t>
  </si>
  <si>
    <r>
      <rPr>
        <b val="true"/>
        <sz val="14"/>
        <color rgb="FF000000"/>
        <rFont val="Arial"/>
        <family val="0"/>
        <charset val="1"/>
      </rPr>
      <t xml:space="preserve">05.  Unit Economics and the Option Inputs
</t>
    </r>
    <r>
      <rPr>
        <sz val="9.5"/>
        <color rgb="FF000000"/>
        <rFont val="Arial"/>
        <family val="0"/>
        <charset val="1"/>
      </rPr>
      <t xml:space="preserve">Paper §I.A.3 to §I.A.4: the megawatt-to-revenue bridge, then how the option's underlying S and strike K are built.</t>
    </r>
  </si>
  <si>
    <t xml:space="preserve">REVENUE BRIDGE PER MW (§I.A.3)</t>
  </si>
  <si>
    <t xml:space="preserve">Line</t>
  </si>
  <si>
    <t xml:space="preserve">Gross compute revenue per MW</t>
  </si>
  <si>
    <t xml:space="preserve">R_MW = η_IT × PUE⁻¹ × P_GPU-hr × 8,760 × N_GPU/MW. Paper: about $14.2M.</t>
  </si>
  <si>
    <t xml:space="preserve">Tenant EBITDA per MW</t>
  </si>
  <si>
    <t xml:space="preserve">After power, staffing and network. Paper: about $4.2M.</t>
  </si>
  <si>
    <t xml:space="preserve">Implied tenant EBITDA margin</t>
  </si>
  <si>
    <t xml:space="preserve">EBITDA ÷ gross revenue.</t>
  </si>
  <si>
    <t xml:space="preserve">This is the tenant's willingness to pay, not what the landlord books. A power-secured landlord captures roughly $1.5M to $2.5M per MW through leases, so the option's underlying S is set from the landlord's scarcity rent below, not from this tenant figure.</t>
  </si>
  <si>
    <t xml:space="preserve">UNDERLYING S: PRESENT VALUE OF THE SCARCITY RENT PULLED FORWARD (§I.A.4)</t>
  </si>
  <si>
    <t xml:space="preserve">Annual scarcity rent per slot</t>
  </si>
  <si>
    <t xml:space="preserve">$M/yr</t>
  </si>
  <si>
    <t xml:space="preserve">$0.40M per MW per year × 75 MW.</t>
  </si>
  <si>
    <t xml:space="preserve">PV of year-1 rent</t>
  </si>
  <si>
    <t xml:space="preserve">Arrives at t = 1.5, discounted at r.</t>
  </si>
  <si>
    <t xml:space="preserve">PV of year-2 rent</t>
  </si>
  <si>
    <t xml:space="preserve">Arrives at t = 2.5, discounted at r.</t>
  </si>
  <si>
    <t xml:space="preserve">Underlying S</t>
  </si>
  <si>
    <t xml:space="preserve">Paper: $55.1M (unrounded $55.06M, used in Table A1).</t>
  </si>
  <si>
    <t xml:space="preserve">The paper brackets S at roughly $32M to $86M across a $0.30M to $0.50M per-MW premium and a 1.5 to 2.5 year head start. Because S is the load-bearing input, that range is what the thesis rests on.</t>
  </si>
  <si>
    <t xml:space="preserve">STRIKE K: CARRYING COST OF PULLING THE BUILD FORWARD (§I.A.4)</t>
  </si>
  <si>
    <t xml:space="preserve">Fit-out cost of a 75 MW block</t>
  </si>
  <si>
    <t xml:space="preserve">$6.0M per MW × 75 MW.</t>
  </si>
  <si>
    <t xml:space="preserve">Strike K</t>
  </si>
  <si>
    <t xml:space="preserve">450 × (1 − e^(−r × 2)). Paper: $37.9M.</t>
  </si>
  <si>
    <r>
      <rPr>
        <b val="true"/>
        <sz val="14"/>
        <color rgb="FF000000"/>
        <rFont val="Arial"/>
        <family val="0"/>
        <charset val="1"/>
      </rPr>
      <t xml:space="preserve">06.  Nordic Free Cooling
</t>
    </r>
    <r>
      <rPr>
        <sz val="9.5"/>
        <color rgb="FF000000"/>
        <rFont val="Arial"/>
        <family val="0"/>
        <charset val="1"/>
      </rPr>
      <t xml:space="preserve">Paper §I.D.3: realized PUE from free-cooling hours, and the cooling-energy gap between Miami and the Nordic sites.</t>
    </r>
  </si>
  <si>
    <t xml:space="preserve">REALIZED PUE (§I.D.3)</t>
  </si>
  <si>
    <t xml:space="preserve">PUE_realized = PUE_free × ϕ_free + PUE_mech × (1 − ϕ_free), with PUE_free = 1.05 and PUE_mech = 1.44. The bridge uses the PUEs as carried in the paper. For Helsinki the formula gives 1.093 and the paper carries 1.10, which slightly understates the Nordic advantage, so the rounding is conservative.</t>
  </si>
  <si>
    <t xml:space="preserve">Site</t>
  </si>
  <si>
    <t xml:space="preserve">PUE (formula)</t>
  </si>
  <si>
    <t xml:space="preserve">PUE (carried)</t>
  </si>
  <si>
    <t xml:space="preserve">Cooling energy vs Miami</t>
  </si>
  <si>
    <t xml:space="preserve">Note</t>
  </si>
  <si>
    <t xml:space="preserve">Miami-Dade</t>
  </si>
  <si>
    <t xml:space="preserve">Baseline. Paper: 1.42</t>
  </si>
  <si>
    <t xml:space="preserve">Loudoun</t>
  </si>
  <si>
    <t xml:space="preserve">Paper: 1.21, −50%</t>
  </si>
  <si>
    <t xml:space="preserve">Helsinki</t>
  </si>
  <si>
    <t xml:space="preserve">Formula 1.093; paper carries 1.10, −76%</t>
  </si>
  <si>
    <t xml:space="preserve">Luleå</t>
  </si>
  <si>
    <t xml:space="preserve">Paper: 1.07, −83%</t>
  </si>
  <si>
    <t xml:space="preserve">COOLING-ENERGY SAVING PER TRANSFORMER UNIT, HELSINKI VS MIAMI (§I.D.4)</t>
  </si>
  <si>
    <t xml:space="preserve">IT load per unit</t>
  </si>
  <si>
    <t xml:space="preserve">Conservative allocation.</t>
  </si>
  <si>
    <t xml:space="preserve">PUE gap, Miami − Helsinki</t>
  </si>
  <si>
    <t xml:space="preserve">1.42 − 1.10, as carried.</t>
  </si>
  <si>
    <t xml:space="preserve">Cooling energy avoided</t>
  </si>
  <si>
    <t xml:space="preserve">MWh/yr</t>
  </si>
  <si>
    <t xml:space="preserve">MW × 8,760 × PUE gap.</t>
  </si>
  <si>
    <t xml:space="preserve">01_Inputs.</t>
  </si>
  <si>
    <t xml:space="preserve">Annual cooling OPEX saved</t>
  </si>
  <si>
    <t xml:space="preserve">$K/yr</t>
  </si>
  <si>
    <t xml:space="preserve">Paper: $620K.</t>
  </si>
  <si>
    <r>
      <rPr>
        <b val="true"/>
        <sz val="14"/>
        <color rgb="FF000000"/>
        <rFont val="Arial"/>
        <family val="0"/>
        <charset val="1"/>
      </rPr>
      <t xml:space="preserve">07.  Transformer Slot Option (Black-Scholes)
</t>
    </r>
    <r>
      <rPr>
        <sz val="9.5"/>
        <color rgb="FF000000"/>
        <rFont val="Arial"/>
        <family val="0"/>
        <charset val="1"/>
      </rPr>
      <t xml:space="preserve">Paper §I.A.4: each secured 75 MW slot valued as a European call on accelerated deployment, then aggregated across 16 slots.</t>
    </r>
  </si>
  <si>
    <t xml:space="preserve">INPUTS (LINKED)</t>
  </si>
  <si>
    <t xml:space="preserve">Parameter</t>
  </si>
  <si>
    <t xml:space="preserve">Source</t>
  </si>
  <si>
    <t xml:space="preserve">Risk-free rate r</t>
  </si>
  <si>
    <t xml:space="preserve">Volatility σ</t>
  </si>
  <si>
    <t xml:space="preserve">Time to expiry T</t>
  </si>
  <si>
    <t xml:space="preserve">The paper's worked example rounds S to $55.1M and gets $19.71M. The model carries the unrounded $55.06M, which reproduces Table A1 cell for cell and gives $19.67M. Both round to the $19.7M headline.</t>
  </si>
  <si>
    <t xml:space="preserve">BLACK-SCHOLES CHAIN, PER 75 MW SLOT</t>
  </si>
  <si>
    <t xml:space="preserve">Formula</t>
  </si>
  <si>
    <t xml:space="preserve">ln(S / K)</t>
  </si>
  <si>
    <t xml:space="preserve">Worked example: 0.3742</t>
  </si>
  <si>
    <t xml:space="preserve">(r + σ²/2) × T</t>
  </si>
  <si>
    <t xml:space="preserve">Worked example: 0.10525</t>
  </si>
  <si>
    <t xml:space="preserve">σ × √T</t>
  </si>
  <si>
    <t xml:space="preserve">d₁</t>
  </si>
  <si>
    <t xml:space="preserve">[ln(S/K) + (r + σ²/2)T] ÷ σ√T. Worked example: 1.370</t>
  </si>
  <si>
    <t xml:space="preserve">d₂</t>
  </si>
  <si>
    <t xml:space="preserve">d₁ − σ√T. Worked example: 1.020</t>
  </si>
  <si>
    <t xml:space="preserve">N(d₁)</t>
  </si>
  <si>
    <t xml:space="preserve">Standard normal cumulative distribution. Worked example: ≈ 0.9147</t>
  </si>
  <si>
    <t xml:space="preserve">N(d₂)</t>
  </si>
  <si>
    <t xml:space="preserve">Worked example: ≈ 0.8461</t>
  </si>
  <si>
    <t xml:space="preserve">Discounted strike K·e^(−rT)</t>
  </si>
  <si>
    <t xml:space="preserve">Worked example: 36.27</t>
  </si>
  <si>
    <t xml:space="preserve">Call value per slot</t>
  </si>
  <si>
    <t xml:space="preserve">C = S·N(d₁) − K·e^(−rT)·N(d₂). Paper: $19.7M (worked example $19.71M).</t>
  </si>
  <si>
    <t xml:space="preserve">WHAT DRIVES THE VALUE</t>
  </si>
  <si>
    <t xml:space="preserve">Intrinsic value, S − K·e^(−rT)</t>
  </si>
  <si>
    <t xml:space="preserve">Value if exercised today.</t>
  </si>
  <si>
    <t xml:space="preserve">Time value</t>
  </si>
  <si>
    <t xml:space="preserve">Paper: about $0.9M. The slot is deep in the money, so S, not the option mechanics, carries the result.</t>
  </si>
  <si>
    <t xml:space="preserve">Intrinsic share of value</t>
  </si>
  <si>
    <t xml:space="preserve">OPERATOR X OPTION BOOK</t>
  </si>
  <si>
    <t xml:space="preserve">Secured slots</t>
  </si>
  <si>
    <t xml:space="preserve">Gross option value, 16 slots</t>
  </si>
  <si>
    <t xml:space="preserve">Paper: $315M.</t>
  </si>
  <si>
    <t xml:space="preserve">Paper: −$8M (about 2.5%).</t>
  </si>
  <si>
    <t xml:space="preserve">Haircut as % of gross</t>
  </si>
  <si>
    <t xml:space="preserve">Liquidity-adjusted option leg</t>
  </si>
  <si>
    <t xml:space="preserve">Paper: $307M.</t>
  </si>
  <si>
    <r>
      <rPr>
        <b val="true"/>
        <sz val="14"/>
        <color rgb="FF000000"/>
        <rFont val="Arial"/>
        <family val="0"/>
        <charset val="1"/>
      </rPr>
      <t xml:space="preserve">08.  Option Greeks
</t>
    </r>
    <r>
      <rPr>
        <sz val="9.5"/>
        <color rgb="FF000000"/>
        <rFont val="Arial"/>
        <family val="0"/>
        <charset val="1"/>
      </rPr>
      <t xml:space="preserve">Extension beyond the paper: delta, gamma, vega, theta and rho of the slot option, with a put-call parity check.</t>
    </r>
  </si>
  <si>
    <t xml:space="preserve">Extension beyond the paper. Closed-form sensitivities of the slot option in 07_Black_Scholes (Hull 2021). They show why the paper calls the option deep in the money: delta is near one and vega is small.</t>
  </si>
  <si>
    <t xml:space="preserve">Greek</t>
  </si>
  <si>
    <t xml:space="preserve">Per slot</t>
  </si>
  <si>
    <t xml:space="preserve">16 slots</t>
  </si>
  <si>
    <t xml:space="preserve">Meaning</t>
  </si>
  <si>
    <t xml:space="preserve">φ(d₁), standard normal density</t>
  </si>
  <si>
    <t xml:space="preserve">Delta, N(d₁)</t>
  </si>
  <si>
    <t xml:space="preserve">$M change in option value per $1M change in S.</t>
  </si>
  <si>
    <t xml:space="preserve">Gamma, φ(d₁) ÷ (S σ √T)</t>
  </si>
  <si>
    <t xml:space="preserve">Change in delta per $1M change in S.</t>
  </si>
  <si>
    <t xml:space="preserve">Vega, S φ(d₁) √T ÷ 100</t>
  </si>
  <si>
    <t xml:space="preserve">$M change per 1 point of volatility.</t>
  </si>
  <si>
    <t xml:space="preserve">Theta, per year</t>
  </si>
  <si>
    <t xml:space="preserve">$M of value lost per year with all else fixed.</t>
  </si>
  <si>
    <t xml:space="preserve">Rho, K T e^(−rT) N(d₂) ÷ 100</t>
  </si>
  <si>
    <t xml:space="preserve">$M change per 1 point of interest rate.</t>
  </si>
  <si>
    <t xml:space="preserve">Full rate effect, r + 1 point</t>
  </si>
  <si>
    <t xml:space="preserve">Rho holds S and K fixed. In this model r also discounts S and sets K, so the full effect of a higher rate is negative (see 20_Robustness).</t>
  </si>
  <si>
    <t xml:space="preserve">PUT-CALL PARITY CHECK</t>
  </si>
  <si>
    <t xml:space="preserve">European put, K e^(−rT) N(−d₂) − S N(−d₁)</t>
  </si>
  <si>
    <t xml:space="preserve">Priced independently with Black-Scholes.</t>
  </si>
  <si>
    <t xml:space="preserve">Parity residual, C − P − (S − K e^(−rT))</t>
  </si>
  <si>
    <t xml:space="preserve">Must be zero.</t>
  </si>
  <si>
    <r>
      <rPr>
        <b val="true"/>
        <sz val="14"/>
        <color rgb="FF000000"/>
        <rFont val="Arial"/>
        <family val="0"/>
        <charset val="1"/>
      </rPr>
      <t xml:space="preserve">09.  Thermal Aging and the Operator X Liability
</t>
    </r>
    <r>
      <rPr>
        <sz val="9.5"/>
        <color rgb="FF000000"/>
        <rFont val="Arial"/>
        <family val="0"/>
        <charset val="1"/>
      </rPr>
      <t xml:space="preserve">Paper §I.B.3 to §I.B.4 and §I.D.3: insulation aging by site, competing-risks life, replacement reserve and insurance, and the Miami fleet liability.</t>
    </r>
  </si>
  <si>
    <t xml:space="preserve">COMMON FACTORS</t>
  </si>
  <si>
    <t xml:space="preserve">Thermal life at F_AA = 1</t>
  </si>
  <si>
    <t xml:space="preserve">180,000 hr ÷ 8,760.</t>
  </si>
  <si>
    <t xml:space="preserve">PV annuity factor, 20 yr at 8%</t>
  </si>
  <si>
    <t xml:space="preserve">Paper: 9.818.</t>
  </si>
  <si>
    <t xml:space="preserve">Insurance base per unit per year</t>
  </si>
  <si>
    <t xml:space="preserve">0.30% × $9.2M. Paper: $27.6K.</t>
  </si>
  <si>
    <t xml:space="preserve">SITE AGING, LIFE AND REPLACEMENT RESERVE (§I.B.3, §I.B.4, §I.D.3)</t>
  </si>
  <si>
    <t xml:space="preserve">Ambient (°C)</t>
  </si>
  <si>
    <t xml:space="preserve">Hot-spot (°C)</t>
  </si>
  <si>
    <t xml:space="preserve">F_AA at mean hot-spot</t>
  </si>
  <si>
    <t xml:space="preserve">F_EQA (monthly)</t>
  </si>
  <si>
    <t xml:space="preserve">Aging index (NoVA = 1)</t>
  </si>
  <si>
    <t xml:space="preserve">Thermal life (yr)</t>
  </si>
  <si>
    <t xml:space="preserve">Life, competing risks (yr)</t>
  </si>
  <si>
    <t xml:space="preserve">Reserve ($K/yr)</t>
  </si>
  <si>
    <t xml:space="preserve">Reserve NPV Δ vs NoVA ($M, 20 yr at 8%)</t>
  </si>
  <si>
    <t xml:space="preserve">Northern Virginia (Loudoun)</t>
  </si>
  <si>
    <t xml:space="preserve">Dallas-Fort Worth</t>
  </si>
  <si>
    <t xml:space="preserve">Phoenix (peak-weighted)</t>
  </si>
  <si>
    <t xml:space="preserve">Helsinki, FI</t>
  </si>
  <si>
    <t xml:space="preserve">Stockholm, SE</t>
  </si>
  <si>
    <t xml:space="preserve">Luleå, SE</t>
  </si>
  <si>
    <t xml:space="preserve">Reykjavík, IS</t>
  </si>
  <si>
    <t xml:space="preserve">F_EQA integrates aging over monthly climate normals and is the figure the paper uses (Miami 0.645, Helsinki 0.107: a 6.0× spread). The column beside it applies the IEEE formula F_AA = exp[15,000 × (1/383 − 1/(θ_HS + 273))] to the annual-mean hot-spot only; it runs lower because aging is convex in temperature, so hot months add more aging than cool months remove. Life combines thermal aging with a 45-year non-thermal failure life on a competing-risks basis: 1 / (1/thermal + 1/45).</t>
  </si>
  <si>
    <t xml:space="preserve">OPERATOR X: MIAMI FLEET LIABILITY (§I.B.4)</t>
  </si>
  <si>
    <t xml:space="preserve">Reserve Δ per unit, Miami vs NoVA</t>
  </si>
  <si>
    <t xml:space="preserve">Paper: $183K (rounded).</t>
  </si>
  <si>
    <t xml:space="preserve">Incremental reserve, 16 units</t>
  </si>
  <si>
    <t xml:space="preserve">Paper: $2.93M/yr (16 × the rounded $183K).</t>
  </si>
  <si>
    <t xml:space="preserve">Reserve liability NPV</t>
  </si>
  <si>
    <t xml:space="preserve">Paper: −$28.8M ($2.93M × 9.818).</t>
  </si>
  <si>
    <t xml:space="preserve">Insurance uplift, 16 units</t>
  </si>
  <si>
    <t xml:space="preserve">+40% on the base. Paper: +$0.18M/yr.</t>
  </si>
  <si>
    <t xml:space="preserve">Insurance liability NPV</t>
  </si>
  <si>
    <t xml:space="preserve">Paper: −$1.7M.</t>
  </si>
  <si>
    <t xml:space="preserve">Total thermal liability NPV</t>
  </si>
  <si>
    <t xml:space="preserve">Paper: −$30.5M, the ≈ −$31M working figure.</t>
  </si>
  <si>
    <t xml:space="preserve">The paper multiplies rounded intermediates ($183K × 16, then × 9.818), so its printed figures run up to $0.1M above the full-precision values here; the same rounding explains the small gaps in the reserve and NPV Δ columns of the site table.</t>
  </si>
  <si>
    <r>
      <rPr>
        <b val="true"/>
        <sz val="14"/>
        <color rgb="FF000000"/>
        <rFont val="Arial"/>
        <family val="0"/>
        <charset val="1"/>
      </rPr>
      <t xml:space="preserve">10.  Transformer Cooling Heat Balance
</t>
    </r>
    <r>
      <rPr>
        <sz val="9.5"/>
        <color rgb="FF000000"/>
        <rFont val="Arial"/>
        <family val="0"/>
        <charset val="1"/>
      </rPr>
      <t xml:space="preserve">Paper §I.B.3 and §I.D.3: the oil flow each cooling fluid needs to carry a transformer's waste heat, Miami against Helsinki.</t>
    </r>
  </si>
  <si>
    <t xml:space="preserve">Paper §I.B.3. Steady-state energy balance (Lienhard and Lienhard 2019): ṁ = Q ÷ (c_p × ΔT). Under ONAN/ONAF cooling the oil moves by thermosiphon, so this compares circulation duty between fluids; it is not a pump-power cost.</t>
  </si>
  <si>
    <t xml:space="preserve">Heat to remove at rated load, Q</t>
  </si>
  <si>
    <t xml:space="preserve">W</t>
  </si>
  <si>
    <t xml:space="preserve">0.35% × 100 MVA = 0.35 MW thermal.</t>
  </si>
  <si>
    <t xml:space="preserve">Check: no-load + load loss</t>
  </si>
  <si>
    <t xml:space="preserve">50 kW + 300 kW midpoints; must equal Q.</t>
  </si>
  <si>
    <t xml:space="preserve">CIRCULATION DUTY BY FLUID, MIAMI (§I.B.3 TABLE)</t>
  </si>
  <si>
    <t xml:space="preserve">Fluid</t>
  </si>
  <si>
    <t xml:space="preserve">c_p (J/kg·K)</t>
  </si>
  <si>
    <t xml:space="preserve">ṁ at ΔT 20 °C (kg/s)</t>
  </si>
  <si>
    <t xml:space="preserve">ṁ at ΔT 15 °C (kg/s)</t>
  </si>
  <si>
    <t xml:space="preserve">Mass flow vs mineral</t>
  </si>
  <si>
    <t xml:space="preserve">Volume at ΔT 20 °C (L/s)</t>
  </si>
  <si>
    <t xml:space="preserve">Mineral oil (Nytro 10X)</t>
  </si>
  <si>
    <t xml:space="preserve">ṁ = Q ÷ (c_p × ΔT); volume = ṁ ÷ ρ.</t>
  </si>
  <si>
    <t xml:space="preserve">Synthetic ester (Midel 7131)</t>
  </si>
  <si>
    <t xml:space="preserve">n/a</t>
  </si>
  <si>
    <t xml:space="preserve">ṁ = Q ÷ (c_p × ΔT); the paper gives no density, so no volume.</t>
  </si>
  <si>
    <t xml:space="preserve">Natural ester (FR3)</t>
  </si>
  <si>
    <t xml:space="preserve">Silicone fluid (50 cSt)</t>
  </si>
  <si>
    <t xml:space="preserve">HELSINKI RECALCULATION (§I.D.3)</t>
  </si>
  <si>
    <t xml:space="preserve">Mineral oil mass flow at ΔT 30 °C</t>
  </si>
  <si>
    <t xml:space="preserve">kg/s</t>
  </si>
  <si>
    <t xml:space="preserve">Colder heat sink allows a wider rise. Paper: 6.27 kg/s.</t>
  </si>
  <si>
    <t xml:space="preserve">Volume flow</t>
  </si>
  <si>
    <t xml:space="preserve">L/s</t>
  </si>
  <si>
    <t xml:space="preserve">Paper: 7.2 L/s.</t>
  </si>
  <si>
    <t xml:space="preserve">Reduction vs Miami (ΔT 20 °C)</t>
  </si>
  <si>
    <t xml:space="preserve">Paper: a 33% reduction in circulation duty.</t>
  </si>
  <si>
    <r>
      <rPr>
        <b val="true"/>
        <sz val="14"/>
        <color rgb="FF000000"/>
        <rFont val="Arial"/>
        <family val="0"/>
        <charset val="1"/>
      </rPr>
      <t xml:space="preserve">11.  Transformer Losses and Steel
</t>
    </r>
    <r>
      <rPr>
        <sz val="9.5"/>
        <color rgb="FF000000"/>
        <rFont val="Arial"/>
        <family val="0"/>
        <charset val="1"/>
      </rPr>
      <t xml:space="preserve">Paper §I.B.3 and §I.C.3, extended: a unit's losses and efficiency, their annual cost, and the steel a fleet ties up.</t>
    </r>
  </si>
  <si>
    <t xml:space="preserve">Paper §I.B.3 and §I.C.3, extended: what a 100 MVA unit loses as heat, what that costs, and how much grain-oriented electrical steel (GOES) the fleet ties up.</t>
  </si>
  <si>
    <t xml:space="preserve">No-load (core) loss</t>
  </si>
  <si>
    <t xml:space="preserve">Hysteresis and eddy current in the GOES core; present whenever energized.</t>
  </si>
  <si>
    <t xml:space="preserve">Load (I²R) loss at rated load</t>
  </si>
  <si>
    <t xml:space="preserve">Copper loss; scales with the square of load.</t>
  </si>
  <si>
    <t xml:space="preserve">Total loss</t>
  </si>
  <si>
    <t xml:space="preserve">Loss as share of rating</t>
  </si>
  <si>
    <t xml:space="preserve">Paper: 0.35%.</t>
  </si>
  <si>
    <t xml:space="preserve">Full-load efficiency</t>
  </si>
  <si>
    <t xml:space="preserve">Paper: near 99.6%.</t>
  </si>
  <si>
    <t xml:space="preserve">EXTENSION BEYOND THE PAPER. ANNUAL COST OF LOSSES</t>
  </si>
  <si>
    <t xml:space="preserve">Energy lost per unit per year at rated load</t>
  </si>
  <si>
    <t xml:space="preserve">kW × 8,760 hours; an upper bound, since load is below rated most hours.</t>
  </si>
  <si>
    <t xml:space="preserve">Cost per unit per year</t>
  </si>
  <si>
    <t xml:space="preserve">At the §I.D.4 delivered power price.</t>
  </si>
  <si>
    <t xml:space="preserve">Cost for a 16-unit fleet</t>
  </si>
  <si>
    <t xml:space="preserve">STEEL TIED UP IN THE FLEET (§I.C.3)</t>
  </si>
  <si>
    <t xml:space="preserve">GOES per 100 MVA unit</t>
  </si>
  <si>
    <t xml:space="preserve">Nippon Steel 2024.</t>
  </si>
  <si>
    <t xml:space="preserve">GOES in a 16-unit fleet</t>
  </si>
  <si>
    <t xml:space="preserve">Steel that cannot be requalified quickly (§I.C.3).</t>
  </si>
  <si>
    <r>
      <rPr>
        <b val="true"/>
        <sz val="14"/>
        <color rgb="FF000000"/>
        <rFont val="Arial"/>
        <family val="0"/>
        <charset val="1"/>
      </rPr>
      <t xml:space="preserve">12.  Monte Carlo Check of the Option
</t>
    </r>
    <r>
      <rPr>
        <sz val="9.5"/>
        <color rgb="FF000000"/>
        <rFont val="Arial"/>
        <family val="0"/>
        <charset val="1"/>
      </rPr>
      <t xml:space="preserve">Extension beyond the paper: 2,000 simulated price paths that independently reproduce the Black-Scholes slot value.</t>
    </r>
  </si>
  <si>
    <t xml:space="preserve">Extension beyond the paper. An independent check on 07_Black_Scholes. Each row simulates the slot's underlying one year ahead under risk-neutral lognormal dynamics, S_T = S × exp[(r − σ²/2)T + σ√T × z], pays max(S_T − K, 0) and discounts it. The average of 2,000 paths should land within two standard errors of the closed-form price.</t>
  </si>
  <si>
    <t xml:space="preserve">Result</t>
  </si>
  <si>
    <t xml:space="preserve">Monte Carlo price per slot ($M)</t>
  </si>
  <si>
    <t xml:space="preserve">Average discounted payoff.</t>
  </si>
  <si>
    <t xml:space="preserve">Standard error ($M)</t>
  </si>
  <si>
    <t xml:space="preserve">Antithetic pairs are not independent, so: standard deviation of the 1,000 pair means ÷ √1,000.</t>
  </si>
  <si>
    <t xml:space="preserve">Black-Scholes price per slot ($M)</t>
  </si>
  <si>
    <t xml:space="preserve">From 07_Black_Scholes.</t>
  </si>
  <si>
    <t xml:space="preserve">Difference in standard errors</t>
  </si>
  <si>
    <t xml:space="preserve">Within ±2 means the closed form is confirmed.</t>
  </si>
  <si>
    <t xml:space="preserve">SIMULATED PATHS</t>
  </si>
  <si>
    <t xml:space="preserve">Draw</t>
  </si>
  <si>
    <t xml:space="preserve">z (standard normal)</t>
  </si>
  <si>
    <t xml:space="preserve">S_T ($M)</t>
  </si>
  <si>
    <t xml:space="preserve">Payoff ($M)</t>
  </si>
  <si>
    <t xml:space="preserve">Discounted ($M)</t>
  </si>
  <si>
    <t xml:space="preserve">Pair mean ($M)</t>
  </si>
  <si>
    <r>
      <rPr>
        <b val="true"/>
        <sz val="14"/>
        <color rgb="FF000000"/>
        <rFont val="Arial"/>
        <family val="0"/>
        <charset val="1"/>
      </rPr>
      <t xml:space="preserve">13.  Income Statement, Operator X
</t>
    </r>
    <r>
      <rPr>
        <sz val="9.5"/>
        <color rgb="FF000000"/>
        <rFont val="Arial"/>
        <family val="0"/>
        <charset val="1"/>
      </rPr>
      <t xml:space="preserve">Extension beyond the paper: five-year projection at Digital Realty scale, from reported FY2025 results and 2026 guidance.</t>
    </r>
  </si>
  <si>
    <t xml:space="preserve">Extension beyond the paper. Operator X at Digital Realty scale. 2025A is reported (Adjusted EBITDA basis). 2026E uses company guidance midpoints; 2027E to 2030E grow revenue at the 01_Inputs rate and hold the 2026 margin and FY2025 cost ratios.</t>
  </si>
  <si>
    <t xml:space="preserve">2025A</t>
  </si>
  <si>
    <t xml:space="preserve">2026E</t>
  </si>
  <si>
    <t xml:space="preserve">2027E</t>
  </si>
  <si>
    <t xml:space="preserve">2028E</t>
  </si>
  <si>
    <t xml:space="preserve">2029E</t>
  </si>
  <si>
    <t xml:space="preserve">2030E</t>
  </si>
  <si>
    <t xml:space="preserve">Revenue</t>
  </si>
  <si>
    <t xml:space="preserve">2026E guidance; then × (1 + g).</t>
  </si>
  <si>
    <t xml:space="preserve">Adjusted EBITDA</t>
  </si>
  <si>
    <t xml:space="preserve">Revenue × 2026 guided margin.</t>
  </si>
  <si>
    <t xml:space="preserve">EBITDA margin</t>
  </si>
  <si>
    <t xml:space="preserve">Depreciation and amortization</t>
  </si>
  <si>
    <t xml:space="preserve">FY2025 D&amp;A as a share of revenue.</t>
  </si>
  <si>
    <t xml:space="preserve">EBIT</t>
  </si>
  <si>
    <t xml:space="preserve">Interest expense</t>
  </si>
  <si>
    <t xml:space="preserve">Opening debt × FY2025 effective rate (after capitalized interest).</t>
  </si>
  <si>
    <t xml:space="preserve">Pre-tax income</t>
  </si>
  <si>
    <t xml:space="preserve">Income tax</t>
  </si>
  <si>
    <t xml:space="preserve">REIT effective rate.</t>
  </si>
  <si>
    <t xml:space="preserve">Net income (model basis)</t>
  </si>
  <si>
    <t xml:space="preserve">Excludes gains on asset sales; FY2025 reported net income was $1,313M.</t>
  </si>
  <si>
    <r>
      <rPr>
        <b val="true"/>
        <sz val="14"/>
        <color rgb="FF000000"/>
        <rFont val="Arial"/>
        <family val="0"/>
        <charset val="1"/>
      </rPr>
      <t xml:space="preserve">14.  Balance Sheet, Operator X
</t>
    </r>
    <r>
      <rPr>
        <sz val="9.5"/>
        <color rgb="FF000000"/>
        <rFont val="Arial"/>
        <family val="0"/>
        <charset val="1"/>
      </rPr>
      <t xml:space="preserve">Extension beyond the paper: linked year-end balance sheet that balances in every year.</t>
    </r>
  </si>
  <si>
    <t xml:space="preserve">Extension beyond the paper. Year-end balance sheet. 2025A is reported; projected years roll forward from 15_Cash_Flow and 13_Income_Statement. The check row must be zero in every year.</t>
  </si>
  <si>
    <t xml:space="preserve">Cash and equivalents</t>
  </si>
  <si>
    <t xml:space="preserve">Prior year + net change in cash.</t>
  </si>
  <si>
    <t xml:space="preserve">Real estate and other assets</t>
  </si>
  <si>
    <t xml:space="preserve">Prior + capex − D&amp;A.</t>
  </si>
  <si>
    <t xml:space="preserve">Total assets</t>
  </si>
  <si>
    <t xml:space="preserve">Total debt</t>
  </si>
  <si>
    <t xml:space="preserve">Prior + net issuance.</t>
  </si>
  <si>
    <t xml:space="preserve">Other liabilities</t>
  </si>
  <si>
    <t xml:space="preserve">Held flat.</t>
  </si>
  <si>
    <t xml:space="preserve">Equity, incl. noncontrolling and redeemable interests</t>
  </si>
  <si>
    <t xml:space="preserve">Prior + net income − dividends.</t>
  </si>
  <si>
    <t xml:space="preserve">Total liabilities and equity</t>
  </si>
  <si>
    <t xml:space="preserve">Balance check (must be zero)</t>
  </si>
  <si>
    <t xml:space="preserve">Net debt ÷ EBITDA</t>
  </si>
  <si>
    <t xml:space="preserve">Model basis. Digital Realty reports 4.9x (end-2025) and 4.7x (mid-2026) on its own definition.</t>
  </si>
  <si>
    <r>
      <rPr>
        <b val="true"/>
        <sz val="14"/>
        <color rgb="FF000000"/>
        <rFont val="Arial"/>
        <family val="0"/>
        <charset val="1"/>
      </rPr>
      <t xml:space="preserve">15.  Cash Flow, Operator X
</t>
    </r>
    <r>
      <rPr>
        <sz val="9.5"/>
        <color rgb="FF000000"/>
        <rFont val="Arial"/>
        <family val="0"/>
        <charset val="1"/>
      </rPr>
      <t xml:space="preserve">Extension beyond the paper: operating, investing and financing cash flows, and unlevered free cash flow.</t>
    </r>
  </si>
  <si>
    <t xml:space="preserve">Extension beyond the paper. Projected years only. Debt is the balancing item: the model draws or repays debt so year-end cash returns to the June 2026 level. Free cash flow steps up in 2030E because development spend falls to the level that funds 2.5% terminal growth.</t>
  </si>
  <si>
    <t xml:space="preserve">Net income</t>
  </si>
  <si>
    <t xml:space="preserve">13_Income_Statement.</t>
  </si>
  <si>
    <t xml:space="preserve">Add back D&amp;A</t>
  </si>
  <si>
    <t xml:space="preserve">Non-cash.</t>
  </si>
  <si>
    <t xml:space="preserve">Cash from operations</t>
  </si>
  <si>
    <t xml:space="preserve">Recurring capital expenditure</t>
  </si>
  <si>
    <t xml:space="preserve">FY2025 recurring capex as a share of revenue.</t>
  </si>
  <si>
    <t xml:space="preserve">Development capital expenditure</t>
  </si>
  <si>
    <t xml:space="preserve">2026E guidance; later years fund next year's EBITDA growth at the development yield (2030E: terminal growth).</t>
  </si>
  <si>
    <t xml:space="preserve">Cash from investing</t>
  </si>
  <si>
    <t xml:space="preserve">Common dividends</t>
  </si>
  <si>
    <t xml:space="preserve">$4.88 × common shares and OP units (units receive the same distribution).</t>
  </si>
  <si>
    <t xml:space="preserve">Net debt issued (repaid)</t>
  </si>
  <si>
    <t xml:space="preserve">Plug: returns year-end cash to $1,865M.</t>
  </si>
  <si>
    <t xml:space="preserve">Cash from financing</t>
  </si>
  <si>
    <t xml:space="preserve">Net change in cash</t>
  </si>
  <si>
    <t xml:space="preserve">FREE CASH FLOW TO THE FIRM (UNLEVERED)</t>
  </si>
  <si>
    <t xml:space="preserve">Tax on EBIT</t>
  </si>
  <si>
    <t xml:space="preserve">Unlevered: tax as if debt-free.</t>
  </si>
  <si>
    <t xml:space="preserve">FCFF = EBITDA − tax − all capex</t>
  </si>
  <si>
    <t xml:space="preserve">Feeds 16_DCF_Terminal.</t>
  </si>
  <si>
    <r>
      <rPr>
        <b val="true"/>
        <sz val="14"/>
        <color rgb="FF000000"/>
        <rFont val="Arial"/>
        <family val="0"/>
        <charset val="1"/>
      </rPr>
      <t xml:space="preserve">16.  DCF Valuation, Operator X
</t>
    </r>
    <r>
      <rPr>
        <sz val="9.5"/>
        <color rgb="FF000000"/>
        <rFont val="Arial"/>
        <family val="0"/>
        <charset val="1"/>
      </rPr>
      <t xml:space="preserve">Extension beyond the paper: discounted free cash flow plus a value-driver terminal value, compared with the market price.</t>
    </r>
  </si>
  <si>
    <t xml:space="preserve">Extension beyond the paper. Enterprise value of Operator X from 2026E to 2030E free cash flow plus a value-driver terminal value (Koller, Goedhart and Wessels): TV = NOPAT × (1 − g ÷ RONIC) ÷ (WACC − g). For a REIT, book depreciation overstates the economic cost of keeping buildings productive, so terminal NOPAT uses recurring capex as the maintenance charge (the AFFO convention).</t>
  </si>
  <si>
    <t xml:space="preserve">FCFF</t>
  </si>
  <si>
    <t xml:space="preserve">15_Cash_Flow.</t>
  </si>
  <si>
    <t xml:space="preserve">Discount period (years)</t>
  </si>
  <si>
    <t xml:space="preserve">End-of-year convention.</t>
  </si>
  <si>
    <t xml:space="preserve">Discount factor at WACC</t>
  </si>
  <si>
    <t xml:space="preserve">From 02_WACC_Build.</t>
  </si>
  <si>
    <t xml:space="preserve">Present value of FCFF</t>
  </si>
  <si>
    <t xml:space="preserve">TERMINAL VALUE AND ENTERPRISE VALUE</t>
  </si>
  <si>
    <t xml:space="preserve">02_WACC_Build.</t>
  </si>
  <si>
    <t xml:space="preserve">Terminal growth, g</t>
  </si>
  <si>
    <t xml:space="preserve">2030E EBITDA − recurring capex</t>
  </si>
  <si>
    <t xml:space="preserve">Economic operating profit before tax.</t>
  </si>
  <si>
    <t xml:space="preserve">Terminal NOPAT (2031)</t>
  </si>
  <si>
    <t xml:space="preserve">Grown one year and taxed.</t>
  </si>
  <si>
    <t xml:space="preserve">Reinvestment rate, g ÷ RONIC</t>
  </si>
  <si>
    <t xml:space="preserve">Share of NOPAT reinvested to grow at g.</t>
  </si>
  <si>
    <t xml:space="preserve">Terminal value (end of 2030)</t>
  </si>
  <si>
    <t xml:space="preserve">Value-driver formula.</t>
  </si>
  <si>
    <t xml:space="preserve">Present value of terminal value</t>
  </si>
  <si>
    <t xml:space="preserve">Present value of 2026E to 2030E FCFF</t>
  </si>
  <si>
    <t xml:space="preserve">Enterprise value</t>
  </si>
  <si>
    <t xml:space="preserve">Less debt, preferred and redeemable NCI, plus cash</t>
  </si>
  <si>
    <t xml:space="preserve">30 June 2026 balances, 01_Inputs.</t>
  </si>
  <si>
    <t xml:space="preserve">Equity value</t>
  </si>
  <si>
    <t xml:space="preserve">Value per share ($)</t>
  </si>
  <si>
    <t xml:space="preserve">Common shares plus OP units.</t>
  </si>
  <si>
    <t xml:space="preserve">Market price implied by $71B capitalization ($)</t>
  </si>
  <si>
    <t xml:space="preserve">Model value ÷ market price − 1</t>
  </si>
  <si>
    <t xml:space="preserve">Negative means the market prices in more growth or a lower discount rate than this base case.</t>
  </si>
  <si>
    <t xml:space="preserve">Terminal value share of enterprise value</t>
  </si>
  <si>
    <t xml:space="preserve">High because heavy development spending absorbs most near-term cash flow.</t>
  </si>
  <si>
    <t xml:space="preserve">Cross-check: value per share with terminal NOPAT on EBIT</t>
  </si>
  <si>
    <t xml:space="preserve">Charges book D&amp;A instead of recurring capex. The gap shows how much the AFFO convention drives the value.</t>
  </si>
  <si>
    <t xml:space="preserve">Timing: 2026E to 2030E are discounted as full years from the start of 2026, while the balance sheet and price are mid-2026. Rolling forward to 30 June 2026 would add roughly 3% to enterprise value.</t>
  </si>
  <si>
    <r>
      <rPr>
        <b val="true"/>
        <sz val="14"/>
        <color rgb="FF000000"/>
        <rFont val="Arial"/>
        <family val="0"/>
        <charset val="1"/>
      </rPr>
      <t xml:space="preserve">17.  Sensitivity: WACC × Terminal Growth
</t>
    </r>
    <r>
      <rPr>
        <sz val="9.5"/>
        <color rgb="FF000000"/>
        <rFont val="Arial"/>
        <family val="0"/>
        <charset val="1"/>
      </rPr>
      <t xml:space="preserve">Extension beyond the paper: Operator X value per share across discount rates and growth rates.</t>
    </r>
  </si>
  <si>
    <t xml:space="preserve">Extension beyond the paper. Operator X value per share across discount rates and terminal growth rates. Each cell recomputes the terminal value, the 2030E development spend (which funds growth at g) and enterprise value from 16_DCF_Terminal.</t>
  </si>
  <si>
    <t xml:space="preserve">WACC \ g</t>
  </si>
  <si>
    <t xml:space="preserve">The middle row uses a WACC rounded to the nearest basis point of 02_WACC_Build, so its centre cell can differ from 16_DCF_Terminal by a few cents.</t>
  </si>
  <si>
    <r>
      <rPr>
        <b val="true"/>
        <sz val="14"/>
        <color rgb="FF000000"/>
        <rFont val="Arial"/>
        <family val="0"/>
        <charset val="1"/>
      </rPr>
      <t xml:space="preserve">18.  Valuation Summary (Football Field)
</t>
    </r>
    <r>
      <rPr>
        <sz val="9.5"/>
        <color rgb="FF000000"/>
        <rFont val="Arial"/>
        <family val="0"/>
        <charset val="1"/>
      </rPr>
      <t xml:space="preserve">Extension beyond the paper: value per share by method, against the market price, with the paper's hidden value in context.</t>
    </r>
  </si>
  <si>
    <t xml:space="preserve">Extension beyond the paper. Operator X value per share under each method, against the market price. The last rows show how small the paper's hidden value is relative to the whole company, which is the paper's own point.</t>
  </si>
  <si>
    <t xml:space="preserve">Method ($ per share)</t>
  </si>
  <si>
    <t xml:space="preserve">Low</t>
  </si>
  <si>
    <t xml:space="preserve">Base</t>
  </si>
  <si>
    <t xml:space="preserve">High</t>
  </si>
  <si>
    <t xml:space="preserve">DCF (16 and 17)</t>
  </si>
  <si>
    <t xml:space="preserve">Range across the 17_Sensitivity grid.</t>
  </si>
  <si>
    <t xml:space="preserve">EV ÷ 2026E EBITDA multiple</t>
  </si>
  <si>
    <t xml:space="preserve">20x to 26x guided EBITDA, less debt, preferred and redeemable NCI, plus cash.</t>
  </si>
  <si>
    <t xml:space="preserve">Market price (about $71B capitalization)</t>
  </si>
  <si>
    <t xml:space="preserve">Market EV ÷ 2026E EBITDA</t>
  </si>
  <si>
    <t xml:space="preserve">The multiple the market pays today.</t>
  </si>
  <si>
    <t xml:space="preserve">THE PAPER'S HIDDEN VALUE IN CONTEXT</t>
  </si>
  <si>
    <t xml:space="preserve">19_Variant_Bridge.</t>
  </si>
  <si>
    <t xml:space="preserve">Per share ($)</t>
  </si>
  <si>
    <t xml:space="preserve">Share of market capitalization</t>
  </si>
  <si>
    <t xml:space="preserve">Paper: under 0.4%, a sleeve-level alpha rather than a re-rating.</t>
  </si>
  <si>
    <r>
      <rPr>
        <b val="true"/>
        <sz val="14"/>
        <color rgb="FF000000"/>
        <rFont val="Arial"/>
        <family val="0"/>
        <charset val="1"/>
      </rPr>
      <t xml:space="preserve">19.  Hidden-Value Bridges
</t>
    </r>
    <r>
      <rPr>
        <sz val="9.5"/>
        <color rgb="FF000000"/>
        <rFont val="Arial"/>
        <family val="0"/>
        <charset val="1"/>
      </rPr>
      <t xml:space="preserve">Paper Tables A5 and A6 (§I.C.4, §I.D.4): the off-balance-sheet value of each operator, line by line.</t>
    </r>
  </si>
  <si>
    <t xml:space="preserve">OPERATOR X: SUN BELT LONG LEG (TABLE A5)</t>
  </si>
  <si>
    <t xml:space="preserve">Model ($M)</t>
  </si>
  <si>
    <t xml:space="preserve">As printed ($M)</t>
  </si>
  <si>
    <t xml:space="preserve">Paper section</t>
  </si>
  <si>
    <t xml:space="preserve">Acceleration-option intrinsic + time value, 16 slots</t>
  </si>
  <si>
    <t xml:space="preserve">Replacement-reserve liability (NPV)</t>
  </si>
  <si>
    <t xml:space="preserve">Insurance premium liability (NPV)</t>
  </si>
  <si>
    <t xml:space="preserve">Net hidden value, Operator X</t>
  </si>
  <si>
    <t xml:space="preserve">Paper: +$276M (conservative band $260M to $320M).</t>
  </si>
  <si>
    <t xml:space="preserve">OPERATOR H: PER-UNIT UPLIFT VS THE NOVA BENCHMARK (§I.D.4)</t>
  </si>
  <si>
    <t xml:space="preserve">Annual Δ ($K)</t>
  </si>
  <si>
    <t xml:space="preserve">NPV Δ ($M)</t>
  </si>
  <si>
    <t xml:space="preserve">Replacement reserve saved</t>
  </si>
  <si>
    <t xml:space="preserve">§I.D.4</t>
  </si>
  <si>
    <t xml:space="preserve">Helsinki life 36.5 yr → $252K/yr vs $311K. Paper: −58 / +0.57.</t>
  </si>
  <si>
    <t xml:space="preserve">Insurance premium reduction</t>
  </si>
  <si>
    <t xml:space="preserve">−40% of the $27.6K base. Paper: −11 / +0.11.</t>
  </si>
  <si>
    <t xml:space="preserve">Free-cooling chilled-water OPEX</t>
  </si>
  <si>
    <t xml:space="preserve">06_Free_Cooling. Paper: −620 / +6.09.</t>
  </si>
  <si>
    <t xml:space="preserve">Total per-unit NPV uplift</t>
  </si>
  <si>
    <t xml:space="preserve">Paper: −689 / +6.77.</t>
  </si>
  <si>
    <t xml:space="preserve">OPERATOR H: NORDIC LONG LEG (TABLE A6)</t>
  </si>
  <si>
    <t xml:space="preserve">Replacement-reserve NPV uplift, 16 units</t>
  </si>
  <si>
    <t xml:space="preserve">16 × $0.57M.</t>
  </si>
  <si>
    <t xml:space="preserve">Insurance premium NPV uplift, 16 units</t>
  </si>
  <si>
    <t xml:space="preserve">16 × $0.11M.</t>
  </si>
  <si>
    <t xml:space="preserve">Free-cooling OPEX NPV uplift, 16 units</t>
  </si>
  <si>
    <t xml:space="preserve">16 × $6.09M.</t>
  </si>
  <si>
    <t xml:space="preserve">Latency penalty (inference workloads)</t>
  </si>
  <si>
    <t xml:space="preserve">Assumption.</t>
  </si>
  <si>
    <t xml:space="preserve">FX / repatriation friction</t>
  </si>
  <si>
    <t xml:space="preserve">4% of the cooling uplift. Paper: −3.9.</t>
  </si>
  <si>
    <t xml:space="preserve">§I.D.4 / §I.D.6</t>
  </si>
  <si>
    <t xml:space="preserve">§I.D.5</t>
  </si>
  <si>
    <t xml:space="preserve">Net hidden value, Operator H</t>
  </si>
  <si>
    <t xml:space="preserve">Paper: +$104M (conservative band $95M to $125M).</t>
  </si>
  <si>
    <t xml:space="preserve">'As printed' rounds each line to whole millions before summing, which is how Tables A5 and A6 are laid out. The unrounded model total differs by less than $1M.</t>
  </si>
  <si>
    <r>
      <rPr>
        <b val="true"/>
        <sz val="14"/>
        <color rgb="FF000000"/>
        <rFont val="Arial"/>
        <family val="0"/>
        <charset val="1"/>
      </rPr>
      <t xml:space="preserve">20.  Robustness of the Slot Option
</t>
    </r>
    <r>
      <rPr>
        <sz val="9.5"/>
        <color rgb="FF000000"/>
        <rFont val="Arial"/>
        <family val="0"/>
        <charset val="1"/>
      </rPr>
      <t xml:space="preserve">Paper Table A1 and §I.A.4: per-slot value across volatility and time to expiry, the stress tests quoted in the text, and a risk-free rate check.</t>
    </r>
  </si>
  <si>
    <t xml:space="preserve">TABLE A1: PER-SLOT VALUE ($M) ACROSS σ AND T</t>
  </si>
  <si>
    <t xml:space="preserve">Each cell is a live Black-Scholes call on S and K from 05_Unit_Economics at r = 4.4%. Base case σ = 35%, T = 1.00.</t>
  </si>
  <si>
    <t xml:space="preserve">σ \ T</t>
  </si>
  <si>
    <t xml:space="preserve">Base case</t>
  </si>
  <si>
    <t xml:space="preserve">Every cell matches paper Table A1 to the cent.</t>
  </si>
  <si>
    <t xml:space="preserve">STRESS TESTS QUOTED IN §I.A.4</t>
  </si>
  <si>
    <t xml:space="preserve">Test</t>
  </si>
  <si>
    <t xml:space="preserve">Per slot ($M)</t>
  </si>
  <si>
    <t xml:space="preserve">16 slots ($M)</t>
  </si>
  <si>
    <t xml:space="preserve">Δ per slot ($M)</t>
  </si>
  <si>
    <t xml:space="preserve">Paper</t>
  </si>
  <si>
    <t xml:space="preserve">Base case (σ = 35%)</t>
  </si>
  <si>
    <t xml:space="preserve">$19.7M per slot, $315M book</t>
  </si>
  <si>
    <t xml:space="preserve">σ = 15%</t>
  </si>
  <si>
    <t xml:space="preserve">Low end of the 15% to 60% band: $18.8M / $301M</t>
  </si>
  <si>
    <t xml:space="preserve">σ = 60%</t>
  </si>
  <si>
    <t xml:space="preserve">High end: $22.6M / $361M</t>
  </si>
  <si>
    <t xml:space="preserve">σ = 40% (+5 points)</t>
  </si>
  <si>
    <t xml:space="preserve">A 5-point change in σ moves value about $0.5M</t>
  </si>
  <si>
    <t xml:space="preserve">S + 20%</t>
  </si>
  <si>
    <t xml:space="preserve">A 20% change in S moves value about $10M</t>
  </si>
  <si>
    <t xml:space="preserve">S − 20%</t>
  </si>
  <si>
    <t xml:space="preserve">RISK-FREE RATE CHECK</t>
  </si>
  <si>
    <t xml:space="preserve">The paper uses r = 4.40%, a conservative rate between the 1-year Treasury yield on 1 June 2026 (3.83%, FRED DGS1) and the 10-year yield (4.44% to 4.47%). The row below reruns the slot value at 3.83%, moving S, K and the discount rate together.</t>
  </si>
  <si>
    <t xml:space="preserve">r = 3.83% (FRED DGS1)</t>
  </si>
  <si>
    <t xml:space="preserve">Material: a lower rate raises S and lowers K, adding about $4.4M per slot and $71M to the 16-slot book.</t>
  </si>
  <si>
    <r>
      <rPr>
        <b val="true"/>
        <sz val="14"/>
        <color rgb="FF000000"/>
        <rFont val="Arial"/>
        <family val="0"/>
        <charset val="1"/>
      </rPr>
      <t xml:space="preserve">21.  Two-Name Long Book
</t>
    </r>
    <r>
      <rPr>
        <sz val="9.5"/>
        <color rgb="FF000000"/>
        <rFont val="Arial"/>
        <family val="0"/>
        <charset val="1"/>
      </rPr>
      <t xml:space="preserve">Paper Table A7 (§I.D.4): both legs long; the Miami thermal drag sits inside Operator X rather than as a separate short.</t>
    </r>
  </si>
  <si>
    <t xml:space="preserve">TABLE A7: COMBINED TWO-NAME LONG BOOK</t>
  </si>
  <si>
    <t xml:space="preserve">Position</t>
  </si>
  <si>
    <t xml:space="preserve">Operator</t>
  </si>
  <si>
    <t xml:space="preserve">Long, Sun Belt slot option book</t>
  </si>
  <si>
    <t xml:space="preserve">§I.A, §I.B, §I.C</t>
  </si>
  <si>
    <t xml:space="preserve">Long, Nordic thermal asset book</t>
  </si>
  <si>
    <t xml:space="preserve">§I.D</t>
  </si>
  <si>
    <t xml:space="preserve">Combined book hidden NPV</t>
  </si>
  <si>
    <t xml:space="preserve">Paper: about $380M</t>
  </si>
  <si>
    <t xml:space="preserve">SAME BOOK, BY SOURCE OF VALUE (§I.D.4)</t>
  </si>
  <si>
    <t xml:space="preserve">Leg</t>
  </si>
  <si>
    <t xml:space="preserve">Value source</t>
  </si>
  <si>
    <t xml:space="preserve">Thesis I.D thermal asset</t>
  </si>
  <si>
    <t xml:space="preserve">Operator X option value, 16 slots</t>
  </si>
  <si>
    <t xml:space="preserve">Thesis I.A optionality</t>
  </si>
  <si>
    <t xml:space="preserve">Thesis I.A.4</t>
  </si>
  <si>
    <t xml:space="preserve">Miami thermal liability (inside Operator X)</t>
  </si>
  <si>
    <t xml:space="preserve">Thesis I.B</t>
  </si>
  <si>
    <t xml:space="preserve">Net combined book</t>
  </si>
  <si>
    <t xml:space="preserve">Model total, unrounded. The table above sums lines rounded to whole millions (−29 and −2 give −31).</t>
  </si>
  <si>
    <t xml:space="preserve">Both legs are long; this is not a hedged pair. A literal long/short expression is set out in the paper's companion positioning note.</t>
  </si>
</sst>
</file>

<file path=xl/styles.xml><?xml version="1.0" encoding="utf-8"?>
<styleSheet xmlns="http://schemas.openxmlformats.org/spreadsheetml/2006/main">
  <numFmts count="31">
    <numFmt numFmtId="164" formatCode="General"/>
    <numFmt numFmtId="165" formatCode="#,##0.0"/>
    <numFmt numFmtId="166" formatCode="#,##0"/>
    <numFmt numFmtId="167" formatCode="\+0.00;\-0.00"/>
    <numFmt numFmtId="168" formatCode="0.00%"/>
    <numFmt numFmtId="169" formatCode="0.0%"/>
    <numFmt numFmtId="170" formatCode="0.00"/>
    <numFmt numFmtId="171" formatCode="\$0.00"/>
    <numFmt numFmtId="172" formatCode="0.0"/>
    <numFmt numFmtId="173" formatCode="0"/>
    <numFmt numFmtId="174" formatCode="#,##0;\(#,##0\);\-"/>
    <numFmt numFmtId="175" formatCode="0.000"/>
    <numFmt numFmtId="176" formatCode="#,##0.0;\(#,##0.0\);\-"/>
    <numFmt numFmtId="177" formatCode="0.0000"/>
    <numFmt numFmtId="178" formatCode="0.0\x"/>
    <numFmt numFmtId="179" formatCode="0.00E+00"/>
    <numFmt numFmtId="180" formatCode="#,##0.00;\(#,##0.00\);\-"/>
    <numFmt numFmtId="181" formatCode="\+0%;\-0%;&quot;baseline&quot;"/>
    <numFmt numFmtId="182" formatCode="0.00000"/>
    <numFmt numFmtId="183" formatCode="0.000000;\-0.000000;&quot;0 (holds)&quot;"/>
    <numFmt numFmtId="184" formatCode="#,##0.00;\(#,##0.00\);&quot;benchmark&quot;"/>
    <numFmt numFmtId="185" formatCode="\+0.0%;\-0.0%;&quot;baseline&quot;"/>
    <numFmt numFmtId="186" formatCode="0;\-0;\0"/>
    <numFmt numFmtId="187" formatCode="0.0\x"/>
    <numFmt numFmtId="188" formatCode="\$#,##0.00"/>
    <numFmt numFmtId="189" formatCode="\+0.0%;\-0.0%"/>
    <numFmt numFmtId="190" formatCode="&quot;g = &quot;0.0%"/>
    <numFmt numFmtId="191" formatCode="\$#,##0"/>
    <numFmt numFmtId="192" formatCode="\+#,##0;\-#,##0"/>
    <numFmt numFmtId="193" formatCode="&quot;T = &quot;0.00"/>
    <numFmt numFmtId="194" formatCode="\+0.00;\-0.00;0.00"/>
  </numFmts>
  <fonts count="20">
    <font>
      <sz val="11"/>
      <color theme="1"/>
      <name val="Calibri"/>
      <family val="2"/>
      <charset val="1"/>
    </font>
    <font>
      <sz val="10"/>
      <name val="Arial"/>
      <family val="0"/>
    </font>
    <font>
      <sz val="10"/>
      <name val="Arial"/>
      <family val="0"/>
    </font>
    <font>
      <sz val="10"/>
      <name val="Arial"/>
      <family val="0"/>
    </font>
    <font>
      <b val="true"/>
      <sz val="9"/>
      <color rgb="FF000000"/>
      <name val="Arial"/>
      <family val="0"/>
      <charset val="1"/>
    </font>
    <font>
      <b val="true"/>
      <sz val="22"/>
      <color rgb="FF000000"/>
      <name val="Arial"/>
      <family val="0"/>
      <charset val="1"/>
    </font>
    <font>
      <sz val="12"/>
      <color rgb="FF000000"/>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9"/>
      <color rgb="FF000000"/>
      <name val="Arial"/>
      <family val="0"/>
      <charset val="1"/>
    </font>
    <font>
      <b val="true"/>
      <sz val="9"/>
      <color rgb="FFFFFFFF"/>
      <name val="Arial"/>
      <family val="0"/>
      <charset val="1"/>
    </font>
    <font>
      <b val="true"/>
      <sz val="9.5"/>
      <color rgb="FF000000"/>
      <name val="Arial"/>
      <family val="0"/>
      <charset val="1"/>
    </font>
    <font>
      <u val="single"/>
      <sz val="10"/>
      <color rgb="FF000000"/>
      <name val="Arial"/>
      <family val="0"/>
      <charset val="1"/>
    </font>
    <font>
      <sz val="9.5"/>
      <color rgb="FF000000"/>
      <name val="Arial"/>
      <family val="0"/>
      <charset val="1"/>
    </font>
    <font>
      <sz val="8.5"/>
      <color rgb="FF000000"/>
      <name val="Arial"/>
      <family val="0"/>
      <charset val="1"/>
    </font>
    <font>
      <i val="true"/>
      <sz val="8.5"/>
      <color rgb="FF000000"/>
      <name val="Arial"/>
      <family val="0"/>
      <charset val="1"/>
    </font>
    <font>
      <b val="true"/>
      <sz val="14"/>
      <color rgb="FF000000"/>
      <name val="Arial"/>
      <family val="0"/>
      <charset val="1"/>
    </font>
    <font>
      <u val="single"/>
      <sz val="9"/>
      <color rgb="FF000000"/>
      <name val="Arial"/>
      <family val="0"/>
      <charset val="1"/>
    </font>
    <font>
      <i val="true"/>
      <sz val="9"/>
      <color rgb="FF000000"/>
      <name val="Arial"/>
      <family val="0"/>
      <charset val="1"/>
    </font>
  </fonts>
  <fills count="6">
    <fill>
      <patternFill patternType="none"/>
    </fill>
    <fill>
      <patternFill patternType="gray125"/>
    </fill>
    <fill>
      <patternFill patternType="solid">
        <fgColor rgb="FF262626"/>
        <bgColor rgb="FF333300"/>
      </patternFill>
    </fill>
    <fill>
      <patternFill patternType="solid">
        <fgColor rgb="FFF2F2F2"/>
        <bgColor rgb="FFFFFFFF"/>
      </patternFill>
    </fill>
    <fill>
      <patternFill patternType="solid">
        <fgColor rgb="FFFFFFFF"/>
        <bgColor rgb="FFF2F2F2"/>
      </patternFill>
    </fill>
    <fill>
      <patternFill patternType="solid">
        <fgColor rgb="FFD9D9D9"/>
        <bgColor rgb="FFF2F2F2"/>
      </patternFill>
    </fill>
  </fills>
  <borders count="7">
    <border diagonalUp="false" diagonalDown="false">
      <left/>
      <right/>
      <top/>
      <bottom/>
      <diagonal/>
    </border>
    <border diagonalUp="false" diagonalDown="false">
      <left/>
      <right/>
      <top/>
      <bottom style="medium"/>
      <diagonal/>
    </border>
    <border diagonalUp="false" diagonalDown="false">
      <left/>
      <right/>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style="thin"/>
      <diagonal/>
    </border>
    <border diagonalUp="false" diagonalDown="false">
      <left/>
      <right/>
      <top/>
      <bottom style="thin"/>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true" applyProtection="false">
      <alignment horizontal="right"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false" indent="1" shrinkToFit="false"/>
      <protection locked="true" hidden="false"/>
    </xf>
    <xf numFmtId="166" fontId="8" fillId="0" borderId="2" xfId="0" applyFont="true" applyBorder="true" applyAlignment="true" applyProtection="false">
      <alignment horizontal="right" vertical="center" textRotation="0" wrapText="false" indent="0" shrinkToFit="false"/>
      <protection locked="true" hidden="false"/>
    </xf>
    <xf numFmtId="167" fontId="8" fillId="0" borderId="2" xfId="0" applyFont="true" applyBorder="true" applyAlignment="true" applyProtection="false">
      <alignment horizontal="right" vertical="center" textRotation="0" wrapText="false" indent="0" shrinkToFit="false"/>
      <protection locked="true" hidden="false"/>
    </xf>
    <xf numFmtId="168" fontId="8" fillId="0" borderId="2" xfId="0" applyFont="true" applyBorder="true" applyAlignment="true" applyProtection="false">
      <alignment horizontal="right" vertical="center" textRotation="0" wrapText="false" indent="0" shrinkToFit="false"/>
      <protection locked="true" hidden="false"/>
    </xf>
    <xf numFmtId="164" fontId="10" fillId="3" borderId="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false" indent="0" shrinkToFit="false"/>
      <protection locked="true" hidden="false"/>
    </xf>
    <xf numFmtId="164" fontId="4" fillId="4" borderId="4" xfId="0" applyFont="true" applyBorder="true" applyAlignment="true" applyProtection="false">
      <alignment horizontal="center" vertical="center" textRotation="0" wrapText="false" indent="0" shrinkToFit="false"/>
      <protection locked="true" hidden="false"/>
    </xf>
    <xf numFmtId="164" fontId="12" fillId="5" borderId="5"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general" vertical="center" textRotation="0" wrapText="false" indent="0" shrinkToFit="false"/>
      <protection locked="true" hidden="false"/>
    </xf>
    <xf numFmtId="164" fontId="14" fillId="0" borderId="2"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2" fillId="5" borderId="5" xfId="0" applyFont="true" applyBorder="true" applyAlignment="true" applyProtection="false">
      <alignment horizontal="left" vertical="center" textRotation="0" wrapText="true" indent="0" shrinkToFit="false"/>
      <protection locked="true" hidden="false"/>
    </xf>
    <xf numFmtId="164" fontId="12" fillId="5" borderId="5" xfId="0" applyFont="true" applyBorder="true" applyAlignment="true" applyProtection="false">
      <alignment horizontal="right" vertical="center" textRotation="0" wrapText="true" indent="0" shrinkToFit="false"/>
      <protection locked="true" hidden="false"/>
    </xf>
    <xf numFmtId="164" fontId="12" fillId="5" borderId="5" xfId="0" applyFont="true" applyBorder="true" applyAlignment="true" applyProtection="false">
      <alignment horizontal="left" vertical="center" textRotation="0" wrapText="true" indent="1"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1" shrinkToFit="false"/>
      <protection locked="true" hidden="false"/>
    </xf>
    <xf numFmtId="169" fontId="9" fillId="3" borderId="2" xfId="0" applyFont="true" applyBorder="true" applyAlignment="true" applyProtection="false">
      <alignment horizontal="right"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false" indent="1" shrinkToFit="false"/>
      <protection locked="true" hidden="false"/>
    </xf>
    <xf numFmtId="170" fontId="9" fillId="3" borderId="2" xfId="0" applyFont="true" applyBorder="true" applyAlignment="true" applyProtection="false">
      <alignment horizontal="right" vertical="center" textRotation="0" wrapText="false" indent="0" shrinkToFit="false"/>
      <protection locked="true" hidden="false"/>
    </xf>
    <xf numFmtId="171" fontId="9" fillId="3" borderId="2" xfId="0" applyFont="true" applyBorder="true" applyAlignment="true" applyProtection="false">
      <alignment horizontal="right" vertical="center" textRotation="0" wrapText="false" indent="0" shrinkToFit="false"/>
      <protection locked="true" hidden="false"/>
    </xf>
    <xf numFmtId="166" fontId="9" fillId="3" borderId="2"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72" fontId="9" fillId="3" borderId="2" xfId="0" applyFont="true" applyBorder="true" applyAlignment="true" applyProtection="false">
      <alignment horizontal="right" vertical="center" textRotation="0" wrapText="false" indent="0" shrinkToFit="false"/>
      <protection locked="true" hidden="false"/>
    </xf>
    <xf numFmtId="168" fontId="9" fillId="3" borderId="2" xfId="0" applyFont="true" applyBorder="true" applyAlignment="true" applyProtection="false">
      <alignment horizontal="right"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1" shrinkToFit="false"/>
      <protection locked="true" hidden="false"/>
    </xf>
    <xf numFmtId="173" fontId="9" fillId="3" borderId="2" xfId="0" applyFont="true" applyBorder="true" applyAlignment="true" applyProtection="false">
      <alignment horizontal="right" vertical="center" textRotation="0" wrapText="false" indent="0" shrinkToFit="false"/>
      <protection locked="true" hidden="false"/>
    </xf>
    <xf numFmtId="174" fontId="9" fillId="3" borderId="2" xfId="0" applyFont="true" applyBorder="true" applyAlignment="true" applyProtection="false">
      <alignment horizontal="right" vertical="center" textRotation="0" wrapText="false" indent="0" shrinkToFit="false"/>
      <protection locked="true" hidden="false"/>
    </xf>
    <xf numFmtId="175" fontId="9" fillId="3" borderId="2" xfId="0" applyFont="true" applyBorder="true" applyAlignment="true" applyProtection="false">
      <alignment horizontal="right" vertical="center" textRotation="0" wrapText="false" indent="0" shrinkToFit="false"/>
      <protection locked="true" hidden="false"/>
    </xf>
    <xf numFmtId="176" fontId="9" fillId="3" borderId="2" xfId="0" applyFont="true" applyBorder="true" applyAlignment="true" applyProtection="false">
      <alignment horizontal="right" vertical="center" textRotation="0" wrapText="false" indent="0" shrinkToFit="false"/>
      <protection locked="true" hidden="false"/>
    </xf>
    <xf numFmtId="177" fontId="9" fillId="3" borderId="2" xfId="0" applyFont="true" applyBorder="true" applyAlignment="true" applyProtection="false">
      <alignment horizontal="right" vertical="center" textRotation="0" wrapText="false" indent="0" shrinkToFit="false"/>
      <protection locked="true" hidden="false"/>
    </xf>
    <xf numFmtId="165" fontId="9" fillId="3" borderId="2" xfId="0" applyFont="true" applyBorder="true" applyAlignment="true" applyProtection="false">
      <alignment horizontal="right" vertical="center" textRotation="0" wrapText="false" indent="0" shrinkToFit="false"/>
      <protection locked="true" hidden="false"/>
    </xf>
    <xf numFmtId="178" fontId="9" fillId="3" borderId="2"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8" fontId="9" fillId="0" borderId="2" xfId="0" applyFont="true" applyBorder="true" applyAlignment="true" applyProtection="false">
      <alignment horizontal="right" vertical="center" textRotation="0" wrapText="false" indent="0" shrinkToFit="false"/>
      <protection locked="true" hidden="false"/>
    </xf>
    <xf numFmtId="175" fontId="9" fillId="0" borderId="2" xfId="0" applyFont="true" applyBorder="true" applyAlignment="true" applyProtection="false">
      <alignment horizontal="right"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false" indent="0" shrinkToFit="false"/>
      <protection locked="true" hidden="false"/>
    </xf>
    <xf numFmtId="168" fontId="8" fillId="0" borderId="6" xfId="0" applyFont="true" applyBorder="true" applyAlignment="true" applyProtection="false">
      <alignment horizontal="right" vertical="center" textRotation="0" wrapText="false" indent="0" shrinkToFit="false"/>
      <protection locked="true" hidden="false"/>
    </xf>
    <xf numFmtId="169" fontId="9" fillId="0" borderId="2" xfId="0" applyFont="true" applyBorder="true" applyAlignment="true" applyProtection="false">
      <alignment horizontal="right" vertical="center" textRotation="0" wrapText="false" indent="0" shrinkToFit="false"/>
      <protection locked="true" hidden="false"/>
    </xf>
    <xf numFmtId="175" fontId="8" fillId="0" borderId="6" xfId="0" applyFont="true" applyBorder="true" applyAlignment="true" applyProtection="false">
      <alignment horizontal="right" vertical="center" textRotation="0" wrapText="false" indent="0" shrinkToFit="false"/>
      <protection locked="true" hidden="false"/>
    </xf>
    <xf numFmtId="174" fontId="9" fillId="0" borderId="2" xfId="0" applyFont="true" applyBorder="true" applyAlignment="true" applyProtection="false">
      <alignment horizontal="right" vertical="center" textRotation="0" wrapText="false" indent="0" shrinkToFit="false"/>
      <protection locked="true" hidden="false"/>
    </xf>
    <xf numFmtId="172" fontId="9" fillId="0" borderId="2" xfId="0" applyFont="true" applyBorder="true" applyAlignment="true" applyProtection="false">
      <alignment horizontal="right" vertical="center" textRotation="0" wrapText="false" indent="0" shrinkToFit="false"/>
      <protection locked="true" hidden="false"/>
    </xf>
    <xf numFmtId="177" fontId="9" fillId="0" borderId="2" xfId="0" applyFont="true" applyBorder="true" applyAlignment="true" applyProtection="false">
      <alignment horizontal="right" vertical="center" textRotation="0" wrapText="false" indent="0" shrinkToFit="false"/>
      <protection locked="true" hidden="false"/>
    </xf>
    <xf numFmtId="170" fontId="8" fillId="0" borderId="6" xfId="0" applyFont="true" applyBorder="true" applyAlignment="true" applyProtection="false">
      <alignment horizontal="right" vertical="center" textRotation="0" wrapText="false" indent="0" shrinkToFit="false"/>
      <protection locked="true" hidden="false"/>
    </xf>
    <xf numFmtId="179" fontId="9" fillId="0" borderId="2" xfId="0" applyFont="true" applyBorder="true" applyAlignment="true" applyProtection="false">
      <alignment horizontal="right" vertical="center" textRotation="0" wrapText="false" indent="0" shrinkToFit="false"/>
      <protection locked="true" hidden="false"/>
    </xf>
    <xf numFmtId="176" fontId="9" fillId="0" borderId="2" xfId="0" applyFont="true" applyBorder="true" applyAlignment="true" applyProtection="false">
      <alignment horizontal="right" vertical="center" textRotation="0" wrapText="false" indent="0" shrinkToFit="false"/>
      <protection locked="true" hidden="false"/>
    </xf>
    <xf numFmtId="180" fontId="9" fillId="0" borderId="2" xfId="0" applyFont="true" applyBorder="true" applyAlignment="true" applyProtection="false">
      <alignment horizontal="right" vertical="center" textRotation="0" wrapText="false" indent="0" shrinkToFit="false"/>
      <protection locked="true" hidden="false"/>
    </xf>
    <xf numFmtId="180" fontId="8" fillId="0" borderId="6" xfId="0" applyFont="true" applyBorder="true" applyAlignment="true" applyProtection="false">
      <alignment horizontal="right" vertical="center" textRotation="0" wrapText="false" indent="0" shrinkToFit="false"/>
      <protection locked="true" hidden="false"/>
    </xf>
    <xf numFmtId="170" fontId="9" fillId="0" borderId="2" xfId="0" applyFont="true" applyBorder="true" applyAlignment="true" applyProtection="false">
      <alignment horizontal="right" vertical="center" textRotation="0" wrapText="false" indent="0" shrinkToFit="false"/>
      <protection locked="true" hidden="false"/>
    </xf>
    <xf numFmtId="181" fontId="9" fillId="0" borderId="2" xfId="0" applyFont="true" applyBorder="true" applyAlignment="true" applyProtection="false">
      <alignment horizontal="right" vertical="center" textRotation="0" wrapText="false" indent="0" shrinkToFit="false"/>
      <protection locked="true" hidden="false"/>
    </xf>
    <xf numFmtId="173" fontId="9" fillId="0" borderId="2" xfId="0" applyFont="true" applyBorder="true" applyAlignment="true" applyProtection="false">
      <alignment horizontal="right" vertical="center" textRotation="0" wrapText="false" indent="0" shrinkToFit="false"/>
      <protection locked="true" hidden="false"/>
    </xf>
    <xf numFmtId="166" fontId="9" fillId="0" borderId="2" xfId="0" applyFont="true" applyBorder="true" applyAlignment="true" applyProtection="false">
      <alignment horizontal="right" vertical="center" textRotation="0" wrapText="false" indent="0" shrinkToFit="false"/>
      <protection locked="true" hidden="false"/>
    </xf>
    <xf numFmtId="166" fontId="8" fillId="0" borderId="6" xfId="0" applyFont="true" applyBorder="true" applyAlignment="true" applyProtection="false">
      <alignment horizontal="right" vertical="center" textRotation="0" wrapText="false" indent="0" shrinkToFit="false"/>
      <protection locked="true" hidden="false"/>
    </xf>
    <xf numFmtId="182" fontId="9" fillId="0" borderId="2" xfId="0" applyFont="true" applyBorder="true" applyAlignment="true" applyProtection="false">
      <alignment horizontal="right" vertical="center" textRotation="0" wrapText="false" indent="0" shrinkToFit="false"/>
      <protection locked="true" hidden="false"/>
    </xf>
    <xf numFmtId="176" fontId="8" fillId="0" borderId="6" xfId="0" applyFont="true" applyBorder="true" applyAlignment="true" applyProtection="false">
      <alignment horizontal="right" vertical="center" textRotation="0" wrapText="false" indent="0" shrinkToFit="false"/>
      <protection locked="true" hidden="false"/>
    </xf>
    <xf numFmtId="183" fontId="8" fillId="0" borderId="6" xfId="0" applyFont="true" applyBorder="true" applyAlignment="true" applyProtection="false">
      <alignment horizontal="right" vertical="center" textRotation="0" wrapText="false" indent="0" shrinkToFit="false"/>
      <protection locked="true" hidden="false"/>
    </xf>
    <xf numFmtId="184" fontId="9" fillId="0" borderId="2" xfId="0" applyFont="true" applyBorder="true" applyAlignment="true" applyProtection="false">
      <alignment horizontal="right" vertical="center" textRotation="0" wrapText="false" indent="0" shrinkToFit="false"/>
      <protection locked="true" hidden="false"/>
    </xf>
    <xf numFmtId="185" fontId="9" fillId="0" borderId="2"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right" vertical="center" textRotation="0" wrapText="false" indent="0" shrinkToFit="false"/>
      <protection locked="true" hidden="false"/>
    </xf>
    <xf numFmtId="169" fontId="8" fillId="0" borderId="6" xfId="0" applyFont="true" applyBorder="true" applyAlignment="true" applyProtection="false">
      <alignment horizontal="right" vertical="center" textRotation="0" wrapText="false" indent="0" shrinkToFit="false"/>
      <protection locked="true" hidden="false"/>
    </xf>
    <xf numFmtId="167" fontId="9" fillId="0" borderId="2"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77" fontId="10" fillId="3" borderId="0" xfId="0" applyFont="true" applyBorder="false" applyAlignment="false" applyProtection="false">
      <alignment horizontal="general" vertical="bottom" textRotation="0" wrapText="false" indent="0" shrinkToFit="false"/>
      <protection locked="true" hidden="false"/>
    </xf>
    <xf numFmtId="18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80" fontId="10" fillId="0" borderId="0" xfId="0" applyFont="true" applyBorder="false" applyAlignment="true" applyProtection="false">
      <alignment horizontal="left" vertical="bottom" textRotation="0" wrapText="false" indent="1" shrinkToFit="false"/>
      <protection locked="true" hidden="false"/>
    </xf>
    <xf numFmtId="174" fontId="8" fillId="0" borderId="6" xfId="0" applyFont="true" applyBorder="true" applyAlignment="true" applyProtection="false">
      <alignment horizontal="right" vertical="center" textRotation="0" wrapText="false" indent="0" shrinkToFit="false"/>
      <protection locked="true" hidden="false"/>
    </xf>
    <xf numFmtId="186" fontId="9" fillId="0" borderId="2" xfId="0" applyFont="true" applyBorder="true" applyAlignment="true" applyProtection="false">
      <alignment horizontal="right" vertical="center" textRotation="0" wrapText="false" indent="0" shrinkToFit="false"/>
      <protection locked="true" hidden="false"/>
    </xf>
    <xf numFmtId="187" fontId="9" fillId="0" borderId="2" xfId="0" applyFont="true" applyBorder="true" applyAlignment="true" applyProtection="false">
      <alignment horizontal="right" vertical="center" textRotation="0" wrapText="false" indent="0" shrinkToFit="false"/>
      <protection locked="true" hidden="false"/>
    </xf>
    <xf numFmtId="188" fontId="8" fillId="0" borderId="6" xfId="0" applyFont="true" applyBorder="true" applyAlignment="true" applyProtection="false">
      <alignment horizontal="right" vertical="center" textRotation="0" wrapText="false" indent="0" shrinkToFit="false"/>
      <protection locked="true" hidden="false"/>
    </xf>
    <xf numFmtId="188" fontId="9" fillId="0" borderId="2" xfId="0" applyFont="true" applyBorder="true" applyAlignment="true" applyProtection="false">
      <alignment horizontal="right" vertical="center" textRotation="0" wrapText="false" indent="0" shrinkToFit="false"/>
      <protection locked="true" hidden="false"/>
    </xf>
    <xf numFmtId="189" fontId="9" fillId="0" borderId="2" xfId="0" applyFont="true" applyBorder="true" applyAlignment="true" applyProtection="false">
      <alignment horizontal="right" vertical="center" textRotation="0" wrapText="false" indent="0" shrinkToFit="false"/>
      <protection locked="true" hidden="false"/>
    </xf>
    <xf numFmtId="190" fontId="12" fillId="5" borderId="5" xfId="0" applyFont="true" applyBorder="true" applyAlignment="true" applyProtection="false">
      <alignment horizontal="right" vertical="center" textRotation="0" wrapText="true" indent="0" shrinkToFit="false"/>
      <protection locked="true" hidden="false"/>
    </xf>
    <xf numFmtId="168" fontId="9" fillId="0" borderId="2" xfId="0" applyFont="true" applyBorder="true" applyAlignment="true" applyProtection="false">
      <alignment horizontal="left" vertical="center" textRotation="0" wrapText="false" indent="0" shrinkToFit="false"/>
      <protection locked="true" hidden="false"/>
    </xf>
    <xf numFmtId="191" fontId="9" fillId="0" borderId="2" xfId="0" applyFont="true" applyBorder="true" applyAlignment="true" applyProtection="false">
      <alignment horizontal="right" vertical="center" textRotation="0" wrapText="false" indent="0" shrinkToFit="false"/>
      <protection locked="true" hidden="false"/>
    </xf>
    <xf numFmtId="192" fontId="9" fillId="0" borderId="2" xfId="0" applyFont="true" applyBorder="true" applyAlignment="true" applyProtection="false">
      <alignment horizontal="right" vertical="center" textRotation="0" wrapText="false" indent="0" shrinkToFit="false"/>
      <protection locked="true" hidden="false"/>
    </xf>
    <xf numFmtId="192" fontId="8" fillId="0" borderId="6" xfId="0" applyFont="true" applyBorder="true" applyAlignment="true" applyProtection="false">
      <alignment horizontal="right" vertical="center" textRotation="0" wrapText="false" indent="0" shrinkToFit="false"/>
      <protection locked="true" hidden="false"/>
    </xf>
    <xf numFmtId="193" fontId="12" fillId="5" borderId="5" xfId="0" applyFont="true" applyBorder="true" applyAlignment="true" applyProtection="false">
      <alignment horizontal="right" vertical="center" textRotation="0" wrapText="true" indent="0" shrinkToFit="false"/>
      <protection locked="true" hidden="false"/>
    </xf>
    <xf numFmtId="169" fontId="9" fillId="3" borderId="2" xfId="0" applyFont="true" applyBorder="true" applyAlignment="true" applyProtection="false">
      <alignment horizontal="left" vertical="center" textRotation="0" wrapText="false" indent="0" shrinkToFit="false"/>
      <protection locked="true" hidden="false"/>
    </xf>
    <xf numFmtId="169" fontId="8" fillId="3" borderId="2" xfId="0" applyFont="true" applyBorder="true" applyAlignment="true" applyProtection="false">
      <alignment horizontal="left" vertical="center" textRotation="0" wrapText="false" indent="0" shrinkToFit="false"/>
      <protection locked="true" hidden="false"/>
    </xf>
    <xf numFmtId="194" fontId="9" fillId="0" borderId="2"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14"/>
    <col collapsed="false" customWidth="true" hidden="false" outlineLevel="0" max="4" min="4" style="0" width="74"/>
    <col collapsed="false" customWidth="true" hidden="false" outlineLevel="0" max="8" min="5" style="0" width="9"/>
  </cols>
  <sheetData>
    <row r="2" customFormat="false" ht="15" hidden="false" customHeight="false" outlineLevel="0" collapsed="false">
      <c r="B2" s="1" t="s">
        <v>0</v>
      </c>
    </row>
    <row r="3" customFormat="false" ht="30" hidden="false" customHeight="true" outlineLevel="0" collapsed="false">
      <c r="B3" s="2" t="s">
        <v>1</v>
      </c>
    </row>
    <row r="4" customFormat="false" ht="18" hidden="false" customHeight="true" outlineLevel="0" collapsed="false">
      <c r="B4" s="3" t="s">
        <v>2</v>
      </c>
      <c r="C4" s="4"/>
      <c r="D4" s="4"/>
    </row>
    <row r="6" customFormat="false" ht="18" hidden="false" customHeight="true" outlineLevel="0" collapsed="false">
      <c r="B6" s="5" t="s">
        <v>3</v>
      </c>
      <c r="C6" s="5"/>
      <c r="D6" s="5"/>
    </row>
    <row r="7" customFormat="false" ht="52.5" hidden="false" customHeight="true" outlineLevel="0" collapsed="false">
      <c r="B7" s="6" t="s">
        <v>4</v>
      </c>
      <c r="C7" s="7" t="s">
        <v>5</v>
      </c>
      <c r="D7" s="7"/>
    </row>
    <row r="8" customFormat="false" ht="40.5" hidden="false" customHeight="true" outlineLevel="0" collapsed="false">
      <c r="B8" s="6" t="s">
        <v>6</v>
      </c>
      <c r="C8" s="7" t="s">
        <v>7</v>
      </c>
      <c r="D8" s="7"/>
    </row>
    <row r="9" customFormat="false" ht="40.5" hidden="false" customHeight="true" outlineLevel="0" collapsed="false">
      <c r="B9" s="6" t="s">
        <v>8</v>
      </c>
      <c r="C9" s="7" t="s">
        <v>9</v>
      </c>
      <c r="D9" s="7"/>
    </row>
    <row r="10" customFormat="false" ht="15.75" hidden="false" customHeight="true" outlineLevel="0" collapsed="false">
      <c r="B10" s="6" t="s">
        <v>10</v>
      </c>
      <c r="C10" s="7" t="s">
        <v>11</v>
      </c>
      <c r="D10" s="7"/>
    </row>
    <row r="11" customFormat="false" ht="52.5" hidden="false" customHeight="true" outlineLevel="0" collapsed="false">
      <c r="B11" s="6" t="s">
        <v>12</v>
      </c>
      <c r="C11" s="7" t="s">
        <v>13</v>
      </c>
      <c r="D11" s="7"/>
    </row>
    <row r="13" customFormat="false" ht="18" hidden="false" customHeight="true" outlineLevel="0" collapsed="false">
      <c r="B13" s="5" t="s">
        <v>14</v>
      </c>
      <c r="C13" s="5"/>
      <c r="D13" s="5"/>
    </row>
    <row r="14" customFormat="false" ht="15.75" hidden="false" customHeight="true" outlineLevel="0" collapsed="false">
      <c r="B14" s="8" t="s">
        <v>15</v>
      </c>
      <c r="C14" s="9" t="n">
        <f aca="false">07_Black_Scholes!$B$22</f>
        <v>19.6684243990264</v>
      </c>
      <c r="D14" s="10" t="s">
        <v>16</v>
      </c>
    </row>
    <row r="15" customFormat="false" ht="15.75" hidden="false" customHeight="true" outlineLevel="0" collapsed="false">
      <c r="B15" s="8" t="s">
        <v>17</v>
      </c>
      <c r="C15" s="11" t="n">
        <f aca="false">07_Black_Scholes!$B$33</f>
        <v>314.694790384423</v>
      </c>
      <c r="D15" s="10" t="s">
        <v>18</v>
      </c>
    </row>
    <row r="16" customFormat="false" ht="15.75" hidden="false" customHeight="true" outlineLevel="0" collapsed="false">
      <c r="B16" s="8" t="s">
        <v>19</v>
      </c>
      <c r="C16" s="11" t="n">
        <f aca="false">19_Variant_Bridge!$C$9</f>
        <v>276</v>
      </c>
      <c r="D16" s="10" t="s">
        <v>20</v>
      </c>
    </row>
    <row r="17" customFormat="false" ht="15.75" hidden="false" customHeight="true" outlineLevel="0" collapsed="false">
      <c r="B17" s="8" t="s">
        <v>21</v>
      </c>
      <c r="C17" s="11" t="n">
        <f aca="false">19_Variant_Bridge!$C$27</f>
        <v>104</v>
      </c>
      <c r="D17" s="10" t="s">
        <v>22</v>
      </c>
    </row>
    <row r="18" customFormat="false" ht="15.75" hidden="false" customHeight="true" outlineLevel="0" collapsed="false">
      <c r="B18" s="8" t="s">
        <v>23</v>
      </c>
      <c r="C18" s="11" t="n">
        <f aca="false">21_Two_Name_Book!$D$7</f>
        <v>380</v>
      </c>
      <c r="D18" s="10" t="s">
        <v>24</v>
      </c>
    </row>
    <row r="19" customFormat="false" ht="15.75" hidden="false" customHeight="true" outlineLevel="0" collapsed="false">
      <c r="B19" s="8" t="s">
        <v>25</v>
      </c>
      <c r="C19" s="12" t="n">
        <f aca="false">12_Monte_Carlo!B8</f>
        <v>0.282794388589699</v>
      </c>
      <c r="D19" s="10" t="s">
        <v>26</v>
      </c>
    </row>
    <row r="20" customFormat="false" ht="15.75" hidden="false" customHeight="true" outlineLevel="0" collapsed="false">
      <c r="B20" s="8" t="s">
        <v>27</v>
      </c>
      <c r="C20" s="13" t="n">
        <f aca="false">02_WACC_Build!$B$22</f>
        <v>0.0611136563601756</v>
      </c>
      <c r="D20" s="10" t="s">
        <v>28</v>
      </c>
    </row>
    <row r="22" customFormat="false" ht="18" hidden="false" customHeight="true" outlineLevel="0" collapsed="false">
      <c r="B22" s="5" t="s">
        <v>29</v>
      </c>
      <c r="C22" s="5"/>
      <c r="D22" s="5"/>
    </row>
    <row r="23" customFormat="false" ht="16.5" hidden="false" customHeight="true" outlineLevel="0" collapsed="false">
      <c r="B23" s="14" t="s">
        <v>30</v>
      </c>
      <c r="C23" s="15" t="s">
        <v>31</v>
      </c>
      <c r="D23" s="15"/>
    </row>
    <row r="24" customFormat="false" ht="16.5" hidden="false" customHeight="true" outlineLevel="0" collapsed="false">
      <c r="B24" s="16" t="s">
        <v>32</v>
      </c>
      <c r="C24" s="15" t="s">
        <v>33</v>
      </c>
      <c r="D24" s="15"/>
    </row>
    <row r="25" customFormat="false" ht="16.5" hidden="false" customHeight="true" outlineLevel="0" collapsed="false">
      <c r="B25" s="17" t="s">
        <v>34</v>
      </c>
      <c r="C25" s="15" t="s">
        <v>35</v>
      </c>
      <c r="D25" s="15"/>
    </row>
    <row r="26" customFormat="false" ht="16.5" hidden="false" customHeight="true" outlineLevel="0" collapsed="false">
      <c r="C26" s="15" t="s">
        <v>36</v>
      </c>
      <c r="D26" s="15"/>
    </row>
    <row r="28" customFormat="false" ht="18" hidden="false" customHeight="true" outlineLevel="0" collapsed="false">
      <c r="B28" s="5" t="s">
        <v>37</v>
      </c>
      <c r="C28" s="5"/>
      <c r="D28" s="5"/>
    </row>
    <row r="29" customFormat="false" ht="15" hidden="false" customHeight="false" outlineLevel="0" collapsed="false">
      <c r="B29" s="18" t="s">
        <v>38</v>
      </c>
      <c r="C29" s="18" t="s">
        <v>39</v>
      </c>
      <c r="D29" s="18"/>
    </row>
    <row r="30" customFormat="false" ht="27.75" hidden="false" customHeight="true" outlineLevel="0" collapsed="false">
      <c r="B30" s="19" t="s">
        <v>40</v>
      </c>
      <c r="C30" s="20" t="s">
        <v>41</v>
      </c>
      <c r="D30" s="20"/>
    </row>
    <row r="31" customFormat="false" ht="27.75" hidden="false" customHeight="true" outlineLevel="0" collapsed="false">
      <c r="B31" s="19" t="s">
        <v>42</v>
      </c>
      <c r="C31" s="20" t="s">
        <v>43</v>
      </c>
      <c r="D31" s="20"/>
    </row>
    <row r="32" customFormat="false" ht="15.75" hidden="false" customHeight="true" outlineLevel="0" collapsed="false">
      <c r="B32" s="19" t="s">
        <v>44</v>
      </c>
      <c r="C32" s="20" t="s">
        <v>45</v>
      </c>
      <c r="D32" s="20"/>
    </row>
    <row r="33" customFormat="false" ht="27.75" hidden="false" customHeight="true" outlineLevel="0" collapsed="false">
      <c r="B33" s="19" t="s">
        <v>46</v>
      </c>
      <c r="C33" s="20" t="s">
        <v>47</v>
      </c>
      <c r="D33" s="20"/>
    </row>
    <row r="34" customFormat="false" ht="27.75" hidden="false" customHeight="true" outlineLevel="0" collapsed="false">
      <c r="B34" s="19" t="s">
        <v>48</v>
      </c>
      <c r="C34" s="20" t="s">
        <v>49</v>
      </c>
      <c r="D34" s="20"/>
    </row>
    <row r="35" customFormat="false" ht="27.75" hidden="false" customHeight="true" outlineLevel="0" collapsed="false">
      <c r="B35" s="19" t="s">
        <v>50</v>
      </c>
      <c r="C35" s="20" t="s">
        <v>51</v>
      </c>
      <c r="D35" s="20"/>
    </row>
    <row r="36" customFormat="false" ht="27.75" hidden="false" customHeight="true" outlineLevel="0" collapsed="false">
      <c r="B36" s="19" t="s">
        <v>52</v>
      </c>
      <c r="C36" s="20" t="s">
        <v>53</v>
      </c>
      <c r="D36" s="20"/>
    </row>
    <row r="37" customFormat="false" ht="27.75" hidden="false" customHeight="true" outlineLevel="0" collapsed="false">
      <c r="B37" s="19" t="s">
        <v>54</v>
      </c>
      <c r="C37" s="20" t="s">
        <v>55</v>
      </c>
      <c r="D37" s="20"/>
    </row>
    <row r="38" customFormat="false" ht="27.75" hidden="false" customHeight="true" outlineLevel="0" collapsed="false">
      <c r="B38" s="19" t="s">
        <v>56</v>
      </c>
      <c r="C38" s="20" t="s">
        <v>57</v>
      </c>
      <c r="D38" s="20"/>
    </row>
    <row r="39" customFormat="false" ht="27.75" hidden="false" customHeight="true" outlineLevel="0" collapsed="false">
      <c r="B39" s="19" t="s">
        <v>58</v>
      </c>
      <c r="C39" s="20" t="s">
        <v>59</v>
      </c>
      <c r="D39" s="20"/>
    </row>
    <row r="40" customFormat="false" ht="27.75" hidden="false" customHeight="true" outlineLevel="0" collapsed="false">
      <c r="B40" s="19" t="s">
        <v>60</v>
      </c>
      <c r="C40" s="20" t="s">
        <v>61</v>
      </c>
      <c r="D40" s="20"/>
    </row>
    <row r="41" customFormat="false" ht="27.75" hidden="false" customHeight="true" outlineLevel="0" collapsed="false">
      <c r="B41" s="19" t="s">
        <v>62</v>
      </c>
      <c r="C41" s="20" t="s">
        <v>63</v>
      </c>
      <c r="D41" s="20"/>
    </row>
    <row r="42" customFormat="false" ht="27.75" hidden="false" customHeight="true" outlineLevel="0" collapsed="false">
      <c r="B42" s="19" t="s">
        <v>64</v>
      </c>
      <c r="C42" s="20" t="s">
        <v>65</v>
      </c>
      <c r="D42" s="20"/>
    </row>
    <row r="43" customFormat="false" ht="15.75" hidden="false" customHeight="true" outlineLevel="0" collapsed="false">
      <c r="B43" s="19" t="s">
        <v>66</v>
      </c>
      <c r="C43" s="20" t="s">
        <v>67</v>
      </c>
      <c r="D43" s="20"/>
    </row>
    <row r="44" customFormat="false" ht="15.75" hidden="false" customHeight="true" outlineLevel="0" collapsed="false">
      <c r="B44" s="19" t="s">
        <v>68</v>
      </c>
      <c r="C44" s="20" t="s">
        <v>69</v>
      </c>
      <c r="D44" s="20"/>
    </row>
    <row r="45" customFormat="false" ht="27.75" hidden="false" customHeight="true" outlineLevel="0" collapsed="false">
      <c r="B45" s="19" t="s">
        <v>70</v>
      </c>
      <c r="C45" s="20" t="s">
        <v>71</v>
      </c>
      <c r="D45" s="20"/>
    </row>
    <row r="46" customFormat="false" ht="15.75" hidden="false" customHeight="true" outlineLevel="0" collapsed="false">
      <c r="B46" s="19" t="s">
        <v>72</v>
      </c>
      <c r="C46" s="20" t="s">
        <v>73</v>
      </c>
      <c r="D46" s="20"/>
    </row>
    <row r="47" customFormat="false" ht="27.75" hidden="false" customHeight="true" outlineLevel="0" collapsed="false">
      <c r="B47" s="19" t="s">
        <v>74</v>
      </c>
      <c r="C47" s="20" t="s">
        <v>75</v>
      </c>
      <c r="D47" s="20"/>
    </row>
    <row r="48" customFormat="false" ht="15.75" hidden="false" customHeight="true" outlineLevel="0" collapsed="false">
      <c r="B48" s="19" t="s">
        <v>76</v>
      </c>
      <c r="C48" s="20" t="s">
        <v>77</v>
      </c>
      <c r="D48" s="20"/>
    </row>
    <row r="49" customFormat="false" ht="27.75" hidden="false" customHeight="true" outlineLevel="0" collapsed="false">
      <c r="B49" s="19" t="s">
        <v>78</v>
      </c>
      <c r="C49" s="20" t="s">
        <v>79</v>
      </c>
      <c r="D49" s="20"/>
    </row>
    <row r="50" customFormat="false" ht="27.75" hidden="false" customHeight="true" outlineLevel="0" collapsed="false">
      <c r="B50" s="19" t="s">
        <v>80</v>
      </c>
      <c r="C50" s="20" t="s">
        <v>81</v>
      </c>
      <c r="D50" s="20"/>
    </row>
    <row r="52" customFormat="false" ht="13.5" hidden="false" customHeight="true" outlineLevel="0" collapsed="false">
      <c r="B52" s="21" t="s">
        <v>82</v>
      </c>
      <c r="C52" s="21"/>
      <c r="D52" s="21"/>
    </row>
    <row r="53" customFormat="false" ht="13.5" hidden="false" customHeight="true" outlineLevel="0" collapsed="false">
      <c r="B53" s="22" t="s">
        <v>83</v>
      </c>
      <c r="C53" s="22"/>
      <c r="D53" s="22"/>
    </row>
  </sheetData>
  <mergeCells count="33">
    <mergeCell ref="C7:D7"/>
    <mergeCell ref="C8:D8"/>
    <mergeCell ref="C9:D9"/>
    <mergeCell ref="C10:D10"/>
    <mergeCell ref="C11:D11"/>
    <mergeCell ref="C23:D23"/>
    <mergeCell ref="C24:D24"/>
    <mergeCell ref="C25:D25"/>
    <mergeCell ref="C26:D26"/>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B52:D52"/>
    <mergeCell ref="B53:D53"/>
  </mergeCells>
  <hyperlinks>
    <hyperlink ref="B30" location="'01_Inputs'!A1" display="01_Inputs"/>
    <hyperlink ref="B31" location="'02_WACC_Build'!A1" display="02_WACC_Build"/>
    <hyperlink ref="B32" location="'03_Hamada'!A1" display="03_Hamada"/>
    <hyperlink ref="B33" location="'04_Merton_DD'!A1" display="04_Merton_DD"/>
    <hyperlink ref="B34" location="'05_Unit_Economics'!A1" display="05_Unit_Economics"/>
    <hyperlink ref="B35" location="'06_Free_Cooling'!A1" display="06_Free_Cooling"/>
    <hyperlink ref="B36" location="'07_Black_Scholes'!A1" display="07_Black_Scholes"/>
    <hyperlink ref="B37" location="'08_Greeks'!A1" display="08_Greeks"/>
    <hyperlink ref="B38" location="'09_Arrhenius'!A1" display="09_Arrhenius"/>
    <hyperlink ref="B39" location="'10_Heat_Balance'!A1" display="10_Heat_Balance"/>
    <hyperlink ref="B40" location="'11_Transformer_Losses'!A1" display="11_Transformer_Losses"/>
    <hyperlink ref="B41" location="'12_Monte_Carlo'!A1" display="12_Monte_Carlo"/>
    <hyperlink ref="B42" location="'13_Income_Statement'!A1" display="13_Income_Statement"/>
    <hyperlink ref="B43" location="'14_Balance_Sheet'!A1" display="14_Balance_Sheet"/>
    <hyperlink ref="B44" location="'15_Cash_Flow'!A1" display="15_Cash_Flow"/>
    <hyperlink ref="B45" location="'16_DCF_Terminal'!A1" display="16_DCF_Terminal"/>
    <hyperlink ref="B46" location="'17_Sensitivity'!A1" display="17_Sensitivity"/>
    <hyperlink ref="B47" location="'18_Football_Field'!A1" display="18_Football_Field"/>
    <hyperlink ref="B48" location="'19_Variant_Bridge'!A1" display="19_Variant_Bridge"/>
    <hyperlink ref="B49" location="'20_Robustness'!A1" display="20_Robustness"/>
    <hyperlink ref="B50" location="'21_Two_Name_Book'!A1" display="21_Two_Name_Book"/>
  </hyperlink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3"/>
    <col collapsed="false" customWidth="true" hidden="false" outlineLevel="0" max="4" min="3" style="0" width="12"/>
    <col collapsed="false" customWidth="true" hidden="false" outlineLevel="0" max="5" min="5" style="0" width="70"/>
    <col collapsed="false" customWidth="true" hidden="false" outlineLevel="0" max="6" min="6" style="0" width="11"/>
  </cols>
  <sheetData>
    <row r="1" customFormat="false" ht="39.75" hidden="false" customHeight="true" outlineLevel="0" collapsed="false">
      <c r="A1" s="23" t="s">
        <v>84</v>
      </c>
      <c r="B1" s="23"/>
      <c r="C1" s="23"/>
      <c r="D1" s="23"/>
      <c r="E1" s="23"/>
      <c r="F1" s="24" t="s">
        <v>85</v>
      </c>
      <c r="G1" s="25"/>
    </row>
    <row r="2" customFormat="false" ht="7.5" hidden="false" customHeight="true" outlineLevel="0" collapsed="false"/>
    <row r="3" customFormat="false" ht="16.5" hidden="false" customHeight="true" outlineLevel="0" collapsed="false">
      <c r="A3" s="26" t="s">
        <v>86</v>
      </c>
      <c r="B3" s="27" t="s">
        <v>87</v>
      </c>
      <c r="C3" s="27" t="s">
        <v>88</v>
      </c>
      <c r="D3" s="27" t="s">
        <v>89</v>
      </c>
      <c r="E3" s="28" t="s">
        <v>90</v>
      </c>
    </row>
    <row r="5" customFormat="false" ht="18" hidden="false" customHeight="true" outlineLevel="0" collapsed="false">
      <c r="A5" s="29" t="s">
        <v>91</v>
      </c>
      <c r="B5" s="29"/>
      <c r="C5" s="29"/>
      <c r="D5" s="29"/>
      <c r="E5" s="29"/>
    </row>
    <row r="6" customFormat="false" ht="15" hidden="false" customHeight="true" outlineLevel="0" collapsed="false">
      <c r="A6" s="30" t="s">
        <v>92</v>
      </c>
      <c r="B6" s="31" t="s">
        <v>93</v>
      </c>
      <c r="C6" s="32" t="n">
        <v>0.78</v>
      </c>
      <c r="D6" s="31" t="s">
        <v>94</v>
      </c>
      <c r="E6" s="33" t="s">
        <v>95</v>
      </c>
    </row>
    <row r="7" customFormat="false" ht="15" hidden="false" customHeight="true" outlineLevel="0" collapsed="false">
      <c r="A7" s="30" t="s">
        <v>96</v>
      </c>
      <c r="B7" s="31" t="s">
        <v>97</v>
      </c>
      <c r="C7" s="34" t="n">
        <v>1.18</v>
      </c>
      <c r="D7" s="31" t="s">
        <v>98</v>
      </c>
      <c r="E7" s="33" t="s">
        <v>99</v>
      </c>
    </row>
    <row r="8" customFormat="false" ht="15" hidden="false" customHeight="true" outlineLevel="0" collapsed="false">
      <c r="A8" s="30" t="s">
        <v>100</v>
      </c>
      <c r="B8" s="31" t="s">
        <v>101</v>
      </c>
      <c r="C8" s="35" t="n">
        <v>2.45</v>
      </c>
      <c r="D8" s="31" t="s">
        <v>102</v>
      </c>
      <c r="E8" s="33" t="s">
        <v>103</v>
      </c>
    </row>
    <row r="9" customFormat="false" ht="15" hidden="false" customHeight="true" outlineLevel="0" collapsed="false">
      <c r="A9" s="30" t="s">
        <v>104</v>
      </c>
      <c r="B9" s="31"/>
      <c r="C9" s="36" t="n">
        <v>8760</v>
      </c>
      <c r="D9" s="31" t="s">
        <v>105</v>
      </c>
      <c r="E9" s="33" t="s">
        <v>106</v>
      </c>
    </row>
    <row r="10" customFormat="false" ht="15" hidden="false" customHeight="true" outlineLevel="0" collapsed="false">
      <c r="A10" s="30" t="s">
        <v>107</v>
      </c>
      <c r="B10" s="31" t="s">
        <v>108</v>
      </c>
      <c r="C10" s="36" t="n">
        <v>1000</v>
      </c>
      <c r="D10" s="31" t="s">
        <v>109</v>
      </c>
      <c r="E10" s="33" t="s">
        <v>110</v>
      </c>
    </row>
    <row r="11" customFormat="false" ht="26.25" hidden="false" customHeight="true" outlineLevel="0" collapsed="false">
      <c r="A11" s="37" t="s">
        <v>111</v>
      </c>
      <c r="B11" s="31"/>
      <c r="C11" s="38" t="n">
        <v>4.2</v>
      </c>
      <c r="D11" s="31" t="s">
        <v>112</v>
      </c>
      <c r="E11" s="33" t="s">
        <v>113</v>
      </c>
    </row>
    <row r="13" customFormat="false" ht="18" hidden="false" customHeight="true" outlineLevel="0" collapsed="false">
      <c r="A13" s="29" t="s">
        <v>114</v>
      </c>
      <c r="B13" s="29"/>
      <c r="C13" s="29"/>
      <c r="D13" s="29"/>
      <c r="E13" s="29"/>
    </row>
    <row r="14" customFormat="false" ht="15" hidden="false" customHeight="true" outlineLevel="0" collapsed="false">
      <c r="A14" s="30" t="s">
        <v>115</v>
      </c>
      <c r="B14" s="31"/>
      <c r="C14" s="34" t="n">
        <v>0.4</v>
      </c>
      <c r="D14" s="31" t="s">
        <v>112</v>
      </c>
      <c r="E14" s="33" t="s">
        <v>116</v>
      </c>
    </row>
    <row r="15" customFormat="false" ht="15" hidden="false" customHeight="true" outlineLevel="0" collapsed="false">
      <c r="A15" s="30" t="s">
        <v>117</v>
      </c>
      <c r="B15" s="31"/>
      <c r="C15" s="36" t="n">
        <v>75</v>
      </c>
      <c r="D15" s="31" t="s">
        <v>118</v>
      </c>
      <c r="E15" s="33" t="s">
        <v>119</v>
      </c>
    </row>
    <row r="16" customFormat="false" ht="15" hidden="false" customHeight="true" outlineLevel="0" collapsed="false">
      <c r="A16" s="30" t="s">
        <v>120</v>
      </c>
      <c r="B16" s="31" t="s">
        <v>121</v>
      </c>
      <c r="C16" s="38" t="n">
        <v>1.5</v>
      </c>
      <c r="D16" s="31" t="s">
        <v>122</v>
      </c>
      <c r="E16" s="33" t="s">
        <v>119</v>
      </c>
    </row>
    <row r="17" customFormat="false" ht="15" hidden="false" customHeight="true" outlineLevel="0" collapsed="false">
      <c r="A17" s="30" t="s">
        <v>123</v>
      </c>
      <c r="B17" s="31" t="s">
        <v>124</v>
      </c>
      <c r="C17" s="38" t="n">
        <v>2.5</v>
      </c>
      <c r="D17" s="31" t="s">
        <v>122</v>
      </c>
      <c r="E17" s="33" t="s">
        <v>119</v>
      </c>
    </row>
    <row r="18" customFormat="false" ht="26.25" hidden="false" customHeight="true" outlineLevel="0" collapsed="false">
      <c r="A18" s="37" t="s">
        <v>125</v>
      </c>
      <c r="B18" s="31"/>
      <c r="C18" s="38" t="n">
        <v>6</v>
      </c>
      <c r="D18" s="31" t="s">
        <v>126</v>
      </c>
      <c r="E18" s="33" t="s">
        <v>127</v>
      </c>
    </row>
    <row r="19" customFormat="false" ht="15" hidden="false" customHeight="true" outlineLevel="0" collapsed="false">
      <c r="A19" s="30" t="s">
        <v>128</v>
      </c>
      <c r="B19" s="31" t="s">
        <v>129</v>
      </c>
      <c r="C19" s="38" t="n">
        <v>2</v>
      </c>
      <c r="D19" s="31" t="s">
        <v>122</v>
      </c>
      <c r="E19" s="33" t="s">
        <v>119</v>
      </c>
    </row>
    <row r="20" customFormat="false" ht="15" hidden="false" customHeight="true" outlineLevel="0" collapsed="false">
      <c r="A20" s="30" t="s">
        <v>130</v>
      </c>
      <c r="B20" s="31" t="s">
        <v>131</v>
      </c>
      <c r="C20" s="39" t="n">
        <v>0.044</v>
      </c>
      <c r="D20" s="31" t="s">
        <v>132</v>
      </c>
      <c r="E20" s="40" t="s">
        <v>133</v>
      </c>
    </row>
    <row r="21" customFormat="false" ht="15" hidden="false" customHeight="true" outlineLevel="0" collapsed="false">
      <c r="A21" s="30" t="s">
        <v>134</v>
      </c>
      <c r="B21" s="31" t="s">
        <v>135</v>
      </c>
      <c r="C21" s="32" t="n">
        <v>0.35</v>
      </c>
      <c r="D21" s="31" t="s">
        <v>132</v>
      </c>
      <c r="E21" s="33" t="s">
        <v>136</v>
      </c>
    </row>
    <row r="22" customFormat="false" ht="15" hidden="false" customHeight="true" outlineLevel="0" collapsed="false">
      <c r="A22" s="30" t="s">
        <v>137</v>
      </c>
      <c r="B22" s="31" t="s">
        <v>138</v>
      </c>
      <c r="C22" s="34" t="n">
        <v>1</v>
      </c>
      <c r="D22" s="31" t="s">
        <v>122</v>
      </c>
      <c r="E22" s="33" t="s">
        <v>119</v>
      </c>
    </row>
    <row r="23" customFormat="false" ht="15" hidden="false" customHeight="true" outlineLevel="0" collapsed="false">
      <c r="A23" s="30" t="s">
        <v>139</v>
      </c>
      <c r="B23" s="31"/>
      <c r="C23" s="41" t="n">
        <v>16</v>
      </c>
      <c r="D23" s="31" t="s">
        <v>140</v>
      </c>
      <c r="E23" s="33" t="s">
        <v>141</v>
      </c>
    </row>
    <row r="24" customFormat="false" ht="15" hidden="false" customHeight="true" outlineLevel="0" collapsed="false">
      <c r="A24" s="30" t="s">
        <v>142</v>
      </c>
      <c r="B24" s="31"/>
      <c r="C24" s="42" t="n">
        <v>8</v>
      </c>
      <c r="D24" s="31" t="s">
        <v>143</v>
      </c>
      <c r="E24" s="33" t="s">
        <v>144</v>
      </c>
    </row>
    <row r="26" customFormat="false" ht="18" hidden="false" customHeight="true" outlineLevel="0" collapsed="false">
      <c r="A26" s="29" t="s">
        <v>145</v>
      </c>
      <c r="B26" s="29"/>
      <c r="C26" s="29"/>
      <c r="D26" s="29"/>
      <c r="E26" s="29"/>
    </row>
    <row r="27" customFormat="false" ht="15" hidden="false" customHeight="true" outlineLevel="0" collapsed="false">
      <c r="A27" s="30" t="s">
        <v>146</v>
      </c>
      <c r="B27" s="31"/>
      <c r="C27" s="38" t="n">
        <v>9.2</v>
      </c>
      <c r="D27" s="31" t="s">
        <v>143</v>
      </c>
      <c r="E27" s="33" t="s">
        <v>147</v>
      </c>
    </row>
    <row r="28" customFormat="false" ht="15" hidden="false" customHeight="true" outlineLevel="0" collapsed="false">
      <c r="A28" s="30" t="s">
        <v>148</v>
      </c>
      <c r="B28" s="31"/>
      <c r="C28" s="36" t="n">
        <v>180000</v>
      </c>
      <c r="D28" s="31" t="s">
        <v>105</v>
      </c>
      <c r="E28" s="33" t="s">
        <v>149</v>
      </c>
    </row>
    <row r="29" customFormat="false" ht="15" hidden="false" customHeight="true" outlineLevel="0" collapsed="false">
      <c r="A29" s="30" t="s">
        <v>150</v>
      </c>
      <c r="B29" s="31"/>
      <c r="C29" s="41" t="n">
        <v>45</v>
      </c>
      <c r="D29" s="31" t="s">
        <v>122</v>
      </c>
      <c r="E29" s="33" t="s">
        <v>151</v>
      </c>
    </row>
    <row r="30" customFormat="false" ht="15" hidden="false" customHeight="true" outlineLevel="0" collapsed="false">
      <c r="A30" s="30" t="s">
        <v>152</v>
      </c>
      <c r="B30" s="31"/>
      <c r="C30" s="41" t="n">
        <v>80</v>
      </c>
      <c r="D30" s="31" t="s">
        <v>153</v>
      </c>
      <c r="E30" s="33" t="s">
        <v>154</v>
      </c>
    </row>
    <row r="31" customFormat="false" ht="15" hidden="false" customHeight="true" outlineLevel="0" collapsed="false">
      <c r="A31" s="30" t="s">
        <v>155</v>
      </c>
      <c r="B31" s="31" t="s">
        <v>156</v>
      </c>
      <c r="C31" s="36" t="n">
        <v>15000</v>
      </c>
      <c r="D31" s="31" t="s">
        <v>157</v>
      </c>
      <c r="E31" s="33" t="s">
        <v>158</v>
      </c>
    </row>
    <row r="32" customFormat="false" ht="15" hidden="false" customHeight="true" outlineLevel="0" collapsed="false">
      <c r="A32" s="30" t="s">
        <v>159</v>
      </c>
      <c r="B32" s="31"/>
      <c r="C32" s="32" t="n">
        <v>0.08</v>
      </c>
      <c r="D32" s="31" t="s">
        <v>132</v>
      </c>
      <c r="E32" s="33" t="s">
        <v>160</v>
      </c>
    </row>
    <row r="33" customFormat="false" ht="15" hidden="false" customHeight="true" outlineLevel="0" collapsed="false">
      <c r="A33" s="30" t="s">
        <v>161</v>
      </c>
      <c r="B33" s="31"/>
      <c r="C33" s="41" t="n">
        <v>20</v>
      </c>
      <c r="D33" s="31" t="s">
        <v>122</v>
      </c>
      <c r="E33" s="33" t="s">
        <v>160</v>
      </c>
    </row>
    <row r="34" customFormat="false" ht="15" hidden="false" customHeight="true" outlineLevel="0" collapsed="false">
      <c r="A34" s="30" t="s">
        <v>162</v>
      </c>
      <c r="B34" s="31"/>
      <c r="C34" s="39" t="n">
        <v>0.003</v>
      </c>
      <c r="D34" s="31" t="s">
        <v>132</v>
      </c>
      <c r="E34" s="33" t="s">
        <v>163</v>
      </c>
    </row>
    <row r="35" customFormat="false" ht="15" hidden="false" customHeight="true" outlineLevel="0" collapsed="false">
      <c r="A35" s="30" t="s">
        <v>164</v>
      </c>
      <c r="B35" s="31"/>
      <c r="C35" s="32" t="n">
        <v>0.4</v>
      </c>
      <c r="D35" s="31" t="s">
        <v>132</v>
      </c>
      <c r="E35" s="33" t="s">
        <v>165</v>
      </c>
    </row>
    <row r="37" customFormat="false" ht="18" hidden="false" customHeight="true" outlineLevel="0" collapsed="false">
      <c r="A37" s="29" t="s">
        <v>166</v>
      </c>
      <c r="B37" s="29"/>
      <c r="C37" s="29"/>
      <c r="D37" s="29"/>
      <c r="E37" s="29"/>
    </row>
    <row r="38" customFormat="false" ht="15" hidden="false" customHeight="true" outlineLevel="0" collapsed="false">
      <c r="A38" s="30" t="s">
        <v>167</v>
      </c>
      <c r="B38" s="31" t="s">
        <v>168</v>
      </c>
      <c r="C38" s="38" t="n">
        <v>13</v>
      </c>
      <c r="D38" s="31" t="s">
        <v>153</v>
      </c>
      <c r="E38" s="33" t="s">
        <v>169</v>
      </c>
    </row>
    <row r="39" customFormat="false" ht="26.25" hidden="false" customHeight="true" outlineLevel="0" collapsed="false">
      <c r="A39" s="37" t="s">
        <v>170</v>
      </c>
      <c r="B39" s="31" t="s">
        <v>171</v>
      </c>
      <c r="C39" s="43" t="n">
        <v>0.237</v>
      </c>
      <c r="D39" s="31" t="s">
        <v>98</v>
      </c>
      <c r="E39" s="33" t="s">
        <v>172</v>
      </c>
    </row>
    <row r="40" customFormat="false" ht="15" hidden="false" customHeight="true" outlineLevel="0" collapsed="false">
      <c r="A40" s="30" t="s">
        <v>173</v>
      </c>
      <c r="B40" s="31" t="s">
        <v>168</v>
      </c>
      <c r="C40" s="38" t="n">
        <v>19.6</v>
      </c>
      <c r="D40" s="31" t="s">
        <v>153</v>
      </c>
      <c r="E40" s="33" t="s">
        <v>169</v>
      </c>
    </row>
    <row r="41" customFormat="false" ht="15" hidden="false" customHeight="true" outlineLevel="0" collapsed="false">
      <c r="A41" s="30" t="s">
        <v>174</v>
      </c>
      <c r="B41" s="31" t="s">
        <v>171</v>
      </c>
      <c r="C41" s="43" t="n">
        <v>0.464</v>
      </c>
      <c r="D41" s="31" t="s">
        <v>98</v>
      </c>
      <c r="E41" s="33" t="s">
        <v>172</v>
      </c>
    </row>
    <row r="42" customFormat="false" ht="15" hidden="false" customHeight="true" outlineLevel="0" collapsed="false">
      <c r="A42" s="30" t="s">
        <v>175</v>
      </c>
      <c r="B42" s="31" t="s">
        <v>168</v>
      </c>
      <c r="C42" s="38" t="n">
        <v>25.3</v>
      </c>
      <c r="D42" s="31" t="s">
        <v>153</v>
      </c>
      <c r="E42" s="33" t="s">
        <v>169</v>
      </c>
    </row>
    <row r="43" customFormat="false" ht="15" hidden="false" customHeight="true" outlineLevel="0" collapsed="false">
      <c r="A43" s="30" t="s">
        <v>176</v>
      </c>
      <c r="B43" s="31" t="s">
        <v>171</v>
      </c>
      <c r="C43" s="43" t="n">
        <v>0.645</v>
      </c>
      <c r="D43" s="31" t="s">
        <v>98</v>
      </c>
      <c r="E43" s="33" t="s">
        <v>172</v>
      </c>
    </row>
    <row r="44" customFormat="false" ht="15" hidden="false" customHeight="true" outlineLevel="0" collapsed="false">
      <c r="A44" s="30" t="s">
        <v>177</v>
      </c>
      <c r="B44" s="31" t="s">
        <v>168</v>
      </c>
      <c r="C44" s="38" t="n">
        <v>24</v>
      </c>
      <c r="D44" s="31" t="s">
        <v>153</v>
      </c>
      <c r="E44" s="33" t="s">
        <v>169</v>
      </c>
    </row>
    <row r="45" customFormat="false" ht="15" hidden="false" customHeight="true" outlineLevel="0" collapsed="false">
      <c r="A45" s="30" t="s">
        <v>178</v>
      </c>
      <c r="B45" s="31" t="s">
        <v>171</v>
      </c>
      <c r="C45" s="43" t="n">
        <v>0.74</v>
      </c>
      <c r="D45" s="31" t="s">
        <v>98</v>
      </c>
      <c r="E45" s="33" t="s">
        <v>172</v>
      </c>
    </row>
    <row r="46" customFormat="false" ht="15" hidden="false" customHeight="true" outlineLevel="0" collapsed="false">
      <c r="A46" s="30" t="s">
        <v>179</v>
      </c>
      <c r="B46" s="31" t="s">
        <v>168</v>
      </c>
      <c r="C46" s="38" t="n">
        <v>6.1</v>
      </c>
      <c r="D46" s="31" t="s">
        <v>153</v>
      </c>
      <c r="E46" s="33" t="s">
        <v>169</v>
      </c>
    </row>
    <row r="47" customFormat="false" ht="15" hidden="false" customHeight="true" outlineLevel="0" collapsed="false">
      <c r="A47" s="30" t="s">
        <v>180</v>
      </c>
      <c r="B47" s="31" t="s">
        <v>171</v>
      </c>
      <c r="C47" s="43" t="n">
        <v>0.107</v>
      </c>
      <c r="D47" s="31" t="s">
        <v>98</v>
      </c>
      <c r="E47" s="33" t="s">
        <v>172</v>
      </c>
    </row>
    <row r="48" customFormat="false" ht="15" hidden="false" customHeight="true" outlineLevel="0" collapsed="false">
      <c r="A48" s="30" t="s">
        <v>181</v>
      </c>
      <c r="B48" s="31" t="s">
        <v>168</v>
      </c>
      <c r="C48" s="38" t="n">
        <v>7.6</v>
      </c>
      <c r="D48" s="31" t="s">
        <v>153</v>
      </c>
      <c r="E48" s="33" t="s">
        <v>169</v>
      </c>
    </row>
    <row r="49" customFormat="false" ht="15" hidden="false" customHeight="true" outlineLevel="0" collapsed="false">
      <c r="A49" s="30" t="s">
        <v>182</v>
      </c>
      <c r="B49" s="31" t="s">
        <v>171</v>
      </c>
      <c r="C49" s="43" t="n">
        <v>0.12</v>
      </c>
      <c r="D49" s="31" t="s">
        <v>98</v>
      </c>
      <c r="E49" s="33" t="s">
        <v>172</v>
      </c>
    </row>
    <row r="50" customFormat="false" ht="15" hidden="false" customHeight="true" outlineLevel="0" collapsed="false">
      <c r="A50" s="30" t="s">
        <v>183</v>
      </c>
      <c r="B50" s="31" t="s">
        <v>168</v>
      </c>
      <c r="C50" s="38" t="n">
        <v>1.8</v>
      </c>
      <c r="D50" s="31" t="s">
        <v>153</v>
      </c>
      <c r="E50" s="33" t="s">
        <v>169</v>
      </c>
    </row>
    <row r="51" customFormat="false" ht="15" hidden="false" customHeight="true" outlineLevel="0" collapsed="false">
      <c r="A51" s="30" t="s">
        <v>184</v>
      </c>
      <c r="B51" s="31" t="s">
        <v>171</v>
      </c>
      <c r="C51" s="43" t="n">
        <v>0.074</v>
      </c>
      <c r="D51" s="31" t="s">
        <v>98</v>
      </c>
      <c r="E51" s="33" t="s">
        <v>172</v>
      </c>
    </row>
    <row r="52" customFormat="false" ht="15" hidden="false" customHeight="true" outlineLevel="0" collapsed="false">
      <c r="A52" s="30" t="s">
        <v>185</v>
      </c>
      <c r="B52" s="31" t="s">
        <v>168</v>
      </c>
      <c r="C52" s="38" t="n">
        <v>5.5</v>
      </c>
      <c r="D52" s="31" t="s">
        <v>153</v>
      </c>
      <c r="E52" s="33" t="s">
        <v>169</v>
      </c>
    </row>
    <row r="53" customFormat="false" ht="15" hidden="false" customHeight="true" outlineLevel="0" collapsed="false">
      <c r="A53" s="30" t="s">
        <v>186</v>
      </c>
      <c r="B53" s="31" t="s">
        <v>171</v>
      </c>
      <c r="C53" s="43" t="n">
        <v>0.076</v>
      </c>
      <c r="D53" s="31" t="s">
        <v>98</v>
      </c>
      <c r="E53" s="33" t="s">
        <v>172</v>
      </c>
    </row>
    <row r="55" customFormat="false" ht="18" hidden="false" customHeight="true" outlineLevel="0" collapsed="false">
      <c r="A55" s="29" t="s">
        <v>187</v>
      </c>
      <c r="B55" s="29"/>
      <c r="C55" s="29"/>
      <c r="D55" s="29"/>
      <c r="E55" s="29"/>
    </row>
    <row r="56" customFormat="false" ht="15" hidden="false" customHeight="true" outlineLevel="0" collapsed="false">
      <c r="A56" s="30" t="s">
        <v>188</v>
      </c>
      <c r="B56" s="31"/>
      <c r="C56" s="34" t="n">
        <v>1.05</v>
      </c>
      <c r="D56" s="31" t="s">
        <v>98</v>
      </c>
      <c r="E56" s="33" t="s">
        <v>189</v>
      </c>
    </row>
    <row r="57" customFormat="false" ht="15" hidden="false" customHeight="true" outlineLevel="0" collapsed="false">
      <c r="A57" s="30" t="s">
        <v>190</v>
      </c>
      <c r="B57" s="31"/>
      <c r="C57" s="34" t="n">
        <v>1.44</v>
      </c>
      <c r="D57" s="31" t="s">
        <v>98</v>
      </c>
      <c r="E57" s="33" t="s">
        <v>191</v>
      </c>
    </row>
    <row r="58" customFormat="false" ht="15" hidden="false" customHeight="true" outlineLevel="0" collapsed="false">
      <c r="A58" s="30" t="s">
        <v>192</v>
      </c>
      <c r="B58" s="31" t="s">
        <v>193</v>
      </c>
      <c r="C58" s="43" t="n">
        <v>0.057</v>
      </c>
      <c r="D58" s="31" t="s">
        <v>94</v>
      </c>
      <c r="E58" s="33" t="s">
        <v>194</v>
      </c>
    </row>
    <row r="59" customFormat="false" ht="15" hidden="false" customHeight="true" outlineLevel="0" collapsed="false">
      <c r="A59" s="30" t="s">
        <v>195</v>
      </c>
      <c r="B59" s="31" t="s">
        <v>193</v>
      </c>
      <c r="C59" s="43" t="n">
        <v>0.594</v>
      </c>
      <c r="D59" s="31" t="s">
        <v>94</v>
      </c>
      <c r="E59" s="33" t="s">
        <v>194</v>
      </c>
    </row>
    <row r="60" customFormat="false" ht="15" hidden="false" customHeight="true" outlineLevel="0" collapsed="false">
      <c r="A60" s="30" t="s">
        <v>196</v>
      </c>
      <c r="B60" s="31" t="s">
        <v>193</v>
      </c>
      <c r="C60" s="43" t="n">
        <v>0.89</v>
      </c>
      <c r="D60" s="31" t="s">
        <v>94</v>
      </c>
      <c r="E60" s="33" t="s">
        <v>194</v>
      </c>
    </row>
    <row r="61" customFormat="false" ht="15" hidden="false" customHeight="true" outlineLevel="0" collapsed="false">
      <c r="A61" s="30" t="s">
        <v>197</v>
      </c>
      <c r="B61" s="31" t="s">
        <v>193</v>
      </c>
      <c r="C61" s="43" t="n">
        <v>0.959</v>
      </c>
      <c r="D61" s="31" t="s">
        <v>94</v>
      </c>
      <c r="E61" s="33" t="s">
        <v>194</v>
      </c>
    </row>
    <row r="62" customFormat="false" ht="15" hidden="false" customHeight="true" outlineLevel="0" collapsed="false">
      <c r="A62" s="30" t="s">
        <v>198</v>
      </c>
      <c r="B62" s="31" t="s">
        <v>97</v>
      </c>
      <c r="C62" s="34" t="n">
        <v>1.42</v>
      </c>
      <c r="D62" s="31" t="s">
        <v>98</v>
      </c>
      <c r="E62" s="33" t="s">
        <v>199</v>
      </c>
    </row>
    <row r="63" customFormat="false" ht="15" hidden="false" customHeight="true" outlineLevel="0" collapsed="false">
      <c r="A63" s="30" t="s">
        <v>200</v>
      </c>
      <c r="B63" s="31" t="s">
        <v>97</v>
      </c>
      <c r="C63" s="34" t="n">
        <v>1.21</v>
      </c>
      <c r="D63" s="31" t="s">
        <v>98</v>
      </c>
      <c r="E63" s="33" t="s">
        <v>199</v>
      </c>
    </row>
    <row r="64" customFormat="false" ht="15" hidden="false" customHeight="true" outlineLevel="0" collapsed="false">
      <c r="A64" s="30" t="s">
        <v>201</v>
      </c>
      <c r="B64" s="31" t="s">
        <v>97</v>
      </c>
      <c r="C64" s="34" t="n">
        <v>1.1</v>
      </c>
      <c r="D64" s="31" t="s">
        <v>98</v>
      </c>
      <c r="E64" s="33" t="s">
        <v>199</v>
      </c>
    </row>
    <row r="65" customFormat="false" ht="15" hidden="false" customHeight="true" outlineLevel="0" collapsed="false">
      <c r="A65" s="30" t="s">
        <v>202</v>
      </c>
      <c r="B65" s="31" t="s">
        <v>97</v>
      </c>
      <c r="C65" s="34" t="n">
        <v>1.07</v>
      </c>
      <c r="D65" s="31" t="s">
        <v>98</v>
      </c>
      <c r="E65" s="33" t="s">
        <v>199</v>
      </c>
    </row>
    <row r="66" customFormat="false" ht="15" hidden="false" customHeight="true" outlineLevel="0" collapsed="false">
      <c r="A66" s="30" t="s">
        <v>203</v>
      </c>
      <c r="B66" s="31"/>
      <c r="C66" s="41" t="n">
        <v>7</v>
      </c>
      <c r="D66" s="31" t="s">
        <v>118</v>
      </c>
      <c r="E66" s="33" t="s">
        <v>204</v>
      </c>
    </row>
    <row r="67" customFormat="false" ht="15" hidden="false" customHeight="true" outlineLevel="0" collapsed="false">
      <c r="A67" s="30" t="s">
        <v>205</v>
      </c>
      <c r="B67" s="31"/>
      <c r="C67" s="38" t="n">
        <v>31.6</v>
      </c>
      <c r="D67" s="31" t="s">
        <v>206</v>
      </c>
      <c r="E67" s="40" t="s">
        <v>207</v>
      </c>
    </row>
    <row r="68" customFormat="false" ht="15" hidden="false" customHeight="true" outlineLevel="0" collapsed="false">
      <c r="A68" s="30" t="s">
        <v>208</v>
      </c>
      <c r="B68" s="31"/>
      <c r="C68" s="44" t="n">
        <v>-22</v>
      </c>
      <c r="D68" s="31" t="s">
        <v>209</v>
      </c>
      <c r="E68" s="33" t="s">
        <v>210</v>
      </c>
    </row>
    <row r="69" customFormat="false" ht="15" hidden="false" customHeight="true" outlineLevel="0" collapsed="false">
      <c r="A69" s="30" t="s">
        <v>211</v>
      </c>
      <c r="B69" s="31"/>
      <c r="C69" s="32" t="n">
        <v>0.04</v>
      </c>
      <c r="D69" s="31" t="s">
        <v>132</v>
      </c>
      <c r="E69" s="33" t="s">
        <v>212</v>
      </c>
    </row>
    <row r="70" customFormat="false" ht="15" hidden="false" customHeight="true" outlineLevel="0" collapsed="false">
      <c r="A70" s="30" t="s">
        <v>213</v>
      </c>
      <c r="B70" s="31"/>
      <c r="C70" s="44" t="n">
        <v>18</v>
      </c>
      <c r="D70" s="31" t="s">
        <v>209</v>
      </c>
      <c r="E70" s="33" t="s">
        <v>214</v>
      </c>
    </row>
    <row r="71" customFormat="false" ht="15" hidden="false" customHeight="true" outlineLevel="0" collapsed="false">
      <c r="A71" s="30" t="s">
        <v>215</v>
      </c>
      <c r="B71" s="31"/>
      <c r="C71" s="44" t="n">
        <v>4</v>
      </c>
      <c r="D71" s="31" t="s">
        <v>209</v>
      </c>
      <c r="E71" s="33" t="s">
        <v>216</v>
      </c>
    </row>
    <row r="72" customFormat="false" ht="15" hidden="false" customHeight="true" outlineLevel="0" collapsed="false">
      <c r="A72" s="30" t="s">
        <v>217</v>
      </c>
      <c r="B72" s="31"/>
      <c r="C72" s="41" t="n">
        <v>16</v>
      </c>
      <c r="D72" s="31" t="s">
        <v>218</v>
      </c>
      <c r="E72" s="33" t="s">
        <v>219</v>
      </c>
    </row>
    <row r="74" customFormat="false" ht="18" hidden="false" customHeight="true" outlineLevel="0" collapsed="false">
      <c r="A74" s="29" t="s">
        <v>220</v>
      </c>
      <c r="B74" s="29"/>
      <c r="C74" s="29"/>
      <c r="D74" s="29"/>
      <c r="E74" s="29"/>
    </row>
    <row r="75" customFormat="false" ht="15" hidden="false" customHeight="true" outlineLevel="0" collapsed="false">
      <c r="A75" s="30" t="s">
        <v>221</v>
      </c>
      <c r="B75" s="31" t="s">
        <v>222</v>
      </c>
      <c r="C75" s="39" t="n">
        <v>0.0444</v>
      </c>
      <c r="D75" s="31" t="s">
        <v>132</v>
      </c>
      <c r="E75" s="40" t="s">
        <v>223</v>
      </c>
    </row>
    <row r="76" customFormat="false" ht="15" hidden="false" customHeight="true" outlineLevel="0" collapsed="false">
      <c r="A76" s="30" t="s">
        <v>224</v>
      </c>
      <c r="B76" s="31"/>
      <c r="C76" s="39" t="n">
        <v>0.0383</v>
      </c>
      <c r="D76" s="31" t="s">
        <v>132</v>
      </c>
      <c r="E76" s="33" t="s">
        <v>225</v>
      </c>
    </row>
    <row r="77" customFormat="false" ht="15" hidden="false" customHeight="true" outlineLevel="0" collapsed="false">
      <c r="A77" s="30" t="s">
        <v>226</v>
      </c>
      <c r="B77" s="31" t="s">
        <v>227</v>
      </c>
      <c r="C77" s="39" t="n">
        <v>0.0431</v>
      </c>
      <c r="D77" s="31" t="s">
        <v>132</v>
      </c>
      <c r="E77" s="33" t="s">
        <v>228</v>
      </c>
    </row>
    <row r="78" customFormat="false" ht="15" hidden="false" customHeight="true" outlineLevel="0" collapsed="false">
      <c r="A78" s="30" t="s">
        <v>229</v>
      </c>
      <c r="B78" s="31" t="s">
        <v>230</v>
      </c>
      <c r="C78" s="39" t="n">
        <v>0.0532</v>
      </c>
      <c r="D78" s="31" t="s">
        <v>132</v>
      </c>
      <c r="E78" s="33" t="s">
        <v>231</v>
      </c>
    </row>
    <row r="79" customFormat="false" ht="15" hidden="false" customHeight="true" outlineLevel="0" collapsed="false">
      <c r="A79" s="30" t="s">
        <v>232</v>
      </c>
      <c r="B79" s="31" t="s">
        <v>233</v>
      </c>
      <c r="C79" s="43" t="n">
        <v>0.642</v>
      </c>
      <c r="D79" s="31" t="s">
        <v>234</v>
      </c>
      <c r="E79" s="33" t="s">
        <v>235</v>
      </c>
    </row>
    <row r="80" customFormat="false" ht="15" hidden="false" customHeight="true" outlineLevel="0" collapsed="false">
      <c r="A80" s="30" t="s">
        <v>236</v>
      </c>
      <c r="B80" s="31" t="s">
        <v>237</v>
      </c>
      <c r="C80" s="45" t="n">
        <v>0.8446</v>
      </c>
      <c r="D80" s="31" t="s">
        <v>234</v>
      </c>
      <c r="E80" s="33" t="s">
        <v>238</v>
      </c>
    </row>
    <row r="81" customFormat="false" ht="26.25" hidden="false" customHeight="true" outlineLevel="0" collapsed="false">
      <c r="A81" s="30" t="s">
        <v>239</v>
      </c>
      <c r="B81" s="31" t="s">
        <v>240</v>
      </c>
      <c r="C81" s="43" t="n">
        <v>0.393</v>
      </c>
      <c r="D81" s="31" t="s">
        <v>234</v>
      </c>
      <c r="E81" s="40" t="s">
        <v>241</v>
      </c>
    </row>
    <row r="82" customFormat="false" ht="15" hidden="false" customHeight="true" outlineLevel="0" collapsed="false">
      <c r="A82" s="30" t="s">
        <v>242</v>
      </c>
      <c r="B82" s="31" t="s">
        <v>243</v>
      </c>
      <c r="C82" s="32" t="n">
        <v>0.264</v>
      </c>
      <c r="D82" s="31" t="s">
        <v>132</v>
      </c>
      <c r="E82" s="33" t="s">
        <v>244</v>
      </c>
    </row>
    <row r="83" customFormat="false" ht="15" hidden="false" customHeight="true" outlineLevel="0" collapsed="false">
      <c r="A83" s="30" t="s">
        <v>245</v>
      </c>
      <c r="B83" s="31" t="s">
        <v>246</v>
      </c>
      <c r="C83" s="32" t="n">
        <v>0.016</v>
      </c>
      <c r="D83" s="31" t="s">
        <v>132</v>
      </c>
      <c r="E83" s="33" t="s">
        <v>247</v>
      </c>
    </row>
    <row r="85" customFormat="false" ht="18" hidden="false" customHeight="true" outlineLevel="0" collapsed="false">
      <c r="A85" s="29" t="s">
        <v>248</v>
      </c>
      <c r="B85" s="29"/>
      <c r="C85" s="29"/>
      <c r="D85" s="29"/>
      <c r="E85" s="29"/>
    </row>
    <row r="86" customFormat="false" ht="15" hidden="false" customHeight="true" outlineLevel="0" collapsed="false">
      <c r="A86" s="30" t="s">
        <v>249</v>
      </c>
      <c r="B86" s="31" t="s">
        <v>250</v>
      </c>
      <c r="C86" s="42" t="n">
        <v>71000</v>
      </c>
      <c r="D86" s="31" t="s">
        <v>143</v>
      </c>
      <c r="E86" s="33" t="s">
        <v>251</v>
      </c>
    </row>
    <row r="87" customFormat="false" ht="15" hidden="false" customHeight="true" outlineLevel="0" collapsed="false">
      <c r="A87" s="30" t="s">
        <v>252</v>
      </c>
      <c r="B87" s="31" t="s">
        <v>253</v>
      </c>
      <c r="C87" s="44" t="n">
        <v>18635.3</v>
      </c>
      <c r="D87" s="31" t="s">
        <v>143</v>
      </c>
      <c r="E87" s="33" t="s">
        <v>254</v>
      </c>
    </row>
    <row r="88" customFormat="false" ht="15" hidden="false" customHeight="true" outlineLevel="0" collapsed="false">
      <c r="A88" s="30" t="s">
        <v>255</v>
      </c>
      <c r="B88" s="31"/>
      <c r="C88" s="44" t="n">
        <v>1864.8</v>
      </c>
      <c r="D88" s="31" t="s">
        <v>143</v>
      </c>
      <c r="E88" s="33" t="s">
        <v>254</v>
      </c>
    </row>
    <row r="89" customFormat="false" ht="26.25" hidden="false" customHeight="true" outlineLevel="0" collapsed="false">
      <c r="A89" s="37" t="s">
        <v>256</v>
      </c>
      <c r="B89" s="31"/>
      <c r="C89" s="46" t="n">
        <v>376.675</v>
      </c>
      <c r="D89" s="31" t="s">
        <v>257</v>
      </c>
      <c r="E89" s="40" t="s">
        <v>258</v>
      </c>
    </row>
    <row r="90" customFormat="false" ht="15" hidden="false" customHeight="true" outlineLevel="0" collapsed="false">
      <c r="A90" s="30" t="s">
        <v>259</v>
      </c>
      <c r="B90" s="31"/>
      <c r="C90" s="42" t="n">
        <v>755</v>
      </c>
      <c r="D90" s="31" t="s">
        <v>143</v>
      </c>
      <c r="E90" s="33" t="s">
        <v>260</v>
      </c>
    </row>
    <row r="91" customFormat="false" ht="26.25" hidden="false" customHeight="true" outlineLevel="0" collapsed="false">
      <c r="A91" s="37" t="s">
        <v>261</v>
      </c>
      <c r="B91" s="31"/>
      <c r="C91" s="44" t="n">
        <v>886.2</v>
      </c>
      <c r="D91" s="31" t="s">
        <v>143</v>
      </c>
      <c r="E91" s="33" t="s">
        <v>262</v>
      </c>
    </row>
    <row r="92" customFormat="false" ht="15" hidden="false" customHeight="true" outlineLevel="0" collapsed="false">
      <c r="A92" s="30" t="s">
        <v>263</v>
      </c>
      <c r="B92" s="31"/>
      <c r="C92" s="44" t="n">
        <v>6112.7</v>
      </c>
      <c r="D92" s="31" t="s">
        <v>143</v>
      </c>
      <c r="E92" s="33" t="s">
        <v>264</v>
      </c>
    </row>
    <row r="93" customFormat="false" ht="15" hidden="false" customHeight="true" outlineLevel="0" collapsed="false">
      <c r="A93" s="30" t="s">
        <v>265</v>
      </c>
      <c r="B93" s="31"/>
      <c r="C93" s="44" t="n">
        <v>3339.1</v>
      </c>
      <c r="D93" s="31" t="s">
        <v>143</v>
      </c>
      <c r="E93" s="33" t="s">
        <v>266</v>
      </c>
    </row>
    <row r="94" customFormat="false" ht="15" hidden="false" customHeight="true" outlineLevel="0" collapsed="false">
      <c r="A94" s="30" t="s">
        <v>267</v>
      </c>
      <c r="B94" s="31"/>
      <c r="C94" s="44" t="n">
        <v>1894.6</v>
      </c>
      <c r="D94" s="31" t="s">
        <v>143</v>
      </c>
      <c r="E94" s="33" t="s">
        <v>268</v>
      </c>
    </row>
    <row r="95" customFormat="false" ht="15" hidden="false" customHeight="true" outlineLevel="0" collapsed="false">
      <c r="A95" s="30" t="s">
        <v>269</v>
      </c>
      <c r="B95" s="31"/>
      <c r="C95" s="44" t="n">
        <v>437.9</v>
      </c>
      <c r="D95" s="31" t="s">
        <v>143</v>
      </c>
      <c r="E95" s="33" t="s">
        <v>268</v>
      </c>
    </row>
    <row r="96" customFormat="false" ht="15" hidden="false" customHeight="true" outlineLevel="0" collapsed="false">
      <c r="A96" s="30" t="s">
        <v>270</v>
      </c>
      <c r="B96" s="31"/>
      <c r="C96" s="44" t="n">
        <v>343.9</v>
      </c>
      <c r="D96" s="31" t="s">
        <v>143</v>
      </c>
      <c r="E96" s="33" t="s">
        <v>271</v>
      </c>
    </row>
    <row r="97" customFormat="false" ht="15" hidden="false" customHeight="true" outlineLevel="0" collapsed="false">
      <c r="A97" s="30" t="s">
        <v>272</v>
      </c>
      <c r="B97" s="31"/>
      <c r="C97" s="44" t="n">
        <v>49410.5</v>
      </c>
      <c r="D97" s="31" t="s">
        <v>143</v>
      </c>
      <c r="E97" s="33" t="s">
        <v>268</v>
      </c>
    </row>
    <row r="98" customFormat="false" ht="15" hidden="false" customHeight="true" outlineLevel="0" collapsed="false">
      <c r="A98" s="30" t="s">
        <v>273</v>
      </c>
      <c r="B98" s="31"/>
      <c r="C98" s="44" t="n">
        <v>24564.5</v>
      </c>
      <c r="D98" s="31" t="s">
        <v>143</v>
      </c>
      <c r="E98" s="33" t="s">
        <v>268</v>
      </c>
    </row>
    <row r="99" customFormat="false" ht="15" hidden="false" customHeight="true" outlineLevel="0" collapsed="false">
      <c r="A99" s="30" t="s">
        <v>274</v>
      </c>
      <c r="B99" s="31"/>
      <c r="C99" s="44" t="n">
        <v>18402.1</v>
      </c>
      <c r="D99" s="31" t="s">
        <v>143</v>
      </c>
      <c r="E99" s="33" t="s">
        <v>275</v>
      </c>
    </row>
    <row r="100" customFormat="false" ht="15" hidden="false" customHeight="true" outlineLevel="0" collapsed="false">
      <c r="A100" s="30" t="s">
        <v>276</v>
      </c>
      <c r="B100" s="31"/>
      <c r="C100" s="44" t="n">
        <v>3451.6</v>
      </c>
      <c r="D100" s="31" t="s">
        <v>143</v>
      </c>
      <c r="E100" s="33" t="s">
        <v>268</v>
      </c>
    </row>
    <row r="101" customFormat="false" ht="15" hidden="false" customHeight="true" outlineLevel="0" collapsed="false">
      <c r="A101" s="30" t="s">
        <v>277</v>
      </c>
      <c r="B101" s="31"/>
      <c r="C101" s="42" t="n">
        <v>6900</v>
      </c>
      <c r="D101" s="31" t="s">
        <v>143</v>
      </c>
      <c r="E101" s="33" t="s">
        <v>278</v>
      </c>
    </row>
    <row r="102" customFormat="false" ht="15" hidden="false" customHeight="true" outlineLevel="0" collapsed="false">
      <c r="A102" s="30" t="s">
        <v>279</v>
      </c>
      <c r="B102" s="31"/>
      <c r="C102" s="42" t="n">
        <v>3800</v>
      </c>
      <c r="D102" s="31" t="s">
        <v>143</v>
      </c>
      <c r="E102" s="33" t="s">
        <v>280</v>
      </c>
    </row>
    <row r="103" customFormat="false" ht="26.25" hidden="false" customHeight="true" outlineLevel="0" collapsed="false">
      <c r="A103" s="30" t="s">
        <v>281</v>
      </c>
      <c r="B103" s="31"/>
      <c r="C103" s="42" t="n">
        <v>4500</v>
      </c>
      <c r="D103" s="31" t="s">
        <v>143</v>
      </c>
      <c r="E103" s="40" t="s">
        <v>282</v>
      </c>
    </row>
    <row r="104" customFormat="false" ht="15" hidden="false" customHeight="true" outlineLevel="0" collapsed="false">
      <c r="A104" s="30" t="s">
        <v>283</v>
      </c>
      <c r="B104" s="31"/>
      <c r="C104" s="35" t="n">
        <v>4.88</v>
      </c>
      <c r="D104" s="31" t="s">
        <v>284</v>
      </c>
      <c r="E104" s="33" t="s">
        <v>285</v>
      </c>
    </row>
    <row r="105" customFormat="false" ht="26.25" hidden="false" customHeight="true" outlineLevel="0" collapsed="false">
      <c r="A105" s="30" t="s">
        <v>286</v>
      </c>
      <c r="B105" s="31"/>
      <c r="C105" s="32" t="n">
        <v>0.1</v>
      </c>
      <c r="D105" s="31" t="s">
        <v>132</v>
      </c>
      <c r="E105" s="40" t="s">
        <v>287</v>
      </c>
    </row>
    <row r="106" customFormat="false" ht="15" hidden="false" customHeight="true" outlineLevel="0" collapsed="false">
      <c r="A106" s="30" t="s">
        <v>288</v>
      </c>
      <c r="B106" s="31" t="s">
        <v>289</v>
      </c>
      <c r="C106" s="32" t="n">
        <v>0.08</v>
      </c>
      <c r="D106" s="31" t="s">
        <v>132</v>
      </c>
      <c r="E106" s="33" t="s">
        <v>290</v>
      </c>
    </row>
    <row r="107" customFormat="false" ht="15" hidden="false" customHeight="true" outlineLevel="0" collapsed="false">
      <c r="A107" s="30" t="s">
        <v>291</v>
      </c>
      <c r="B107" s="31" t="s">
        <v>292</v>
      </c>
      <c r="C107" s="32" t="n">
        <v>0.025</v>
      </c>
      <c r="D107" s="31" t="s">
        <v>132</v>
      </c>
      <c r="E107" s="33" t="s">
        <v>293</v>
      </c>
    </row>
    <row r="108" customFormat="false" ht="26.25" hidden="false" customHeight="true" outlineLevel="0" collapsed="false">
      <c r="A108" s="30" t="s">
        <v>294</v>
      </c>
      <c r="B108" s="31" t="s">
        <v>295</v>
      </c>
      <c r="C108" s="32" t="n">
        <v>0.1</v>
      </c>
      <c r="D108" s="31" t="s">
        <v>132</v>
      </c>
      <c r="E108" s="40" t="s">
        <v>296</v>
      </c>
    </row>
    <row r="109" customFormat="false" ht="15" hidden="false" customHeight="true" outlineLevel="0" collapsed="false">
      <c r="A109" s="30" t="s">
        <v>297</v>
      </c>
      <c r="B109" s="31"/>
      <c r="C109" s="47" t="n">
        <v>20</v>
      </c>
      <c r="D109" s="31" t="s">
        <v>234</v>
      </c>
      <c r="E109" s="33" t="s">
        <v>298</v>
      </c>
    </row>
    <row r="110" customFormat="false" ht="15" hidden="false" customHeight="true" outlineLevel="0" collapsed="false">
      <c r="A110" s="30" t="s">
        <v>299</v>
      </c>
      <c r="B110" s="31"/>
      <c r="C110" s="47" t="n">
        <v>26</v>
      </c>
      <c r="D110" s="31" t="s">
        <v>234</v>
      </c>
      <c r="E110" s="33" t="s">
        <v>298</v>
      </c>
    </row>
    <row r="112" customFormat="false" ht="18" hidden="false" customHeight="true" outlineLevel="0" collapsed="false">
      <c r="A112" s="29" t="s">
        <v>300</v>
      </c>
      <c r="B112" s="29"/>
      <c r="C112" s="29"/>
      <c r="D112" s="29"/>
      <c r="E112" s="29"/>
    </row>
    <row r="113" customFormat="false" ht="15" hidden="false" customHeight="true" outlineLevel="0" collapsed="false">
      <c r="A113" s="30" t="s">
        <v>301</v>
      </c>
      <c r="B113" s="31" t="s">
        <v>222</v>
      </c>
      <c r="C113" s="39" t="n">
        <v>0.0296</v>
      </c>
      <c r="D113" s="31" t="s">
        <v>132</v>
      </c>
      <c r="E113" s="33" t="s">
        <v>302</v>
      </c>
    </row>
    <row r="114" customFormat="false" ht="15" hidden="false" customHeight="true" outlineLevel="0" collapsed="false">
      <c r="A114" s="30" t="s">
        <v>303</v>
      </c>
      <c r="B114" s="31" t="s">
        <v>237</v>
      </c>
      <c r="C114" s="34" t="n">
        <v>0.67</v>
      </c>
      <c r="D114" s="31" t="s">
        <v>234</v>
      </c>
      <c r="E114" s="33" t="s">
        <v>304</v>
      </c>
    </row>
    <row r="115" customFormat="false" ht="15" hidden="false" customHeight="true" outlineLevel="0" collapsed="false">
      <c r="A115" s="30" t="s">
        <v>305</v>
      </c>
      <c r="B115" s="31" t="s">
        <v>246</v>
      </c>
      <c r="C115" s="32" t="n">
        <v>0.2</v>
      </c>
      <c r="D115" s="31" t="s">
        <v>132</v>
      </c>
      <c r="E115" s="33" t="s">
        <v>306</v>
      </c>
    </row>
    <row r="116" customFormat="false" ht="15" hidden="false" customHeight="true" outlineLevel="0" collapsed="false">
      <c r="A116" s="30" t="s">
        <v>307</v>
      </c>
      <c r="B116" s="31" t="s">
        <v>230</v>
      </c>
      <c r="C116" s="39" t="n">
        <v>0.045</v>
      </c>
      <c r="D116" s="31" t="s">
        <v>132</v>
      </c>
      <c r="E116" s="33" t="s">
        <v>308</v>
      </c>
    </row>
    <row r="117" customFormat="false" ht="15" hidden="false" customHeight="true" outlineLevel="0" collapsed="false">
      <c r="A117" s="30" t="s">
        <v>309</v>
      </c>
      <c r="B117" s="31" t="s">
        <v>310</v>
      </c>
      <c r="C117" s="42" t="n">
        <v>8500</v>
      </c>
      <c r="D117" s="31" t="s">
        <v>143</v>
      </c>
      <c r="E117" s="33" t="s">
        <v>304</v>
      </c>
    </row>
    <row r="118" customFormat="false" ht="15" hidden="false" customHeight="true" outlineLevel="0" collapsed="false">
      <c r="A118" s="30" t="s">
        <v>311</v>
      </c>
      <c r="B118" s="31" t="s">
        <v>253</v>
      </c>
      <c r="C118" s="42" t="n">
        <v>3200</v>
      </c>
      <c r="D118" s="31" t="s">
        <v>143</v>
      </c>
      <c r="E118" s="33" t="s">
        <v>304</v>
      </c>
    </row>
    <row r="119" customFormat="false" ht="15" hidden="false" customHeight="true" outlineLevel="0" collapsed="false">
      <c r="A119" s="30" t="s">
        <v>312</v>
      </c>
      <c r="B119" s="31" t="s">
        <v>313</v>
      </c>
      <c r="C119" s="32" t="n">
        <v>0.18</v>
      </c>
      <c r="D119" s="31" t="s">
        <v>132</v>
      </c>
      <c r="E119" s="33" t="s">
        <v>304</v>
      </c>
    </row>
    <row r="121" customFormat="false" ht="18" hidden="false" customHeight="true" outlineLevel="0" collapsed="false">
      <c r="A121" s="29" t="s">
        <v>314</v>
      </c>
      <c r="B121" s="29"/>
      <c r="C121" s="29"/>
      <c r="D121" s="29"/>
      <c r="E121" s="29"/>
    </row>
    <row r="122" customFormat="false" ht="15" hidden="false" customHeight="true" outlineLevel="0" collapsed="false">
      <c r="A122" s="30" t="s">
        <v>315</v>
      </c>
      <c r="B122" s="31"/>
      <c r="C122" s="41" t="n">
        <v>100</v>
      </c>
      <c r="D122" s="31" t="s">
        <v>316</v>
      </c>
      <c r="E122" s="33" t="s">
        <v>317</v>
      </c>
    </row>
    <row r="123" customFormat="false" ht="15" hidden="false" customHeight="true" outlineLevel="0" collapsed="false">
      <c r="A123" s="30" t="s">
        <v>318</v>
      </c>
      <c r="B123" s="31"/>
      <c r="C123" s="39" t="n">
        <v>0.0035</v>
      </c>
      <c r="D123" s="31" t="s">
        <v>319</v>
      </c>
      <c r="E123" s="33" t="s">
        <v>320</v>
      </c>
    </row>
    <row r="124" customFormat="false" ht="15" hidden="false" customHeight="true" outlineLevel="0" collapsed="false">
      <c r="A124" s="30" t="s">
        <v>321</v>
      </c>
      <c r="B124" s="31"/>
      <c r="C124" s="41" t="n">
        <v>50</v>
      </c>
      <c r="D124" s="31" t="s">
        <v>322</v>
      </c>
      <c r="E124" s="33" t="s">
        <v>317</v>
      </c>
    </row>
    <row r="125" customFormat="false" ht="15" hidden="false" customHeight="true" outlineLevel="0" collapsed="false">
      <c r="A125" s="30" t="s">
        <v>323</v>
      </c>
      <c r="B125" s="31"/>
      <c r="C125" s="41" t="n">
        <v>300</v>
      </c>
      <c r="D125" s="31" t="s">
        <v>322</v>
      </c>
      <c r="E125" s="33" t="s">
        <v>317</v>
      </c>
    </row>
    <row r="126" customFormat="false" ht="15" hidden="false" customHeight="true" outlineLevel="0" collapsed="false">
      <c r="A126" s="30" t="s">
        <v>324</v>
      </c>
      <c r="B126" s="31" t="s">
        <v>325</v>
      </c>
      <c r="C126" s="41" t="n">
        <v>20</v>
      </c>
      <c r="D126" s="31" t="s">
        <v>153</v>
      </c>
      <c r="E126" s="33" t="s">
        <v>317</v>
      </c>
    </row>
    <row r="127" customFormat="false" ht="15" hidden="false" customHeight="true" outlineLevel="0" collapsed="false">
      <c r="A127" s="30" t="s">
        <v>326</v>
      </c>
      <c r="B127" s="31" t="s">
        <v>325</v>
      </c>
      <c r="C127" s="41" t="n">
        <v>15</v>
      </c>
      <c r="D127" s="31" t="s">
        <v>153</v>
      </c>
      <c r="E127" s="33" t="s">
        <v>317</v>
      </c>
    </row>
    <row r="128" customFormat="false" ht="15" hidden="false" customHeight="true" outlineLevel="0" collapsed="false">
      <c r="A128" s="30" t="s">
        <v>327</v>
      </c>
      <c r="B128" s="31" t="s">
        <v>325</v>
      </c>
      <c r="C128" s="41" t="n">
        <v>30</v>
      </c>
      <c r="D128" s="31" t="s">
        <v>153</v>
      </c>
      <c r="E128" s="33" t="s">
        <v>191</v>
      </c>
    </row>
    <row r="129" customFormat="false" ht="15" hidden="false" customHeight="true" outlineLevel="0" collapsed="false">
      <c r="A129" s="30" t="s">
        <v>328</v>
      </c>
      <c r="B129" s="31"/>
      <c r="C129" s="41" t="n">
        <v>28</v>
      </c>
      <c r="D129" s="31" t="s">
        <v>246</v>
      </c>
      <c r="E129" s="33" t="s">
        <v>329</v>
      </c>
    </row>
    <row r="130" customFormat="false" ht="15" hidden="false" customHeight="true" outlineLevel="0" collapsed="false">
      <c r="A130" s="30" t="s">
        <v>330</v>
      </c>
      <c r="B130" s="31"/>
      <c r="C130" s="36" t="n">
        <v>2000</v>
      </c>
      <c r="D130" s="31" t="s">
        <v>331</v>
      </c>
      <c r="E130" s="33" t="s">
        <v>332</v>
      </c>
    </row>
    <row r="131" customFormat="false" ht="15" hidden="false" customHeight="true" outlineLevel="0" collapsed="false">
      <c r="A131" s="30" t="s">
        <v>333</v>
      </c>
      <c r="B131" s="31" t="s">
        <v>334</v>
      </c>
      <c r="C131" s="36" t="n">
        <v>1860</v>
      </c>
      <c r="D131" s="31" t="s">
        <v>335</v>
      </c>
      <c r="E131" s="33" t="s">
        <v>336</v>
      </c>
    </row>
    <row r="132" customFormat="false" ht="15" hidden="false" customHeight="true" outlineLevel="0" collapsed="false">
      <c r="A132" s="30" t="s">
        <v>337</v>
      </c>
      <c r="B132" s="31" t="s">
        <v>338</v>
      </c>
      <c r="C132" s="36" t="n">
        <v>870</v>
      </c>
      <c r="D132" s="31" t="s">
        <v>339</v>
      </c>
      <c r="E132" s="33" t="s">
        <v>317</v>
      </c>
    </row>
    <row r="133" customFormat="false" ht="15" hidden="false" customHeight="true" outlineLevel="0" collapsed="false">
      <c r="A133" s="30" t="s">
        <v>340</v>
      </c>
      <c r="B133" s="31" t="s">
        <v>334</v>
      </c>
      <c r="C133" s="36" t="n">
        <v>1950</v>
      </c>
      <c r="D133" s="31" t="s">
        <v>335</v>
      </c>
      <c r="E133" s="33" t="s">
        <v>336</v>
      </c>
    </row>
    <row r="134" customFormat="false" ht="15" hidden="false" customHeight="true" outlineLevel="0" collapsed="false">
      <c r="A134" s="30" t="s">
        <v>341</v>
      </c>
      <c r="B134" s="31" t="s">
        <v>334</v>
      </c>
      <c r="C134" s="36" t="n">
        <v>2090</v>
      </c>
      <c r="D134" s="31" t="s">
        <v>335</v>
      </c>
      <c r="E134" s="33" t="s">
        <v>336</v>
      </c>
    </row>
    <row r="135" customFormat="false" ht="15" hidden="false" customHeight="true" outlineLevel="0" collapsed="false">
      <c r="A135" s="30" t="s">
        <v>342</v>
      </c>
      <c r="B135" s="31" t="s">
        <v>338</v>
      </c>
      <c r="C135" s="36" t="n">
        <v>920</v>
      </c>
      <c r="D135" s="31" t="s">
        <v>339</v>
      </c>
      <c r="E135" s="33" t="s">
        <v>317</v>
      </c>
    </row>
    <row r="136" customFormat="false" ht="15" hidden="false" customHeight="true" outlineLevel="0" collapsed="false">
      <c r="A136" s="30" t="s">
        <v>343</v>
      </c>
      <c r="B136" s="31" t="s">
        <v>334</v>
      </c>
      <c r="C136" s="36" t="n">
        <v>1510</v>
      </c>
      <c r="D136" s="31" t="s">
        <v>335</v>
      </c>
      <c r="E136" s="33" t="s">
        <v>336</v>
      </c>
    </row>
  </sheetData>
  <mergeCells count="1">
    <mergeCell ref="A1:E1"/>
  </mergeCells>
  <hyperlinks>
    <hyperlink ref="F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5"/>
    <col collapsed="false" customWidth="true" hidden="false" outlineLevel="0" max="4" min="4" style="0" width="66"/>
    <col collapsed="false" customWidth="true" hidden="false" outlineLevel="0" max="5" min="5" style="0" width="11"/>
  </cols>
  <sheetData>
    <row r="1" customFormat="false" ht="39.75" hidden="false" customHeight="true" outlineLevel="0" collapsed="false">
      <c r="A1" s="23" t="s">
        <v>344</v>
      </c>
      <c r="B1" s="23"/>
      <c r="C1" s="23"/>
      <c r="D1" s="23"/>
      <c r="E1" s="24" t="s">
        <v>85</v>
      </c>
      <c r="F1" s="25"/>
    </row>
    <row r="2" customFormat="false" ht="7.5" hidden="false" customHeight="true" outlineLevel="0" collapsed="false"/>
    <row r="3" customFormat="false" ht="27.75" hidden="false" customHeight="true" outlineLevel="0" collapsed="false">
      <c r="A3" s="48" t="s">
        <v>345</v>
      </c>
      <c r="B3" s="48"/>
      <c r="C3" s="48"/>
      <c r="D3" s="48"/>
    </row>
    <row r="5" customFormat="false" ht="18" hidden="false" customHeight="true" outlineLevel="0" collapsed="false">
      <c r="A5" s="29" t="s">
        <v>346</v>
      </c>
      <c r="B5" s="29"/>
      <c r="C5" s="29"/>
      <c r="D5" s="29"/>
    </row>
    <row r="6" customFormat="false" ht="16.5" hidden="false" customHeight="true" outlineLevel="0" collapsed="false">
      <c r="A6" s="26" t="s">
        <v>347</v>
      </c>
      <c r="B6" s="27" t="s">
        <v>348</v>
      </c>
      <c r="C6" s="27" t="s">
        <v>349</v>
      </c>
      <c r="D6" s="28" t="s">
        <v>350</v>
      </c>
    </row>
    <row r="7" customFormat="false" ht="15" hidden="false" customHeight="true" outlineLevel="0" collapsed="false">
      <c r="A7" s="30" t="s">
        <v>351</v>
      </c>
      <c r="B7" s="49" t="n">
        <f aca="false">01_Inputs!$C$75</f>
        <v>0.0444</v>
      </c>
      <c r="C7" s="49" t="n">
        <f aca="false">01_Inputs!$C$113</f>
        <v>0.0296</v>
      </c>
      <c r="D7" s="33" t="s">
        <v>352</v>
      </c>
    </row>
    <row r="8" customFormat="false" ht="37.5" hidden="false" customHeight="true" outlineLevel="0" collapsed="false">
      <c r="A8" s="30" t="s">
        <v>353</v>
      </c>
      <c r="B8" s="49" t="n">
        <f aca="false">01_Inputs!$C$77</f>
        <v>0.0431</v>
      </c>
      <c r="C8" s="49" t="n">
        <f aca="false">01_Inputs!$C$77</f>
        <v>0.0431</v>
      </c>
      <c r="D8" s="40" t="s">
        <v>354</v>
      </c>
    </row>
    <row r="9" customFormat="false" ht="15" hidden="false" customHeight="true" outlineLevel="0" collapsed="false">
      <c r="A9" s="30" t="s">
        <v>355</v>
      </c>
      <c r="B9" s="50" t="n">
        <f aca="false">03_Hamada!$B$19</f>
        <v>0.441163795072465</v>
      </c>
      <c r="C9" s="50" t="n">
        <f aca="false">03_Hamada!$C$19</f>
        <v>0.538539306501321</v>
      </c>
      <c r="D9" s="40" t="s">
        <v>356</v>
      </c>
    </row>
    <row r="10" customFormat="false" ht="15" hidden="false" customHeight="true" outlineLevel="0" collapsed="false">
      <c r="A10" s="51" t="s">
        <v>357</v>
      </c>
      <c r="B10" s="52" t="n">
        <f aca="false">B7+B9*B8</f>
        <v>0.0634141595676232</v>
      </c>
      <c r="C10" s="52" t="n">
        <f aca="false">C7+C9*C8</f>
        <v>0.0528110441102069</v>
      </c>
      <c r="D10" s="33" t="s">
        <v>358</v>
      </c>
    </row>
    <row r="12" customFormat="false" ht="18" hidden="false" customHeight="true" outlineLevel="0" collapsed="false">
      <c r="A12" s="29" t="s">
        <v>359</v>
      </c>
      <c r="B12" s="29"/>
      <c r="C12" s="29"/>
      <c r="D12" s="29"/>
    </row>
    <row r="13" customFormat="false" ht="16.5" hidden="false" customHeight="true" outlineLevel="0" collapsed="false">
      <c r="A13" s="26" t="s">
        <v>347</v>
      </c>
      <c r="B13" s="27" t="s">
        <v>348</v>
      </c>
      <c r="C13" s="27" t="s">
        <v>349</v>
      </c>
      <c r="D13" s="28" t="s">
        <v>350</v>
      </c>
    </row>
    <row r="14" customFormat="false" ht="15" hidden="false" customHeight="true" outlineLevel="0" collapsed="false">
      <c r="A14" s="30" t="s">
        <v>360</v>
      </c>
      <c r="B14" s="49" t="n">
        <f aca="false">01_Inputs!$C$78</f>
        <v>0.0532</v>
      </c>
      <c r="C14" s="49" t="n">
        <f aca="false">01_Inputs!$C$116</f>
        <v>0.045</v>
      </c>
      <c r="D14" s="40" t="s">
        <v>361</v>
      </c>
    </row>
    <row r="15" customFormat="false" ht="15" hidden="false" customHeight="true" outlineLevel="0" collapsed="false">
      <c r="A15" s="30" t="s">
        <v>362</v>
      </c>
      <c r="B15" s="53" t="n">
        <f aca="false">01_Inputs!$C$83</f>
        <v>0.016</v>
      </c>
      <c r="C15" s="53" t="n">
        <f aca="false">01_Inputs!$C$115</f>
        <v>0.2</v>
      </c>
      <c r="D15" s="33" t="s">
        <v>363</v>
      </c>
    </row>
    <row r="16" customFormat="false" ht="15" hidden="false" customHeight="true" outlineLevel="0" collapsed="false">
      <c r="A16" s="51" t="s">
        <v>364</v>
      </c>
      <c r="B16" s="52" t="n">
        <f aca="false">B14*(1-B15)</f>
        <v>0.0523488</v>
      </c>
      <c r="C16" s="52" t="n">
        <f aca="false">C14*(1-C15)</f>
        <v>0.036</v>
      </c>
      <c r="D16" s="33" t="s">
        <v>365</v>
      </c>
    </row>
    <row r="18" customFormat="false" ht="18" hidden="false" customHeight="true" outlineLevel="0" collapsed="false">
      <c r="A18" s="29" t="s">
        <v>366</v>
      </c>
      <c r="B18" s="29"/>
      <c r="C18" s="29"/>
      <c r="D18" s="29"/>
    </row>
    <row r="19" customFormat="false" ht="16.5" hidden="false" customHeight="true" outlineLevel="0" collapsed="false">
      <c r="A19" s="26" t="s">
        <v>347</v>
      </c>
      <c r="B19" s="27" t="s">
        <v>348</v>
      </c>
      <c r="C19" s="27" t="s">
        <v>349</v>
      </c>
      <c r="D19" s="28" t="s">
        <v>350</v>
      </c>
    </row>
    <row r="20" customFormat="false" ht="15" hidden="false" customHeight="true" outlineLevel="0" collapsed="false">
      <c r="A20" s="30" t="s">
        <v>367</v>
      </c>
      <c r="B20" s="53" t="n">
        <f aca="false">01_Inputs!$C$86/(01_Inputs!$C$86+01_Inputs!$C$87)</f>
        <v>0.79209864863508</v>
      </c>
      <c r="C20" s="53" t="n">
        <f aca="false">1/(1+01_Inputs!$C$114)</f>
        <v>0.598802395209581</v>
      </c>
      <c r="D20" s="33" t="s">
        <v>368</v>
      </c>
    </row>
    <row r="21" customFormat="false" ht="15" hidden="false" customHeight="true" outlineLevel="0" collapsed="false">
      <c r="A21" s="30" t="s">
        <v>369</v>
      </c>
      <c r="B21" s="53" t="n">
        <f aca="false">1-B20</f>
        <v>0.20790135136492</v>
      </c>
      <c r="C21" s="53" t="n">
        <f aca="false">1-C20</f>
        <v>0.401197604790419</v>
      </c>
      <c r="D21" s="33"/>
    </row>
    <row r="22" customFormat="false" ht="26.25" hidden="false" customHeight="true" outlineLevel="0" collapsed="false">
      <c r="A22" s="51" t="s">
        <v>370</v>
      </c>
      <c r="B22" s="52" t="n">
        <f aca="false">B20*B10+B21*B16</f>
        <v>0.0611136563601756</v>
      </c>
      <c r="C22" s="52" t="n">
        <f aca="false">C20*C10+C21*C16</f>
        <v>0.0460664934791658</v>
      </c>
      <c r="D22" s="40" t="s">
        <v>371</v>
      </c>
    </row>
  </sheetData>
  <mergeCells count="2">
    <mergeCell ref="A1:D1"/>
    <mergeCell ref="A3:D3"/>
  </mergeCells>
  <hyperlinks>
    <hyperlink ref="E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5"/>
    <col collapsed="false" customWidth="true" hidden="false" outlineLevel="0" max="4" min="4" style="0" width="66"/>
    <col collapsed="false" customWidth="true" hidden="false" outlineLevel="0" max="5" min="5" style="0" width="11"/>
  </cols>
  <sheetData>
    <row r="1" customFormat="false" ht="39.75" hidden="false" customHeight="true" outlineLevel="0" collapsed="false">
      <c r="A1" s="23" t="s">
        <v>372</v>
      </c>
      <c r="B1" s="23"/>
      <c r="C1" s="23"/>
      <c r="D1" s="23"/>
      <c r="E1" s="24" t="s">
        <v>85</v>
      </c>
      <c r="F1" s="25"/>
    </row>
    <row r="2" customFormat="false" ht="7.5" hidden="false" customHeight="true" outlineLevel="0" collapsed="false"/>
    <row r="3" customFormat="false" ht="27.75" hidden="false" customHeight="true" outlineLevel="0" collapsed="false">
      <c r="A3" s="48" t="s">
        <v>373</v>
      </c>
      <c r="B3" s="48"/>
      <c r="C3" s="48"/>
      <c r="D3" s="48"/>
    </row>
    <row r="5" customFormat="false" ht="18" hidden="false" customHeight="true" outlineLevel="0" collapsed="false">
      <c r="A5" s="29" t="s">
        <v>374</v>
      </c>
      <c r="B5" s="29"/>
      <c r="C5" s="29"/>
      <c r="D5" s="29"/>
    </row>
    <row r="6" customFormat="false" ht="16.5" hidden="false" customHeight="true" outlineLevel="0" collapsed="false">
      <c r="A6" s="26" t="s">
        <v>375</v>
      </c>
      <c r="B6" s="27" t="s">
        <v>88</v>
      </c>
      <c r="C6" s="27"/>
      <c r="D6" s="28" t="s">
        <v>350</v>
      </c>
    </row>
    <row r="7" customFormat="false" ht="15" hidden="false" customHeight="true" outlineLevel="0" collapsed="false">
      <c r="A7" s="30" t="s">
        <v>232</v>
      </c>
      <c r="B7" s="50" t="n">
        <f aca="false">01_Inputs!$C$79</f>
        <v>0.642</v>
      </c>
      <c r="C7" s="31"/>
      <c r="D7" s="33" t="s">
        <v>376</v>
      </c>
    </row>
    <row r="8" customFormat="false" ht="15" hidden="false" customHeight="true" outlineLevel="0" collapsed="false">
      <c r="A8" s="30" t="s">
        <v>236</v>
      </c>
      <c r="B8" s="50" t="n">
        <f aca="false">01_Inputs!$C$80</f>
        <v>0.8446</v>
      </c>
      <c r="C8" s="31"/>
      <c r="D8" s="33" t="s">
        <v>377</v>
      </c>
    </row>
    <row r="9" customFormat="false" ht="15" hidden="false" customHeight="true" outlineLevel="0" collapsed="false">
      <c r="A9" s="30" t="s">
        <v>378</v>
      </c>
      <c r="B9" s="53" t="n">
        <f aca="false">01_Inputs!$C$83</f>
        <v>0.016</v>
      </c>
      <c r="C9" s="31"/>
      <c r="D9" s="33" t="s">
        <v>379</v>
      </c>
    </row>
    <row r="10" customFormat="false" ht="15" hidden="false" customHeight="true" outlineLevel="0" collapsed="false">
      <c r="A10" s="51" t="s">
        <v>380</v>
      </c>
      <c r="B10" s="54" t="n">
        <f aca="false">B7/(1+(1-B9)*B8)</f>
        <v>0.350611527670131</v>
      </c>
      <c r="C10" s="31"/>
      <c r="D10" s="33" t="s">
        <v>381</v>
      </c>
    </row>
    <row r="11" customFormat="false" ht="26.25" hidden="false" customHeight="true" outlineLevel="0" collapsed="false">
      <c r="A11" s="30" t="s">
        <v>382</v>
      </c>
      <c r="B11" s="50" t="n">
        <f aca="false">01_Inputs!$C$81</f>
        <v>0.393</v>
      </c>
      <c r="C11" s="31"/>
      <c r="D11" s="40" t="s">
        <v>383</v>
      </c>
    </row>
    <row r="13" customFormat="false" ht="18" hidden="false" customHeight="true" outlineLevel="0" collapsed="false">
      <c r="A13" s="29" t="s">
        <v>384</v>
      </c>
      <c r="B13" s="29"/>
      <c r="C13" s="29"/>
      <c r="D13" s="29"/>
    </row>
    <row r="14" customFormat="false" ht="16.5" hidden="false" customHeight="true" outlineLevel="0" collapsed="false">
      <c r="A14" s="26" t="s">
        <v>375</v>
      </c>
      <c r="B14" s="27" t="s">
        <v>348</v>
      </c>
      <c r="C14" s="27" t="s">
        <v>349</v>
      </c>
      <c r="D14" s="28" t="s">
        <v>350</v>
      </c>
    </row>
    <row r="15" customFormat="false" ht="15" hidden="false" customHeight="true" outlineLevel="0" collapsed="false">
      <c r="A15" s="30" t="s">
        <v>380</v>
      </c>
      <c r="B15" s="50" t="n">
        <f aca="false">B10</f>
        <v>0.350611527670131</v>
      </c>
      <c r="C15" s="50" t="n">
        <f aca="false">B10</f>
        <v>0.350611527670131</v>
      </c>
      <c r="D15" s="33" t="s">
        <v>385</v>
      </c>
    </row>
    <row r="16" customFormat="false" ht="15" hidden="false" customHeight="true" outlineLevel="0" collapsed="false">
      <c r="A16" s="30" t="s">
        <v>386</v>
      </c>
      <c r="B16" s="50" t="n">
        <f aca="false">01_Inputs!$C$87/01_Inputs!$C$86</f>
        <v>0.262469014084507</v>
      </c>
      <c r="C16" s="50" t="n">
        <f aca="false">01_Inputs!$C$114</f>
        <v>0.67</v>
      </c>
      <c r="D16" s="33" t="s">
        <v>387</v>
      </c>
    </row>
    <row r="17" customFormat="false" ht="15" hidden="false" customHeight="true" outlineLevel="0" collapsed="false">
      <c r="A17" s="30" t="s">
        <v>362</v>
      </c>
      <c r="B17" s="53" t="n">
        <f aca="false">01_Inputs!$C$83</f>
        <v>0.016</v>
      </c>
      <c r="C17" s="53" t="n">
        <f aca="false">01_Inputs!$C$115</f>
        <v>0.2</v>
      </c>
      <c r="D17" s="33" t="s">
        <v>363</v>
      </c>
    </row>
    <row r="18" customFormat="false" ht="15" hidden="false" customHeight="true" outlineLevel="0" collapsed="false">
      <c r="A18" s="30" t="s">
        <v>388</v>
      </c>
      <c r="B18" s="50" t="n">
        <f aca="false">1+(1-B17)*B16</f>
        <v>1.25826950985916</v>
      </c>
      <c r="C18" s="50" t="n">
        <f aca="false">1+(1-C17)*C16</f>
        <v>1.536</v>
      </c>
      <c r="D18" s="33"/>
    </row>
    <row r="19" customFormat="false" ht="15" hidden="false" customHeight="true" outlineLevel="0" collapsed="false">
      <c r="A19" s="51" t="s">
        <v>389</v>
      </c>
      <c r="B19" s="54" t="n">
        <f aca="false">B15*B18</f>
        <v>0.441163795072465</v>
      </c>
      <c r="C19" s="54" t="n">
        <f aca="false">C15*C18</f>
        <v>0.538539306501321</v>
      </c>
      <c r="D19" s="33" t="s">
        <v>390</v>
      </c>
    </row>
  </sheetData>
  <mergeCells count="2">
    <mergeCell ref="A1:D1"/>
    <mergeCell ref="A3:D3"/>
  </mergeCells>
  <hyperlinks>
    <hyperlink ref="E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5"/>
    <col collapsed="false" customWidth="true" hidden="false" outlineLevel="0" max="4" min="4" style="0" width="66"/>
    <col collapsed="false" customWidth="true" hidden="false" outlineLevel="0" max="5" min="5" style="0" width="11"/>
  </cols>
  <sheetData>
    <row r="1" customFormat="false" ht="39.75" hidden="false" customHeight="true" outlineLevel="0" collapsed="false">
      <c r="A1" s="23" t="s">
        <v>391</v>
      </c>
      <c r="B1" s="23"/>
      <c r="C1" s="23"/>
      <c r="D1" s="23"/>
      <c r="E1" s="24" t="s">
        <v>85</v>
      </c>
      <c r="F1" s="25"/>
    </row>
    <row r="2" customFormat="false" ht="7.5" hidden="false" customHeight="true" outlineLevel="0" collapsed="false"/>
    <row r="3" customFormat="false" ht="27.75" hidden="false" customHeight="true" outlineLevel="0" collapsed="false">
      <c r="A3" s="48" t="s">
        <v>392</v>
      </c>
      <c r="B3" s="48"/>
      <c r="C3" s="48"/>
      <c r="D3" s="48"/>
    </row>
    <row r="4" customFormat="false" ht="16.5" hidden="false" customHeight="true" outlineLevel="0" collapsed="false">
      <c r="A4" s="26" t="s">
        <v>375</v>
      </c>
      <c r="B4" s="27" t="s">
        <v>348</v>
      </c>
      <c r="C4" s="27" t="s">
        <v>349</v>
      </c>
      <c r="D4" s="28" t="s">
        <v>350</v>
      </c>
    </row>
    <row r="5" customFormat="false" ht="15" hidden="false" customHeight="true" outlineLevel="0" collapsed="false">
      <c r="A5" s="30" t="s">
        <v>393</v>
      </c>
      <c r="B5" s="55" t="n">
        <f aca="false">01_Inputs!$C$86+01_Inputs!$C$87</f>
        <v>89635.3</v>
      </c>
      <c r="C5" s="55" t="n">
        <f aca="false">01_Inputs!$C$117</f>
        <v>8500</v>
      </c>
      <c r="D5" s="33" t="s">
        <v>394</v>
      </c>
    </row>
    <row r="6" customFormat="false" ht="15" hidden="false" customHeight="true" outlineLevel="0" collapsed="false">
      <c r="A6" s="30" t="s">
        <v>395</v>
      </c>
      <c r="B6" s="55" t="n">
        <f aca="false">01_Inputs!$C$87</f>
        <v>18635.3</v>
      </c>
      <c r="C6" s="55" t="n">
        <f aca="false">01_Inputs!$C$118</f>
        <v>3200</v>
      </c>
      <c r="D6" s="33" t="s">
        <v>396</v>
      </c>
    </row>
    <row r="7" customFormat="false" ht="15" hidden="false" customHeight="true" outlineLevel="0" collapsed="false">
      <c r="A7" s="30" t="s">
        <v>397</v>
      </c>
      <c r="B7" s="53" t="n">
        <f aca="false">01_Inputs!$C$82*01_Inputs!$C$86/B5</f>
        <v>0.209114043239661</v>
      </c>
      <c r="C7" s="53" t="n">
        <f aca="false">01_Inputs!$C$119</f>
        <v>0.18</v>
      </c>
      <c r="D7" s="33" t="s">
        <v>398</v>
      </c>
    </row>
    <row r="8" customFormat="false" ht="15" hidden="false" customHeight="true" outlineLevel="0" collapsed="false">
      <c r="A8" s="30" t="s">
        <v>399</v>
      </c>
      <c r="B8" s="49" t="n">
        <f aca="false">01_Inputs!$C$76</f>
        <v>0.0383</v>
      </c>
      <c r="C8" s="49" t="n">
        <f aca="false">01_Inputs!$C$113</f>
        <v>0.0296</v>
      </c>
      <c r="D8" s="33" t="s">
        <v>400</v>
      </c>
    </row>
    <row r="9" customFormat="false" ht="15" hidden="false" customHeight="true" outlineLevel="0" collapsed="false">
      <c r="A9" s="30" t="s">
        <v>401</v>
      </c>
      <c r="B9" s="56" t="n">
        <f aca="false">1</f>
        <v>1</v>
      </c>
      <c r="C9" s="56" t="n">
        <f aca="false">1</f>
        <v>1</v>
      </c>
      <c r="D9" s="33"/>
    </row>
    <row r="10" customFormat="false" ht="15" hidden="false" customHeight="true" outlineLevel="0" collapsed="false">
      <c r="A10" s="30" t="s">
        <v>402</v>
      </c>
      <c r="B10" s="57" t="n">
        <f aca="false">LN(B5/B6)</f>
        <v>1.57069158406753</v>
      </c>
      <c r="C10" s="57" t="n">
        <f aca="false">LN(C5/C6)</f>
        <v>0.97691535369059</v>
      </c>
      <c r="D10" s="33"/>
    </row>
    <row r="11" customFormat="false" ht="15" hidden="false" customHeight="true" outlineLevel="0" collapsed="false">
      <c r="A11" s="30" t="s">
        <v>403</v>
      </c>
      <c r="B11" s="57" t="n">
        <f aca="false">(B8-B7^2/2)*B9</f>
        <v>0.0164356584599806</v>
      </c>
      <c r="C11" s="57" t="n">
        <f aca="false">(C8-C7^2/2)*C9</f>
        <v>0.0134</v>
      </c>
      <c r="D11" s="33"/>
    </row>
    <row r="12" customFormat="false" ht="15" hidden="false" customHeight="true" outlineLevel="0" collapsed="false">
      <c r="A12" s="51" t="s">
        <v>404</v>
      </c>
      <c r="B12" s="58" t="n">
        <f aca="false">(B10+B11)/(B7*SQRT(B9))</f>
        <v>7.58976880719837</v>
      </c>
      <c r="C12" s="58" t="n">
        <f aca="false">(C10+C11)/(C7*SQRT(C9))</f>
        <v>5.50175196494772</v>
      </c>
      <c r="D12" s="33" t="s">
        <v>405</v>
      </c>
    </row>
    <row r="13" customFormat="false" ht="15" hidden="false" customHeight="true" outlineLevel="0" collapsed="false">
      <c r="A13" s="30" t="s">
        <v>406</v>
      </c>
      <c r="B13" s="59" t="n">
        <f aca="false">NORMSDIST(-B12)</f>
        <v>1.60238388535627E-014</v>
      </c>
      <c r="C13" s="59" t="n">
        <f aca="false">NORMSDIST(-C12)</f>
        <v>1.88017862817309E-008</v>
      </c>
      <c r="D13" s="33" t="s">
        <v>407</v>
      </c>
    </row>
  </sheetData>
  <mergeCells count="2">
    <mergeCell ref="A1:D1"/>
    <mergeCell ref="A3:D3"/>
  </mergeCells>
  <hyperlinks>
    <hyperlink ref="E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2"/>
    <col collapsed="false" customWidth="true" hidden="false" outlineLevel="0" max="4" min="4" style="0" width="70"/>
    <col collapsed="false" customWidth="true" hidden="false" outlineLevel="0" max="5" min="5" style="0" width="11"/>
  </cols>
  <sheetData>
    <row r="1" customFormat="false" ht="39.75" hidden="false" customHeight="true" outlineLevel="0" collapsed="false">
      <c r="A1" s="23" t="s">
        <v>408</v>
      </c>
      <c r="B1" s="23"/>
      <c r="C1" s="23"/>
      <c r="D1" s="23"/>
      <c r="E1" s="24" t="s">
        <v>85</v>
      </c>
      <c r="F1" s="25"/>
    </row>
    <row r="2" customFormat="false" ht="7.5" hidden="false" customHeight="true" outlineLevel="0" collapsed="false"/>
    <row r="3" customFormat="false" ht="18" hidden="false" customHeight="true" outlineLevel="0" collapsed="false">
      <c r="A3" s="29" t="s">
        <v>409</v>
      </c>
      <c r="B3" s="29"/>
      <c r="C3" s="29"/>
      <c r="D3" s="29"/>
    </row>
    <row r="4" customFormat="false" ht="16.5" hidden="false" customHeight="true" outlineLevel="0" collapsed="false">
      <c r="A4" s="26" t="s">
        <v>410</v>
      </c>
      <c r="B4" s="27" t="s">
        <v>88</v>
      </c>
      <c r="C4" s="27" t="s">
        <v>89</v>
      </c>
      <c r="D4" s="28" t="s">
        <v>350</v>
      </c>
    </row>
    <row r="5" customFormat="false" ht="15" hidden="false" customHeight="true" outlineLevel="0" collapsed="false">
      <c r="A5" s="30" t="s">
        <v>411</v>
      </c>
      <c r="B5" s="60" t="n">
        <f aca="false">01_Inputs!$C$6/01_Inputs!$C$7*01_Inputs!$C$8*01_Inputs!$C$9*01_Inputs!$C$10/1000000</f>
        <v>14.1867457627119</v>
      </c>
      <c r="C5" s="31" t="s">
        <v>112</v>
      </c>
      <c r="D5" s="33" t="s">
        <v>412</v>
      </c>
    </row>
    <row r="6" customFormat="false" ht="15" hidden="false" customHeight="true" outlineLevel="0" collapsed="false">
      <c r="A6" s="30" t="s">
        <v>413</v>
      </c>
      <c r="B6" s="60" t="n">
        <f aca="false">01_Inputs!$C$11</f>
        <v>4.2</v>
      </c>
      <c r="C6" s="31" t="s">
        <v>112</v>
      </c>
      <c r="D6" s="33" t="s">
        <v>414</v>
      </c>
    </row>
    <row r="7" customFormat="false" ht="15" hidden="false" customHeight="true" outlineLevel="0" collapsed="false">
      <c r="A7" s="30" t="s">
        <v>415</v>
      </c>
      <c r="B7" s="53" t="n">
        <f aca="false">B6/B5</f>
        <v>0.296050980982488</v>
      </c>
      <c r="C7" s="31"/>
      <c r="D7" s="33" t="s">
        <v>416</v>
      </c>
    </row>
    <row r="8" customFormat="false" ht="27.75" hidden="false" customHeight="true" outlineLevel="0" collapsed="false">
      <c r="A8" s="48" t="s">
        <v>417</v>
      </c>
      <c r="B8" s="48"/>
      <c r="C8" s="48"/>
      <c r="D8" s="48"/>
    </row>
    <row r="10" customFormat="false" ht="18" hidden="false" customHeight="true" outlineLevel="0" collapsed="false">
      <c r="A10" s="29" t="s">
        <v>418</v>
      </c>
      <c r="B10" s="29"/>
      <c r="C10" s="29"/>
      <c r="D10" s="29"/>
    </row>
    <row r="11" customFormat="false" ht="16.5" hidden="false" customHeight="true" outlineLevel="0" collapsed="false">
      <c r="A11" s="26" t="s">
        <v>410</v>
      </c>
      <c r="B11" s="27" t="s">
        <v>88</v>
      </c>
      <c r="C11" s="27" t="s">
        <v>89</v>
      </c>
      <c r="D11" s="28" t="s">
        <v>350</v>
      </c>
    </row>
    <row r="12" customFormat="false" ht="15" hidden="false" customHeight="true" outlineLevel="0" collapsed="false">
      <c r="A12" s="30" t="s">
        <v>419</v>
      </c>
      <c r="B12" s="60" t="n">
        <f aca="false">01_Inputs!$C$14*01_Inputs!$C$15</f>
        <v>30</v>
      </c>
      <c r="C12" s="31" t="s">
        <v>420</v>
      </c>
      <c r="D12" s="33" t="s">
        <v>421</v>
      </c>
    </row>
    <row r="13" customFormat="false" ht="15" hidden="false" customHeight="true" outlineLevel="0" collapsed="false">
      <c r="A13" s="30" t="s">
        <v>422</v>
      </c>
      <c r="B13" s="61" t="n">
        <f aca="false">B12/(1+01_Inputs!$C$20)^01_Inputs!$C$16</f>
        <v>28.1235737315471</v>
      </c>
      <c r="C13" s="31" t="s">
        <v>143</v>
      </c>
      <c r="D13" s="33" t="s">
        <v>423</v>
      </c>
    </row>
    <row r="14" customFormat="false" ht="15" hidden="false" customHeight="true" outlineLevel="0" collapsed="false">
      <c r="A14" s="30" t="s">
        <v>424</v>
      </c>
      <c r="B14" s="61" t="n">
        <f aca="false">B12/(1+01_Inputs!$C$20)^01_Inputs!$C$17</f>
        <v>26.9382890148919</v>
      </c>
      <c r="C14" s="31" t="s">
        <v>143</v>
      </c>
      <c r="D14" s="33" t="s">
        <v>425</v>
      </c>
    </row>
    <row r="15" customFormat="false" ht="15" hidden="false" customHeight="true" outlineLevel="0" collapsed="false">
      <c r="A15" s="51" t="s">
        <v>426</v>
      </c>
      <c r="B15" s="62" t="n">
        <f aca="false">B13+B14</f>
        <v>55.061862746439</v>
      </c>
      <c r="C15" s="31" t="s">
        <v>143</v>
      </c>
      <c r="D15" s="33" t="s">
        <v>427</v>
      </c>
    </row>
    <row r="16" customFormat="false" ht="27.75" hidden="false" customHeight="true" outlineLevel="0" collapsed="false">
      <c r="A16" s="48" t="s">
        <v>428</v>
      </c>
      <c r="B16" s="48"/>
      <c r="C16" s="48"/>
      <c r="D16" s="48"/>
    </row>
    <row r="18" customFormat="false" ht="18" hidden="false" customHeight="true" outlineLevel="0" collapsed="false">
      <c r="A18" s="29" t="s">
        <v>429</v>
      </c>
      <c r="B18" s="29"/>
      <c r="C18" s="29"/>
      <c r="D18" s="29"/>
    </row>
    <row r="19" customFormat="false" ht="16.5" hidden="false" customHeight="true" outlineLevel="0" collapsed="false">
      <c r="A19" s="26" t="s">
        <v>410</v>
      </c>
      <c r="B19" s="27" t="s">
        <v>88</v>
      </c>
      <c r="C19" s="27" t="s">
        <v>89</v>
      </c>
      <c r="D19" s="28" t="s">
        <v>350</v>
      </c>
    </row>
    <row r="20" customFormat="false" ht="15" hidden="false" customHeight="true" outlineLevel="0" collapsed="false">
      <c r="A20" s="30" t="s">
        <v>430</v>
      </c>
      <c r="B20" s="60" t="n">
        <f aca="false">01_Inputs!$C$18*01_Inputs!$C$15</f>
        <v>450</v>
      </c>
      <c r="C20" s="31" t="s">
        <v>143</v>
      </c>
      <c r="D20" s="33" t="s">
        <v>431</v>
      </c>
    </row>
    <row r="21" customFormat="false" ht="15" hidden="false" customHeight="true" outlineLevel="0" collapsed="false">
      <c r="A21" s="51" t="s">
        <v>432</v>
      </c>
      <c r="B21" s="62" t="n">
        <f aca="false">B20*(1-EXP(-01_Inputs!$C$20*01_Inputs!$C$19))</f>
        <v>37.9076054745035</v>
      </c>
      <c r="C21" s="31" t="s">
        <v>143</v>
      </c>
      <c r="D21" s="33" t="s">
        <v>433</v>
      </c>
    </row>
  </sheetData>
  <mergeCells count="3">
    <mergeCell ref="A1:D1"/>
    <mergeCell ref="A8:D8"/>
    <mergeCell ref="A16:D16"/>
  </mergeCells>
  <hyperlinks>
    <hyperlink ref="E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4"/>
    <col collapsed="false" customWidth="true" hidden="false" outlineLevel="0" max="5" min="5" style="0" width="16"/>
    <col collapsed="false" customWidth="true" hidden="false" outlineLevel="0" max="6" min="6" style="0" width="50"/>
    <col collapsed="false" customWidth="true" hidden="false" outlineLevel="0" max="7" min="7" style="0" width="11"/>
  </cols>
  <sheetData>
    <row r="1" customFormat="false" ht="39.75" hidden="false" customHeight="true" outlineLevel="0" collapsed="false">
      <c r="A1" s="23" t="s">
        <v>434</v>
      </c>
      <c r="B1" s="23"/>
      <c r="C1" s="23"/>
      <c r="D1" s="23"/>
      <c r="E1" s="23"/>
      <c r="F1" s="23"/>
      <c r="G1" s="24" t="s">
        <v>85</v>
      </c>
      <c r="H1" s="25"/>
    </row>
    <row r="2" customFormat="false" ht="7.5" hidden="false" customHeight="true" outlineLevel="0" collapsed="false"/>
    <row r="3" customFormat="false" ht="18" hidden="false" customHeight="true" outlineLevel="0" collapsed="false">
      <c r="A3" s="29" t="s">
        <v>435</v>
      </c>
      <c r="B3" s="29"/>
      <c r="C3" s="29"/>
      <c r="D3" s="29"/>
      <c r="E3" s="29"/>
      <c r="F3" s="29"/>
    </row>
    <row r="4" customFormat="false" ht="39.75" hidden="false" customHeight="true" outlineLevel="0" collapsed="false">
      <c r="A4" s="48" t="s">
        <v>436</v>
      </c>
      <c r="B4" s="48"/>
      <c r="C4" s="48"/>
      <c r="D4" s="48"/>
      <c r="E4" s="48"/>
      <c r="F4" s="48"/>
    </row>
    <row r="5" customFormat="false" ht="27.75" hidden="false" customHeight="true" outlineLevel="0" collapsed="false">
      <c r="A5" s="26" t="s">
        <v>437</v>
      </c>
      <c r="B5" s="27" t="s">
        <v>193</v>
      </c>
      <c r="C5" s="27" t="s">
        <v>438</v>
      </c>
      <c r="D5" s="27" t="s">
        <v>439</v>
      </c>
      <c r="E5" s="27" t="s">
        <v>440</v>
      </c>
      <c r="F5" s="28" t="s">
        <v>441</v>
      </c>
    </row>
    <row r="6" customFormat="false" ht="15" hidden="false" customHeight="true" outlineLevel="0" collapsed="false">
      <c r="A6" s="30" t="s">
        <v>442</v>
      </c>
      <c r="B6" s="50" t="n">
        <f aca="false">01_Inputs!$C$58</f>
        <v>0.057</v>
      </c>
      <c r="C6" s="50" t="n">
        <f aca="false">01_Inputs!$C$56*B6+01_Inputs!$C$57*(1-B6)</f>
        <v>1.41777</v>
      </c>
      <c r="D6" s="63" t="n">
        <f aca="false">01_Inputs!$C$62</f>
        <v>1.42</v>
      </c>
      <c r="E6" s="64" t="n">
        <f aca="false">(D6-1)/(D$6-1)-1</f>
        <v>0</v>
      </c>
      <c r="F6" s="33" t="s">
        <v>443</v>
      </c>
    </row>
    <row r="7" customFormat="false" ht="15" hidden="false" customHeight="true" outlineLevel="0" collapsed="false">
      <c r="A7" s="30" t="s">
        <v>444</v>
      </c>
      <c r="B7" s="50" t="n">
        <f aca="false">01_Inputs!$C$59</f>
        <v>0.594</v>
      </c>
      <c r="C7" s="50" t="n">
        <f aca="false">01_Inputs!$C$56*B7+01_Inputs!$C$57*(1-B7)</f>
        <v>1.20834</v>
      </c>
      <c r="D7" s="63" t="n">
        <f aca="false">01_Inputs!$C$63</f>
        <v>1.21</v>
      </c>
      <c r="E7" s="64" t="n">
        <f aca="false">(D7-1)/(D$6-1)-1</f>
        <v>-0.5</v>
      </c>
      <c r="F7" s="33" t="s">
        <v>445</v>
      </c>
    </row>
    <row r="8" customFormat="false" ht="15" hidden="false" customHeight="true" outlineLevel="0" collapsed="false">
      <c r="A8" s="30" t="s">
        <v>446</v>
      </c>
      <c r="B8" s="50" t="n">
        <f aca="false">01_Inputs!$C$60</f>
        <v>0.89</v>
      </c>
      <c r="C8" s="50" t="n">
        <f aca="false">01_Inputs!$C$56*B8+01_Inputs!$C$57*(1-B8)</f>
        <v>1.0929</v>
      </c>
      <c r="D8" s="63" t="n">
        <f aca="false">01_Inputs!$C$64</f>
        <v>1.1</v>
      </c>
      <c r="E8" s="64" t="n">
        <f aca="false">(D8-1)/(D$6-1)-1</f>
        <v>-0.761904761904762</v>
      </c>
      <c r="F8" s="33" t="s">
        <v>447</v>
      </c>
    </row>
    <row r="9" customFormat="false" ht="15" hidden="false" customHeight="true" outlineLevel="0" collapsed="false">
      <c r="A9" s="30" t="s">
        <v>448</v>
      </c>
      <c r="B9" s="50" t="n">
        <f aca="false">01_Inputs!$C$61</f>
        <v>0.959</v>
      </c>
      <c r="C9" s="50" t="n">
        <f aca="false">01_Inputs!$C$56*B9+01_Inputs!$C$57*(1-B9)</f>
        <v>1.06599</v>
      </c>
      <c r="D9" s="63" t="n">
        <f aca="false">01_Inputs!$C$65</f>
        <v>1.07</v>
      </c>
      <c r="E9" s="64" t="n">
        <f aca="false">(D9-1)/(D$6-1)-1</f>
        <v>-0.833333333333333</v>
      </c>
      <c r="F9" s="33" t="s">
        <v>449</v>
      </c>
    </row>
    <row r="11" customFormat="false" ht="18" hidden="false" customHeight="true" outlineLevel="0" collapsed="false">
      <c r="A11" s="29" t="s">
        <v>450</v>
      </c>
      <c r="B11" s="29"/>
      <c r="C11" s="29"/>
      <c r="D11" s="29"/>
      <c r="E11" s="29"/>
      <c r="F11" s="29"/>
    </row>
    <row r="12" customFormat="false" ht="16.5" hidden="false" customHeight="true" outlineLevel="0" collapsed="false">
      <c r="A12" s="26" t="s">
        <v>410</v>
      </c>
      <c r="B12" s="27" t="s">
        <v>88</v>
      </c>
      <c r="C12" s="27" t="s">
        <v>89</v>
      </c>
      <c r="D12" s="27"/>
      <c r="E12" s="27"/>
      <c r="F12" s="28" t="s">
        <v>350</v>
      </c>
    </row>
    <row r="13" customFormat="false" ht="15" hidden="false" customHeight="true" outlineLevel="0" collapsed="false">
      <c r="A13" s="30" t="s">
        <v>451</v>
      </c>
      <c r="B13" s="65" t="n">
        <f aca="false">01_Inputs!$C$66</f>
        <v>7</v>
      </c>
      <c r="C13" s="31" t="s">
        <v>118</v>
      </c>
      <c r="D13" s="31"/>
      <c r="E13" s="31"/>
      <c r="F13" s="33" t="s">
        <v>452</v>
      </c>
    </row>
    <row r="14" customFormat="false" ht="15" hidden="false" customHeight="true" outlineLevel="0" collapsed="false">
      <c r="A14" s="30" t="s">
        <v>453</v>
      </c>
      <c r="B14" s="63" t="n">
        <f aca="false">D6-D8</f>
        <v>0.32</v>
      </c>
      <c r="C14" s="31"/>
      <c r="D14" s="31"/>
      <c r="E14" s="31"/>
      <c r="F14" s="33" t="s">
        <v>454</v>
      </c>
    </row>
    <row r="15" customFormat="false" ht="15" hidden="false" customHeight="true" outlineLevel="0" collapsed="false">
      <c r="A15" s="30" t="s">
        <v>455</v>
      </c>
      <c r="B15" s="66" t="n">
        <f aca="false">B13*01_Inputs!$C$9*B14</f>
        <v>19622.4</v>
      </c>
      <c r="C15" s="31" t="s">
        <v>456</v>
      </c>
      <c r="D15" s="31"/>
      <c r="E15" s="31"/>
      <c r="F15" s="33" t="s">
        <v>457</v>
      </c>
    </row>
    <row r="16" customFormat="false" ht="15" hidden="false" customHeight="true" outlineLevel="0" collapsed="false">
      <c r="A16" s="30" t="s">
        <v>205</v>
      </c>
      <c r="B16" s="56" t="n">
        <f aca="false">01_Inputs!$C$67</f>
        <v>31.6</v>
      </c>
      <c r="C16" s="31" t="s">
        <v>206</v>
      </c>
      <c r="D16" s="31"/>
      <c r="E16" s="31"/>
      <c r="F16" s="33" t="s">
        <v>458</v>
      </c>
    </row>
    <row r="17" customFormat="false" ht="15" hidden="false" customHeight="true" outlineLevel="0" collapsed="false">
      <c r="A17" s="51" t="s">
        <v>459</v>
      </c>
      <c r="B17" s="67" t="n">
        <f aca="false">B15*B16/1000</f>
        <v>620.06784</v>
      </c>
      <c r="C17" s="31" t="s">
        <v>460</v>
      </c>
      <c r="D17" s="31"/>
      <c r="E17" s="31"/>
      <c r="F17" s="33" t="s">
        <v>461</v>
      </c>
    </row>
  </sheetData>
  <mergeCells count="2">
    <mergeCell ref="A1:F1"/>
    <mergeCell ref="A4:F4"/>
  </mergeCells>
  <hyperlinks>
    <hyperlink ref="G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2"/>
    <col collapsed="false" customWidth="true" hidden="false" outlineLevel="0" max="4" min="4" style="0" width="70"/>
    <col collapsed="false" customWidth="true" hidden="false" outlineLevel="0" max="5" min="5" style="0" width="11"/>
  </cols>
  <sheetData>
    <row r="1" customFormat="false" ht="39.75" hidden="false" customHeight="true" outlineLevel="0" collapsed="false">
      <c r="A1" s="23" t="s">
        <v>462</v>
      </c>
      <c r="B1" s="23"/>
      <c r="C1" s="23"/>
      <c r="D1" s="23"/>
      <c r="E1" s="24" t="s">
        <v>85</v>
      </c>
      <c r="F1" s="25"/>
    </row>
    <row r="2" customFormat="false" ht="7.5" hidden="false" customHeight="true" outlineLevel="0" collapsed="false"/>
    <row r="3" customFormat="false" ht="18" hidden="false" customHeight="true" outlineLevel="0" collapsed="false">
      <c r="A3" s="29" t="s">
        <v>463</v>
      </c>
      <c r="B3" s="29"/>
      <c r="C3" s="29"/>
      <c r="D3" s="29"/>
    </row>
    <row r="4" customFormat="false" ht="16.5" hidden="false" customHeight="true" outlineLevel="0" collapsed="false">
      <c r="A4" s="26" t="s">
        <v>464</v>
      </c>
      <c r="B4" s="27" t="s">
        <v>88</v>
      </c>
      <c r="C4" s="27" t="s">
        <v>89</v>
      </c>
      <c r="D4" s="28" t="s">
        <v>465</v>
      </c>
    </row>
    <row r="5" customFormat="false" ht="15" hidden="false" customHeight="true" outlineLevel="0" collapsed="false">
      <c r="A5" s="30" t="s">
        <v>426</v>
      </c>
      <c r="B5" s="61" t="n">
        <f aca="false">05_Unit_Economics!$B$15</f>
        <v>55.061862746439</v>
      </c>
      <c r="C5" s="31" t="s">
        <v>143</v>
      </c>
      <c r="D5" s="33" t="s">
        <v>48</v>
      </c>
    </row>
    <row r="6" customFormat="false" ht="15" hidden="false" customHeight="true" outlineLevel="0" collapsed="false">
      <c r="A6" s="30" t="s">
        <v>432</v>
      </c>
      <c r="B6" s="61" t="n">
        <f aca="false">05_Unit_Economics!$B$21</f>
        <v>37.9076054745035</v>
      </c>
      <c r="C6" s="31" t="s">
        <v>143</v>
      </c>
      <c r="D6" s="33" t="s">
        <v>48</v>
      </c>
    </row>
    <row r="7" customFormat="false" ht="15" hidden="false" customHeight="true" outlineLevel="0" collapsed="false">
      <c r="A7" s="30" t="s">
        <v>466</v>
      </c>
      <c r="B7" s="49" t="n">
        <f aca="false">01_Inputs!$C$20</f>
        <v>0.044</v>
      </c>
      <c r="C7" s="31" t="s">
        <v>132</v>
      </c>
      <c r="D7" s="33" t="s">
        <v>40</v>
      </c>
    </row>
    <row r="8" customFormat="false" ht="15" hidden="false" customHeight="true" outlineLevel="0" collapsed="false">
      <c r="A8" s="30" t="s">
        <v>467</v>
      </c>
      <c r="B8" s="53" t="n">
        <f aca="false">01_Inputs!$C$21</f>
        <v>0.35</v>
      </c>
      <c r="C8" s="31" t="s">
        <v>132</v>
      </c>
      <c r="D8" s="33" t="s">
        <v>40</v>
      </c>
    </row>
    <row r="9" customFormat="false" ht="15" hidden="false" customHeight="true" outlineLevel="0" collapsed="false">
      <c r="A9" s="30" t="s">
        <v>468</v>
      </c>
      <c r="B9" s="63" t="n">
        <f aca="false">01_Inputs!$C$22</f>
        <v>1</v>
      </c>
      <c r="C9" s="31" t="s">
        <v>122</v>
      </c>
      <c r="D9" s="33" t="s">
        <v>40</v>
      </c>
    </row>
    <row r="10" customFormat="false" ht="27.75" hidden="false" customHeight="true" outlineLevel="0" collapsed="false">
      <c r="A10" s="48" t="s">
        <v>469</v>
      </c>
      <c r="B10" s="48"/>
      <c r="C10" s="48"/>
      <c r="D10" s="48"/>
    </row>
    <row r="12" customFormat="false" ht="18" hidden="false" customHeight="true" outlineLevel="0" collapsed="false">
      <c r="A12" s="29" t="s">
        <v>470</v>
      </c>
      <c r="B12" s="29"/>
      <c r="C12" s="29"/>
      <c r="D12" s="29"/>
    </row>
    <row r="13" customFormat="false" ht="16.5" hidden="false" customHeight="true" outlineLevel="0" collapsed="false">
      <c r="A13" s="26" t="s">
        <v>375</v>
      </c>
      <c r="B13" s="27" t="s">
        <v>88</v>
      </c>
      <c r="C13" s="27" t="s">
        <v>89</v>
      </c>
      <c r="D13" s="28" t="s">
        <v>471</v>
      </c>
    </row>
    <row r="14" customFormat="false" ht="15" hidden="false" customHeight="true" outlineLevel="0" collapsed="false">
      <c r="A14" s="30" t="s">
        <v>472</v>
      </c>
      <c r="B14" s="57" t="n">
        <f aca="false">LN(B5/B6)</f>
        <v>0.37330556624559</v>
      </c>
      <c r="C14" s="31"/>
      <c r="D14" s="33" t="s">
        <v>473</v>
      </c>
    </row>
    <row r="15" customFormat="false" ht="15" hidden="false" customHeight="true" outlineLevel="0" collapsed="false">
      <c r="A15" s="30" t="s">
        <v>474</v>
      </c>
      <c r="B15" s="68" t="n">
        <f aca="false">(B7+B8^2/2)*B9</f>
        <v>0.10525</v>
      </c>
      <c r="C15" s="31"/>
      <c r="D15" s="33" t="s">
        <v>475</v>
      </c>
    </row>
    <row r="16" customFormat="false" ht="15" hidden="false" customHeight="true" outlineLevel="0" collapsed="false">
      <c r="A16" s="30" t="s">
        <v>476</v>
      </c>
      <c r="B16" s="57" t="n">
        <f aca="false">B8*SQRT(B9)</f>
        <v>0.35</v>
      </c>
      <c r="C16" s="31"/>
      <c r="D16" s="33"/>
    </row>
    <row r="17" customFormat="false" ht="15" hidden="false" customHeight="true" outlineLevel="0" collapsed="false">
      <c r="A17" s="30" t="s">
        <v>477</v>
      </c>
      <c r="B17" s="57" t="n">
        <f aca="false">(B14+B15)/B16</f>
        <v>1.36730161784454</v>
      </c>
      <c r="C17" s="31"/>
      <c r="D17" s="33" t="s">
        <v>478</v>
      </c>
    </row>
    <row r="18" customFormat="false" ht="15" hidden="false" customHeight="true" outlineLevel="0" collapsed="false">
      <c r="A18" s="30" t="s">
        <v>479</v>
      </c>
      <c r="B18" s="57" t="n">
        <f aca="false">B17-B16</f>
        <v>1.01730161784454</v>
      </c>
      <c r="C18" s="31"/>
      <c r="D18" s="33" t="s">
        <v>480</v>
      </c>
    </row>
    <row r="19" customFormat="false" ht="15" hidden="false" customHeight="true" outlineLevel="0" collapsed="false">
      <c r="A19" s="30" t="s">
        <v>481</v>
      </c>
      <c r="B19" s="57" t="n">
        <f aca="false">NORMSDIST(B17)</f>
        <v>0.914234607591445</v>
      </c>
      <c r="C19" s="31"/>
      <c r="D19" s="33" t="s">
        <v>482</v>
      </c>
    </row>
    <row r="20" customFormat="false" ht="15" hidden="false" customHeight="true" outlineLevel="0" collapsed="false">
      <c r="A20" s="30" t="s">
        <v>483</v>
      </c>
      <c r="B20" s="57" t="n">
        <f aca="false">NORMSDIST(B18)</f>
        <v>0.845495016392475</v>
      </c>
      <c r="C20" s="31"/>
      <c r="D20" s="33" t="s">
        <v>484</v>
      </c>
    </row>
    <row r="21" customFormat="false" ht="15" hidden="false" customHeight="true" outlineLevel="0" collapsed="false">
      <c r="A21" s="30" t="s">
        <v>485</v>
      </c>
      <c r="B21" s="61" t="n">
        <f aca="false">B6*EXP(-B7*B9)</f>
        <v>36.275833077153</v>
      </c>
      <c r="C21" s="31" t="s">
        <v>143</v>
      </c>
      <c r="D21" s="33" t="s">
        <v>486</v>
      </c>
    </row>
    <row r="22" customFormat="false" ht="15" hidden="false" customHeight="true" outlineLevel="0" collapsed="false">
      <c r="A22" s="51" t="s">
        <v>487</v>
      </c>
      <c r="B22" s="62" t="n">
        <f aca="false">B5*B19-B21*B20</f>
        <v>19.6684243990264</v>
      </c>
      <c r="C22" s="31" t="s">
        <v>143</v>
      </c>
      <c r="D22" s="33" t="s">
        <v>488</v>
      </c>
    </row>
    <row r="24" customFormat="false" ht="18" hidden="false" customHeight="true" outlineLevel="0" collapsed="false">
      <c r="A24" s="29" t="s">
        <v>489</v>
      </c>
      <c r="B24" s="29"/>
      <c r="C24" s="29"/>
      <c r="D24" s="29"/>
    </row>
    <row r="25" customFormat="false" ht="16.5" hidden="false" customHeight="true" outlineLevel="0" collapsed="false">
      <c r="A25" s="26" t="s">
        <v>410</v>
      </c>
      <c r="B25" s="27" t="s">
        <v>88</v>
      </c>
      <c r="C25" s="27" t="s">
        <v>89</v>
      </c>
      <c r="D25" s="28" t="s">
        <v>441</v>
      </c>
    </row>
    <row r="26" customFormat="false" ht="15" hidden="false" customHeight="true" outlineLevel="0" collapsed="false">
      <c r="A26" s="30" t="s">
        <v>490</v>
      </c>
      <c r="B26" s="61" t="n">
        <f aca="false">B5-B21</f>
        <v>18.7860296692859</v>
      </c>
      <c r="C26" s="31" t="s">
        <v>143</v>
      </c>
      <c r="D26" s="33" t="s">
        <v>491</v>
      </c>
    </row>
    <row r="27" customFormat="false" ht="26.25" hidden="false" customHeight="true" outlineLevel="0" collapsed="false">
      <c r="A27" s="30" t="s">
        <v>492</v>
      </c>
      <c r="B27" s="61" t="n">
        <f aca="false">B22-B26</f>
        <v>0.882394729740501</v>
      </c>
      <c r="C27" s="31" t="s">
        <v>143</v>
      </c>
      <c r="D27" s="40" t="s">
        <v>493</v>
      </c>
    </row>
    <row r="28" customFormat="false" ht="15" hidden="false" customHeight="true" outlineLevel="0" collapsed="false">
      <c r="A28" s="30" t="s">
        <v>494</v>
      </c>
      <c r="B28" s="53" t="n">
        <f aca="false">B26/B22</f>
        <v>0.955136481100938</v>
      </c>
      <c r="C28" s="31"/>
      <c r="D28" s="33"/>
    </row>
    <row r="30" customFormat="false" ht="18" hidden="false" customHeight="true" outlineLevel="0" collapsed="false">
      <c r="A30" s="29" t="s">
        <v>495</v>
      </c>
      <c r="B30" s="29"/>
      <c r="C30" s="29"/>
      <c r="D30" s="29"/>
    </row>
    <row r="31" customFormat="false" ht="16.5" hidden="false" customHeight="true" outlineLevel="0" collapsed="false">
      <c r="A31" s="26" t="s">
        <v>410</v>
      </c>
      <c r="B31" s="27" t="s">
        <v>88</v>
      </c>
      <c r="C31" s="27" t="s">
        <v>89</v>
      </c>
      <c r="D31" s="28" t="s">
        <v>441</v>
      </c>
    </row>
    <row r="32" customFormat="false" ht="15" hidden="false" customHeight="true" outlineLevel="0" collapsed="false">
      <c r="A32" s="30" t="s">
        <v>496</v>
      </c>
      <c r="B32" s="65" t="n">
        <f aca="false">01_Inputs!$C$23</f>
        <v>16</v>
      </c>
      <c r="C32" s="31" t="s">
        <v>140</v>
      </c>
      <c r="D32" s="33" t="s">
        <v>40</v>
      </c>
    </row>
    <row r="33" customFormat="false" ht="15" hidden="false" customHeight="true" outlineLevel="0" collapsed="false">
      <c r="A33" s="51" t="s">
        <v>497</v>
      </c>
      <c r="B33" s="69" t="n">
        <f aca="false">B22*B32</f>
        <v>314.694790384423</v>
      </c>
      <c r="C33" s="31" t="s">
        <v>143</v>
      </c>
      <c r="D33" s="33" t="s">
        <v>498</v>
      </c>
    </row>
    <row r="34" customFormat="false" ht="15" hidden="false" customHeight="true" outlineLevel="0" collapsed="false">
      <c r="A34" s="30" t="s">
        <v>142</v>
      </c>
      <c r="B34" s="60" t="n">
        <f aca="false">-01_Inputs!$C$24</f>
        <v>-8</v>
      </c>
      <c r="C34" s="31" t="s">
        <v>143</v>
      </c>
      <c r="D34" s="33" t="s">
        <v>499</v>
      </c>
    </row>
    <row r="35" customFormat="false" ht="15" hidden="false" customHeight="true" outlineLevel="0" collapsed="false">
      <c r="A35" s="30" t="s">
        <v>500</v>
      </c>
      <c r="B35" s="53" t="n">
        <f aca="false">-B34/B33</f>
        <v>0.0254214567398063</v>
      </c>
      <c r="C35" s="31"/>
      <c r="D35" s="33"/>
    </row>
    <row r="36" customFormat="false" ht="15" hidden="false" customHeight="true" outlineLevel="0" collapsed="false">
      <c r="A36" s="51" t="s">
        <v>501</v>
      </c>
      <c r="B36" s="69" t="n">
        <f aca="false">B33+B34</f>
        <v>306.694790384423</v>
      </c>
      <c r="C36" s="31" t="s">
        <v>143</v>
      </c>
      <c r="D36" s="33" t="s">
        <v>502</v>
      </c>
    </row>
  </sheetData>
  <mergeCells count="2">
    <mergeCell ref="A1:D1"/>
    <mergeCell ref="A10:D10"/>
  </mergeCells>
  <hyperlinks>
    <hyperlink ref="E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5"/>
    <col collapsed="false" customWidth="true" hidden="false" outlineLevel="0" max="4" min="4" style="0" width="66"/>
    <col collapsed="false" customWidth="true" hidden="false" outlineLevel="0" max="5" min="5" style="0" width="11"/>
  </cols>
  <sheetData>
    <row r="1" customFormat="false" ht="39.75" hidden="false" customHeight="true" outlineLevel="0" collapsed="false">
      <c r="A1" s="23" t="s">
        <v>503</v>
      </c>
      <c r="B1" s="23"/>
      <c r="C1" s="23"/>
      <c r="D1" s="23"/>
      <c r="E1" s="24" t="s">
        <v>85</v>
      </c>
      <c r="F1" s="25"/>
    </row>
    <row r="2" customFormat="false" ht="7.5" hidden="false" customHeight="true" outlineLevel="0" collapsed="false"/>
    <row r="3" customFormat="false" ht="27.75" hidden="false" customHeight="true" outlineLevel="0" collapsed="false">
      <c r="A3" s="48" t="s">
        <v>504</v>
      </c>
      <c r="B3" s="48"/>
      <c r="C3" s="48"/>
      <c r="D3" s="48"/>
    </row>
    <row r="4" customFormat="false" ht="16.5" hidden="false" customHeight="true" outlineLevel="0" collapsed="false">
      <c r="A4" s="26" t="s">
        <v>505</v>
      </c>
      <c r="B4" s="27" t="s">
        <v>506</v>
      </c>
      <c r="C4" s="27" t="s">
        <v>507</v>
      </c>
      <c r="D4" s="28" t="s">
        <v>508</v>
      </c>
    </row>
    <row r="5" customFormat="false" ht="15" hidden="false" customHeight="true" outlineLevel="0" collapsed="false">
      <c r="A5" s="30" t="s">
        <v>509</v>
      </c>
      <c r="B5" s="57" t="n">
        <f aca="false">EXP(-(07_Black_Scholes!$B$17^2)/2)/SQRT(2*PI())</f>
        <v>0.156657185903818</v>
      </c>
      <c r="C5" s="31"/>
      <c r="D5" s="33"/>
    </row>
    <row r="6" customFormat="false" ht="15" hidden="false" customHeight="true" outlineLevel="0" collapsed="false">
      <c r="A6" s="30" t="s">
        <v>510</v>
      </c>
      <c r="B6" s="57" t="n">
        <f aca="false">NORMSDIST(07_Black_Scholes!$B$17)</f>
        <v>0.914234607591445</v>
      </c>
      <c r="C6" s="63" t="n">
        <f aca="false">B6*01_Inputs!$C$23</f>
        <v>14.6277537214631</v>
      </c>
      <c r="D6" s="33" t="s">
        <v>511</v>
      </c>
    </row>
    <row r="7" customFormat="false" ht="15" hidden="false" customHeight="true" outlineLevel="0" collapsed="false">
      <c r="A7" s="30" t="s">
        <v>512</v>
      </c>
      <c r="B7" s="68" t="n">
        <f aca="false">B5/(05_Unit_Economics!$B$15*01_Inputs!$C$21*SQRT(01_Inputs!$C$22))</f>
        <v>0.00812889243842628</v>
      </c>
      <c r="C7" s="57" t="n">
        <f aca="false">B7*01_Inputs!$C$23</f>
        <v>0.130062279014821</v>
      </c>
      <c r="D7" s="33" t="s">
        <v>513</v>
      </c>
    </row>
    <row r="8" customFormat="false" ht="15" hidden="false" customHeight="true" outlineLevel="0" collapsed="false">
      <c r="A8" s="30" t="s">
        <v>514</v>
      </c>
      <c r="B8" s="57" t="n">
        <f aca="false">05_Unit_Economics!$B$15*B5*SQRT(01_Inputs!$C$22)/100</f>
        <v>0.0862583646847938</v>
      </c>
      <c r="C8" s="50" t="n">
        <f aca="false">B8*01_Inputs!$C$23</f>
        <v>1.3801338349567</v>
      </c>
      <c r="D8" s="33" t="s">
        <v>515</v>
      </c>
    </row>
    <row r="9" customFormat="false" ht="15" hidden="false" customHeight="true" outlineLevel="0" collapsed="false">
      <c r="A9" s="30" t="s">
        <v>516</v>
      </c>
      <c r="B9" s="61" t="n">
        <f aca="false">-05_Unit_Economics!$B$15*B5*01_Inputs!$C$21/(2*SQRT(01_Inputs!$C$22))-01_Inputs!$C$20*05_Unit_Economics!$B$21*EXP(-01_Inputs!$C$20*01_Inputs!$C$22)*NORMSDIST(07_Black_Scholes!$B$18)</f>
        <v>-2.85904696960149</v>
      </c>
      <c r="C9" s="61" t="n">
        <f aca="false">B9*01_Inputs!$C$23</f>
        <v>-45.7447515136239</v>
      </c>
      <c r="D9" s="33" t="s">
        <v>517</v>
      </c>
    </row>
    <row r="10" customFormat="false" ht="15" hidden="false" customHeight="true" outlineLevel="0" collapsed="false">
      <c r="A10" s="30" t="s">
        <v>518</v>
      </c>
      <c r="B10" s="57" t="n">
        <f aca="false">05_Unit_Economics!$B$21*01_Inputs!$C$22*EXP(-01_Inputs!$C$20*01_Inputs!$C$22)*NORMSDIST(07_Black_Scholes!$B$18)/100</f>
        <v>0.306710360822182</v>
      </c>
      <c r="C10" s="50" t="n">
        <f aca="false">B10*01_Inputs!$C$23</f>
        <v>4.90736577315491</v>
      </c>
      <c r="D10" s="33" t="s">
        <v>519</v>
      </c>
    </row>
    <row r="11" customFormat="false" ht="26.25" hidden="false" customHeight="true" outlineLevel="0" collapsed="false">
      <c r="A11" s="30" t="s">
        <v>520</v>
      </c>
      <c r="B11" s="61" t="n">
        <f aca="false">(01_Inputs!$C$14*01_Inputs!$C$15/(1+(01_Inputs!$C$20+0.01))^01_Inputs!$C$16+01_Inputs!$C$14*01_Inputs!$C$15/(1+(01_Inputs!$C$20+0.01))^01_Inputs!$C$17)*NORMSDIST((LN((01_Inputs!$C$14*01_Inputs!$C$15/(1+(01_Inputs!$C$20+0.01))^01_Inputs!$C$16+01_Inputs!$C$14*01_Inputs!$C$15/(1+(01_Inputs!$C$20+0.01))^01_Inputs!$C$17)/(01_Inputs!$C$18*01_Inputs!$C$15*(1-EXP(-(01_Inputs!$C$20+0.01)*01_Inputs!$C$19))))+((01_Inputs!$C$20+0.01)+01_Inputs!$C$21^2/2)*01_Inputs!$C$22)/(01_Inputs!$C$21*SQRT(01_Inputs!$C$22)))-(01_Inputs!$C$18*01_Inputs!$C$15*(1-EXP(-(01_Inputs!$C$20+0.01)*01_Inputs!$C$19)))*EXP(-(01_Inputs!$C$20+0.01)*01_Inputs!$C$22)*NORMSDIST((LN((01_Inputs!$C$14*01_Inputs!$C$15/(1+(01_Inputs!$C$20+0.01))^01_Inputs!$C$16+01_Inputs!$C$14*01_Inputs!$C$15/(1+(01_Inputs!$C$20+0.01))^01_Inputs!$C$17)/(01_Inputs!$C$18*01_Inputs!$C$15*(1-EXP(-(01_Inputs!$C$20+0.01)*01_Inputs!$C$19))))+((01_Inputs!$C$20+0.01)+01_Inputs!$C$21^2/2)*01_Inputs!$C$22)/(01_Inputs!$C$21*SQRT(01_Inputs!$C$22))-01_Inputs!$C$21*SQRT(01_Inputs!$C$22))-07_Black_Scholes!$B$22</f>
        <v>-6.48761473403926</v>
      </c>
      <c r="C11" s="61" t="n">
        <f aca="false">B11*01_Inputs!$C$23</f>
        <v>-103.801835744628</v>
      </c>
      <c r="D11" s="40" t="s">
        <v>521</v>
      </c>
    </row>
    <row r="13" customFormat="false" ht="18" hidden="false" customHeight="true" outlineLevel="0" collapsed="false">
      <c r="A13" s="29" t="s">
        <v>522</v>
      </c>
      <c r="B13" s="29"/>
      <c r="C13" s="29"/>
      <c r="D13" s="29"/>
    </row>
    <row r="14" customFormat="false" ht="16.5" hidden="false" customHeight="true" outlineLevel="0" collapsed="false">
      <c r="A14" s="26" t="s">
        <v>410</v>
      </c>
      <c r="B14" s="27" t="s">
        <v>506</v>
      </c>
      <c r="C14" s="27"/>
      <c r="D14" s="28" t="s">
        <v>508</v>
      </c>
    </row>
    <row r="15" customFormat="false" ht="15" hidden="false" customHeight="true" outlineLevel="0" collapsed="false">
      <c r="A15" s="30" t="s">
        <v>523</v>
      </c>
      <c r="B15" s="57" t="n">
        <f aca="false">05_Unit_Economics!$B$21*EXP(-01_Inputs!$C$20*01_Inputs!$C$22)*NORMSDIST(-07_Black_Scholes!$B$18)-05_Unit_Economics!$B$15*NORMSDIST(-07_Black_Scholes!$B$17)</f>
        <v>0.882394729740499</v>
      </c>
      <c r="C15" s="31"/>
      <c r="D15" s="33" t="s">
        <v>524</v>
      </c>
    </row>
    <row r="16" customFormat="false" ht="15" hidden="false" customHeight="true" outlineLevel="0" collapsed="false">
      <c r="A16" s="51" t="s">
        <v>525</v>
      </c>
      <c r="B16" s="70" t="n">
        <f aca="false">07_Black_Scholes!$B$22-B15-(05_Unit_Economics!$B$15-05_Unit_Economics!$B$21*EXP(-01_Inputs!$C$20*01_Inputs!$C$22))</f>
        <v>0</v>
      </c>
      <c r="C16" s="31"/>
      <c r="D16" s="33" t="s">
        <v>526</v>
      </c>
    </row>
  </sheetData>
  <mergeCells count="2">
    <mergeCell ref="A1:D1"/>
    <mergeCell ref="A3:D3"/>
  </mergeCells>
  <hyperlinks>
    <hyperlink ref="E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1"/>
    <col collapsed="false" customWidth="true" hidden="false" outlineLevel="0" max="8" min="4" style="0" width="12"/>
    <col collapsed="false" customWidth="true" hidden="false" outlineLevel="0" max="9" min="9" style="0" width="13"/>
    <col collapsed="false" customWidth="true" hidden="false" outlineLevel="0" max="10" min="10" style="0" width="46"/>
    <col collapsed="false" customWidth="true" hidden="false" outlineLevel="0" max="11" min="11" style="0" width="11"/>
  </cols>
  <sheetData>
    <row r="1" customFormat="false" ht="39.75" hidden="false" customHeight="true" outlineLevel="0" collapsed="false">
      <c r="A1" s="23" t="s">
        <v>527</v>
      </c>
      <c r="B1" s="23"/>
      <c r="C1" s="23"/>
      <c r="D1" s="23"/>
      <c r="E1" s="23"/>
      <c r="F1" s="23"/>
      <c r="G1" s="23"/>
      <c r="H1" s="23"/>
      <c r="I1" s="23"/>
      <c r="J1" s="23"/>
      <c r="K1" s="24" t="s">
        <v>85</v>
      </c>
      <c r="L1" s="25"/>
    </row>
    <row r="2" customFormat="false" ht="7.5" hidden="false" customHeight="true" outlineLevel="0" collapsed="false"/>
    <row r="3" customFormat="false" ht="18" hidden="false" customHeight="true" outlineLevel="0" collapsed="false">
      <c r="A3" s="29" t="s">
        <v>528</v>
      </c>
      <c r="B3" s="29"/>
      <c r="C3" s="29"/>
      <c r="D3" s="29"/>
      <c r="E3" s="29"/>
      <c r="F3" s="29"/>
      <c r="G3" s="29"/>
      <c r="H3" s="29"/>
      <c r="I3" s="29"/>
      <c r="J3" s="29"/>
    </row>
    <row r="4" customFormat="false" ht="16.5" hidden="false" customHeight="true" outlineLevel="0" collapsed="false">
      <c r="A4" s="26" t="s">
        <v>410</v>
      </c>
      <c r="B4" s="27" t="s">
        <v>88</v>
      </c>
      <c r="C4" s="27" t="s">
        <v>89</v>
      </c>
      <c r="D4" s="27"/>
      <c r="E4" s="27"/>
      <c r="F4" s="27"/>
      <c r="G4" s="27"/>
      <c r="H4" s="27"/>
      <c r="I4" s="27"/>
      <c r="J4" s="28" t="s">
        <v>350</v>
      </c>
    </row>
    <row r="5" customFormat="false" ht="15" hidden="false" customHeight="true" outlineLevel="0" collapsed="false">
      <c r="A5" s="30" t="s">
        <v>529</v>
      </c>
      <c r="B5" s="61" t="n">
        <f aca="false">01_Inputs!$C$28/01_Inputs!$C$9</f>
        <v>20.5479452054795</v>
      </c>
      <c r="C5" s="31" t="s">
        <v>122</v>
      </c>
      <c r="D5" s="31"/>
      <c r="E5" s="31"/>
      <c r="F5" s="31"/>
      <c r="G5" s="31"/>
      <c r="H5" s="31"/>
      <c r="I5" s="31"/>
      <c r="J5" s="33" t="s">
        <v>530</v>
      </c>
    </row>
    <row r="6" customFormat="false" ht="15" hidden="false" customHeight="true" outlineLevel="0" collapsed="false">
      <c r="A6" s="30" t="s">
        <v>531</v>
      </c>
      <c r="B6" s="50" t="n">
        <f aca="false">(1-(1+01_Inputs!$C$32)^-01_Inputs!$C$33)/01_Inputs!$C$32</f>
        <v>9.81814740744929</v>
      </c>
      <c r="C6" s="31" t="s">
        <v>234</v>
      </c>
      <c r="D6" s="31"/>
      <c r="E6" s="31"/>
      <c r="F6" s="31"/>
      <c r="G6" s="31"/>
      <c r="H6" s="31"/>
      <c r="I6" s="31"/>
      <c r="J6" s="33" t="s">
        <v>532</v>
      </c>
    </row>
    <row r="7" customFormat="false" ht="26.25" hidden="false" customHeight="true" outlineLevel="0" collapsed="false">
      <c r="A7" s="37" t="s">
        <v>533</v>
      </c>
      <c r="B7" s="60" t="n">
        <f aca="false">01_Inputs!$C$34*01_Inputs!$C$27*1000</f>
        <v>27.6</v>
      </c>
      <c r="C7" s="31" t="s">
        <v>460</v>
      </c>
      <c r="D7" s="31"/>
      <c r="E7" s="31"/>
      <c r="F7" s="31"/>
      <c r="G7" s="31"/>
      <c r="H7" s="31"/>
      <c r="I7" s="31"/>
      <c r="J7" s="33" t="s">
        <v>534</v>
      </c>
    </row>
    <row r="9" customFormat="false" ht="18" hidden="false" customHeight="true" outlineLevel="0" collapsed="false">
      <c r="A9" s="29" t="s">
        <v>535</v>
      </c>
      <c r="B9" s="29"/>
      <c r="C9" s="29"/>
      <c r="D9" s="29"/>
      <c r="E9" s="29"/>
      <c r="F9" s="29"/>
      <c r="G9" s="29"/>
      <c r="H9" s="29"/>
      <c r="I9" s="29"/>
      <c r="J9" s="29"/>
    </row>
    <row r="10" customFormat="false" ht="39" hidden="false" customHeight="true" outlineLevel="0" collapsed="false">
      <c r="A10" s="26" t="s">
        <v>437</v>
      </c>
      <c r="B10" s="27" t="s">
        <v>536</v>
      </c>
      <c r="C10" s="27" t="s">
        <v>537</v>
      </c>
      <c r="D10" s="27" t="s">
        <v>538</v>
      </c>
      <c r="E10" s="27" t="s">
        <v>539</v>
      </c>
      <c r="F10" s="27" t="s">
        <v>540</v>
      </c>
      <c r="G10" s="27" t="s">
        <v>541</v>
      </c>
      <c r="H10" s="27" t="s">
        <v>542</v>
      </c>
      <c r="I10" s="27" t="s">
        <v>543</v>
      </c>
      <c r="J10" s="28" t="s">
        <v>544</v>
      </c>
    </row>
    <row r="11" customFormat="false" ht="15" hidden="false" customHeight="true" outlineLevel="0" collapsed="false">
      <c r="A11" s="30" t="s">
        <v>545</v>
      </c>
      <c r="B11" s="56" t="n">
        <f aca="false">01_Inputs!$C$38</f>
        <v>13</v>
      </c>
      <c r="C11" s="56" t="n">
        <f aca="false">B11+01_Inputs!$C$30</f>
        <v>93</v>
      </c>
      <c r="D11" s="50" t="n">
        <f aca="false">EXP(01_Inputs!$C$31*(1/383-1/(C11+273)))</f>
        <v>0.162169094362964</v>
      </c>
      <c r="E11" s="50" t="n">
        <f aca="false">01_Inputs!$C$39</f>
        <v>0.237</v>
      </c>
      <c r="F11" s="63" t="n">
        <f aca="false">E11/$E$11</f>
        <v>1</v>
      </c>
      <c r="G11" s="56" t="n">
        <f aca="false">$B$5/E11</f>
        <v>86.7001907404196</v>
      </c>
      <c r="H11" s="56" t="n">
        <f aca="false">1/(1/G11+1/01_Inputs!$C$29)</f>
        <v>29.6241680546138</v>
      </c>
      <c r="I11" s="66" t="n">
        <f aca="false">01_Inputs!$C$27/H11*1000</f>
        <v>310.557244444444</v>
      </c>
      <c r="J11" s="71" t="n">
        <f aca="false">($I$11-I11)/1000*$B$6</f>
        <v>0</v>
      </c>
    </row>
    <row r="12" customFormat="false" ht="15" hidden="false" customHeight="true" outlineLevel="0" collapsed="false">
      <c r="A12" s="30" t="s">
        <v>546</v>
      </c>
      <c r="B12" s="56" t="n">
        <f aca="false">01_Inputs!$C$40</f>
        <v>19.6</v>
      </c>
      <c r="C12" s="56" t="n">
        <f aca="false">B12+01_Inputs!$C$30</f>
        <v>99.6</v>
      </c>
      <c r="D12" s="50" t="n">
        <f aca="false">EXP(01_Inputs!$C$31*(1/383-1/(C12+273)))</f>
        <v>0.335156366065743</v>
      </c>
      <c r="E12" s="50" t="n">
        <f aca="false">01_Inputs!$C$41</f>
        <v>0.464</v>
      </c>
      <c r="F12" s="63" t="n">
        <f aca="false">E12/$E$11</f>
        <v>1.957805907173</v>
      </c>
      <c r="G12" s="56" t="n">
        <f aca="false">$B$5/E12</f>
        <v>44.2843646669816</v>
      </c>
      <c r="H12" s="56" t="n">
        <f aca="false">1/(1/G12+1/01_Inputs!$C$29)</f>
        <v>22.3196571700659</v>
      </c>
      <c r="I12" s="66" t="n">
        <f aca="false">01_Inputs!$C$27/H12*1000</f>
        <v>412.192711111111</v>
      </c>
      <c r="J12" s="71" t="n">
        <f aca="false">($I$11-I12)/1000*$B$6</f>
        <v>-0.997871993558233</v>
      </c>
    </row>
    <row r="13" customFormat="false" ht="15" hidden="false" customHeight="true" outlineLevel="0" collapsed="false">
      <c r="A13" s="30" t="s">
        <v>442</v>
      </c>
      <c r="B13" s="56" t="n">
        <f aca="false">01_Inputs!$C$42</f>
        <v>25.3</v>
      </c>
      <c r="C13" s="56" t="n">
        <f aca="false">B13+01_Inputs!$C$30</f>
        <v>105.3</v>
      </c>
      <c r="D13" s="50" t="n">
        <f aca="false">EXP(01_Inputs!$C$31*(1/383-1/(C13+273)))</f>
        <v>0.614725337092974</v>
      </c>
      <c r="E13" s="50" t="n">
        <f aca="false">01_Inputs!$C$43</f>
        <v>0.645</v>
      </c>
      <c r="F13" s="63" t="n">
        <f aca="false">E13/$E$11</f>
        <v>2.72151898734177</v>
      </c>
      <c r="G13" s="56" t="n">
        <f aca="false">$B$5/E13</f>
        <v>31.8572793883402</v>
      </c>
      <c r="H13" s="56" t="n">
        <f aca="false">1/(1/G13+1/01_Inputs!$C$29)</f>
        <v>18.6524631613853</v>
      </c>
      <c r="I13" s="66" t="n">
        <f aca="false">01_Inputs!$C$27/H13*1000</f>
        <v>493.232444444444</v>
      </c>
      <c r="J13" s="71" t="n">
        <f aca="false">($I$11-I13)/1000*$B$6</f>
        <v>-1.79353204128528</v>
      </c>
    </row>
    <row r="14" customFormat="false" ht="15" hidden="false" customHeight="true" outlineLevel="0" collapsed="false">
      <c r="A14" s="30" t="s">
        <v>547</v>
      </c>
      <c r="B14" s="56" t="n">
        <f aca="false">01_Inputs!$C$44</f>
        <v>24</v>
      </c>
      <c r="C14" s="56" t="n">
        <f aca="false">B14+01_Inputs!$C$30</f>
        <v>104</v>
      </c>
      <c r="D14" s="50" t="n">
        <f aca="false">EXP(01_Inputs!$C$31*(1/383-1/(C14+273)))</f>
        <v>0.536168100432888</v>
      </c>
      <c r="E14" s="50" t="n">
        <f aca="false">01_Inputs!$C$45</f>
        <v>0.74</v>
      </c>
      <c r="F14" s="63" t="n">
        <f aca="false">E14/$E$11</f>
        <v>3.12236286919831</v>
      </c>
      <c r="G14" s="56" t="n">
        <f aca="false">$B$5/E14</f>
        <v>27.7674935209182</v>
      </c>
      <c r="H14" s="56" t="n">
        <f aca="false">1/(1/G14+1/01_Inputs!$C$29)</f>
        <v>17.1716400824239</v>
      </c>
      <c r="I14" s="66" t="n">
        <f aca="false">01_Inputs!$C$27/H14*1000</f>
        <v>535.767111111111</v>
      </c>
      <c r="J14" s="71" t="n">
        <f aca="false">($I$11-I14)/1000*$B$6</f>
        <v>-2.21114366854533</v>
      </c>
    </row>
    <row r="15" customFormat="false" ht="15" hidden="false" customHeight="true" outlineLevel="0" collapsed="false">
      <c r="A15" s="30" t="s">
        <v>548</v>
      </c>
      <c r="B15" s="56" t="n">
        <f aca="false">01_Inputs!$C$46</f>
        <v>6.1</v>
      </c>
      <c r="C15" s="56" t="n">
        <f aca="false">B15+01_Inputs!$C$30</f>
        <v>86.1</v>
      </c>
      <c r="D15" s="50" t="n">
        <f aca="false">EXP(01_Inputs!$C$31*(1/383-1/(C15+273)))</f>
        <v>0.0737847254474242</v>
      </c>
      <c r="E15" s="50" t="n">
        <f aca="false">01_Inputs!$C$47</f>
        <v>0.107</v>
      </c>
      <c r="F15" s="63" t="n">
        <f aca="false">E15/$E$11</f>
        <v>0.451476793248945</v>
      </c>
      <c r="G15" s="56" t="n">
        <f aca="false">$B$5/E15</f>
        <v>192.036871079247</v>
      </c>
      <c r="H15" s="56" t="n">
        <f aca="false">1/(1/G15+1/01_Inputs!$C$29)</f>
        <v>36.4570252687693</v>
      </c>
      <c r="I15" s="66" t="n">
        <f aca="false">01_Inputs!$C$27/H15*1000</f>
        <v>252.351911111111</v>
      </c>
      <c r="J15" s="71" t="n">
        <f aca="false">($I$11-I15)/1000*$B$6</f>
        <v>0.571468542566389</v>
      </c>
    </row>
    <row r="16" customFormat="false" ht="15" hidden="false" customHeight="true" outlineLevel="0" collapsed="false">
      <c r="A16" s="30" t="s">
        <v>549</v>
      </c>
      <c r="B16" s="56" t="n">
        <f aca="false">01_Inputs!$C$48</f>
        <v>7.6</v>
      </c>
      <c r="C16" s="56" t="n">
        <f aca="false">B16+01_Inputs!$C$30</f>
        <v>87.6</v>
      </c>
      <c r="D16" s="50" t="n">
        <f aca="false">EXP(01_Inputs!$C$31*(1/383-1/(C16+273)))</f>
        <v>0.0877865561782312</v>
      </c>
      <c r="E16" s="50" t="n">
        <f aca="false">01_Inputs!$C$49</f>
        <v>0.12</v>
      </c>
      <c r="F16" s="63" t="n">
        <f aca="false">E16/$E$11</f>
        <v>0.506329113924051</v>
      </c>
      <c r="G16" s="56" t="n">
        <f aca="false">$B$5/E16</f>
        <v>171.232876712329</v>
      </c>
      <c r="H16" s="56" t="n">
        <f aca="false">1/(1/G16+1/01_Inputs!$C$29)</f>
        <v>35.6350966107064</v>
      </c>
      <c r="I16" s="66" t="n">
        <f aca="false">01_Inputs!$C$27/H16*1000</f>
        <v>258.172444444444</v>
      </c>
      <c r="J16" s="71" t="n">
        <f aca="false">($I$11-I16)/1000*$B$6</f>
        <v>0.51432168830975</v>
      </c>
    </row>
    <row r="17" customFormat="false" ht="15" hidden="false" customHeight="true" outlineLevel="0" collapsed="false">
      <c r="A17" s="30" t="s">
        <v>550</v>
      </c>
      <c r="B17" s="56" t="n">
        <f aca="false">01_Inputs!$C$50</f>
        <v>1.8</v>
      </c>
      <c r="C17" s="56" t="n">
        <f aca="false">B17+01_Inputs!$C$30</f>
        <v>81.8</v>
      </c>
      <c r="D17" s="50" t="n">
        <f aca="false">EXP(01_Inputs!$C$31*(1/383-1/(C17+273)))</f>
        <v>0.044474090982032</v>
      </c>
      <c r="E17" s="50" t="n">
        <f aca="false">01_Inputs!$C$51</f>
        <v>0.074</v>
      </c>
      <c r="F17" s="63" t="n">
        <f aca="false">E17/$E$11</f>
        <v>0.312236286919831</v>
      </c>
      <c r="G17" s="56" t="n">
        <f aca="false">$B$5/E17</f>
        <v>277.674935209182</v>
      </c>
      <c r="H17" s="56" t="n">
        <f aca="false">1/(1/G17+1/01_Inputs!$C$29)</f>
        <v>38.7243343717192</v>
      </c>
      <c r="I17" s="66" t="n">
        <f aca="false">01_Inputs!$C$27/H17*1000</f>
        <v>237.576711111111</v>
      </c>
      <c r="J17" s="71" t="n">
        <f aca="false">($I$11-I17)/1000*$B$6</f>
        <v>0.716533634140934</v>
      </c>
    </row>
    <row r="18" customFormat="false" ht="15" hidden="false" customHeight="true" outlineLevel="0" collapsed="false">
      <c r="A18" s="30" t="s">
        <v>551</v>
      </c>
      <c r="B18" s="56" t="n">
        <f aca="false">01_Inputs!$C$52</f>
        <v>5.5</v>
      </c>
      <c r="C18" s="56" t="n">
        <f aca="false">B18+01_Inputs!$C$30</f>
        <v>85.5</v>
      </c>
      <c r="D18" s="50" t="n">
        <f aca="false">EXP(01_Inputs!$C$31*(1/383-1/(C18+273)))</f>
        <v>0.0688026290056409</v>
      </c>
      <c r="E18" s="50" t="n">
        <f aca="false">01_Inputs!$C$53</f>
        <v>0.076</v>
      </c>
      <c r="F18" s="63" t="n">
        <f aca="false">E18/$E$11</f>
        <v>0.320675105485232</v>
      </c>
      <c r="G18" s="56" t="n">
        <f aca="false">$B$5/E18</f>
        <v>270.367700072098</v>
      </c>
      <c r="H18" s="56" t="n">
        <f aca="false">1/(1/G18+1/01_Inputs!$C$29)</f>
        <v>38.5789239052159</v>
      </c>
      <c r="I18" s="66" t="n">
        <f aca="false">01_Inputs!$C$27/H18*1000</f>
        <v>238.472177777778</v>
      </c>
      <c r="J18" s="71" t="n">
        <f aca="false">($I$11-I18)/1000*$B$6</f>
        <v>0.707741810409143</v>
      </c>
    </row>
    <row r="19" customFormat="false" ht="39.75" hidden="false" customHeight="true" outlineLevel="0" collapsed="false">
      <c r="A19" s="48" t="s">
        <v>552</v>
      </c>
      <c r="B19" s="48"/>
      <c r="C19" s="48"/>
      <c r="D19" s="48"/>
      <c r="E19" s="48"/>
      <c r="F19" s="48"/>
      <c r="G19" s="48"/>
      <c r="H19" s="48"/>
      <c r="I19" s="48"/>
      <c r="J19" s="48"/>
    </row>
    <row r="21" customFormat="false" ht="18" hidden="false" customHeight="true" outlineLevel="0" collapsed="false">
      <c r="A21" s="29" t="s">
        <v>553</v>
      </c>
      <c r="B21" s="29"/>
      <c r="C21" s="29"/>
      <c r="D21" s="29"/>
      <c r="E21" s="29"/>
      <c r="F21" s="29"/>
      <c r="G21" s="29"/>
      <c r="H21" s="29"/>
      <c r="I21" s="29"/>
      <c r="J21" s="29"/>
    </row>
    <row r="22" customFormat="false" ht="16.5" hidden="false" customHeight="true" outlineLevel="0" collapsed="false">
      <c r="A22" s="26" t="s">
        <v>410</v>
      </c>
      <c r="B22" s="27" t="s">
        <v>88</v>
      </c>
      <c r="C22" s="27" t="s">
        <v>89</v>
      </c>
      <c r="D22" s="27"/>
      <c r="E22" s="27"/>
      <c r="F22" s="27"/>
      <c r="G22" s="27"/>
      <c r="H22" s="27"/>
      <c r="I22" s="27"/>
      <c r="J22" s="28" t="s">
        <v>350</v>
      </c>
    </row>
    <row r="23" customFormat="false" ht="26.25" hidden="false" customHeight="true" outlineLevel="0" collapsed="false">
      <c r="A23" s="37" t="s">
        <v>554</v>
      </c>
      <c r="B23" s="50" t="n">
        <f aca="false">(I13-I11)/1000</f>
        <v>0.1826752</v>
      </c>
      <c r="C23" s="31" t="s">
        <v>420</v>
      </c>
      <c r="D23" s="31"/>
      <c r="E23" s="31"/>
      <c r="F23" s="31"/>
      <c r="G23" s="31"/>
      <c r="H23" s="31"/>
      <c r="I23" s="31"/>
      <c r="J23" s="33" t="s">
        <v>555</v>
      </c>
    </row>
    <row r="24" customFormat="false" ht="15" hidden="false" customHeight="true" outlineLevel="0" collapsed="false">
      <c r="A24" s="30" t="s">
        <v>556</v>
      </c>
      <c r="B24" s="61" t="n">
        <f aca="false">B23*01_Inputs!$C$23</f>
        <v>2.9228032</v>
      </c>
      <c r="C24" s="31" t="s">
        <v>420</v>
      </c>
      <c r="D24" s="31"/>
      <c r="E24" s="31"/>
      <c r="F24" s="31"/>
      <c r="G24" s="31"/>
      <c r="H24" s="31"/>
      <c r="I24" s="31"/>
      <c r="J24" s="33" t="s">
        <v>557</v>
      </c>
    </row>
    <row r="25" customFormat="false" ht="15" hidden="false" customHeight="true" outlineLevel="0" collapsed="false">
      <c r="A25" s="51" t="s">
        <v>558</v>
      </c>
      <c r="B25" s="69" t="n">
        <f aca="false">-B24*B6</f>
        <v>-28.6965126605645</v>
      </c>
      <c r="C25" s="31" t="s">
        <v>143</v>
      </c>
      <c r="D25" s="31"/>
      <c r="E25" s="31"/>
      <c r="F25" s="31"/>
      <c r="G25" s="31"/>
      <c r="H25" s="31"/>
      <c r="I25" s="31"/>
      <c r="J25" s="33" t="s">
        <v>559</v>
      </c>
    </row>
    <row r="26" customFormat="false" ht="15" hidden="false" customHeight="true" outlineLevel="0" collapsed="false">
      <c r="A26" s="30" t="s">
        <v>560</v>
      </c>
      <c r="B26" s="61" t="n">
        <f aca="false">B7*01_Inputs!$C$35*01_Inputs!$C$23/1000</f>
        <v>0.17664</v>
      </c>
      <c r="C26" s="31" t="s">
        <v>420</v>
      </c>
      <c r="D26" s="31"/>
      <c r="E26" s="31"/>
      <c r="F26" s="31"/>
      <c r="G26" s="31"/>
      <c r="H26" s="31"/>
      <c r="I26" s="31"/>
      <c r="J26" s="33" t="s">
        <v>561</v>
      </c>
    </row>
    <row r="27" customFormat="false" ht="15" hidden="false" customHeight="true" outlineLevel="0" collapsed="false">
      <c r="A27" s="51" t="s">
        <v>562</v>
      </c>
      <c r="B27" s="69" t="n">
        <f aca="false">-B26*B6</f>
        <v>-1.73427755805184</v>
      </c>
      <c r="C27" s="31" t="s">
        <v>143</v>
      </c>
      <c r="D27" s="31"/>
      <c r="E27" s="31"/>
      <c r="F27" s="31"/>
      <c r="G27" s="31"/>
      <c r="H27" s="31"/>
      <c r="I27" s="31"/>
      <c r="J27" s="33" t="s">
        <v>563</v>
      </c>
    </row>
    <row r="28" customFormat="false" ht="15" hidden="false" customHeight="true" outlineLevel="0" collapsed="false">
      <c r="A28" s="51" t="s">
        <v>564</v>
      </c>
      <c r="B28" s="69" t="n">
        <f aca="false">B25+B27</f>
        <v>-30.4307902186163</v>
      </c>
      <c r="C28" s="31" t="s">
        <v>143</v>
      </c>
      <c r="D28" s="31"/>
      <c r="E28" s="31"/>
      <c r="F28" s="31"/>
      <c r="G28" s="31"/>
      <c r="H28" s="31"/>
      <c r="I28" s="31"/>
      <c r="J28" s="33" t="s">
        <v>565</v>
      </c>
    </row>
    <row r="29" customFormat="false" ht="27.75" hidden="false" customHeight="true" outlineLevel="0" collapsed="false">
      <c r="A29" s="48" t="s">
        <v>566</v>
      </c>
      <c r="B29" s="48"/>
      <c r="C29" s="48"/>
      <c r="D29" s="48"/>
      <c r="E29" s="48"/>
      <c r="F29" s="48"/>
      <c r="G29" s="48"/>
      <c r="H29" s="48"/>
      <c r="I29" s="48"/>
      <c r="J29" s="48"/>
    </row>
  </sheetData>
  <mergeCells count="3">
    <mergeCell ref="A1:J1"/>
    <mergeCell ref="A19:J19"/>
    <mergeCell ref="A29:J29"/>
  </mergeCells>
  <hyperlinks>
    <hyperlink ref="K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6" min="2" style="0" width="14"/>
    <col collapsed="false" customWidth="true" hidden="false" outlineLevel="0" max="7" min="7" style="0" width="46"/>
    <col collapsed="false" customWidth="true" hidden="false" outlineLevel="0" max="8" min="8" style="0" width="11"/>
  </cols>
  <sheetData>
    <row r="1" customFormat="false" ht="39.75" hidden="false" customHeight="true" outlineLevel="0" collapsed="false">
      <c r="A1" s="23" t="s">
        <v>567</v>
      </c>
      <c r="B1" s="23"/>
      <c r="C1" s="23"/>
      <c r="D1" s="23"/>
      <c r="E1" s="23"/>
      <c r="F1" s="23"/>
      <c r="G1" s="23"/>
      <c r="H1" s="24" t="s">
        <v>85</v>
      </c>
      <c r="I1" s="25"/>
    </row>
    <row r="2" customFormat="false" ht="7.5" hidden="false" customHeight="true" outlineLevel="0" collapsed="false"/>
    <row r="3" customFormat="false" ht="27.75" hidden="false" customHeight="true" outlineLevel="0" collapsed="false">
      <c r="A3" s="48" t="s">
        <v>568</v>
      </c>
      <c r="B3" s="48"/>
      <c r="C3" s="48"/>
      <c r="D3" s="48"/>
      <c r="E3" s="48"/>
      <c r="F3" s="48"/>
      <c r="G3" s="48"/>
    </row>
    <row r="4" customFormat="false" ht="16.5" hidden="false" customHeight="true" outlineLevel="0" collapsed="false">
      <c r="A4" s="26" t="s">
        <v>410</v>
      </c>
      <c r="B4" s="27" t="s">
        <v>88</v>
      </c>
      <c r="C4" s="27" t="s">
        <v>89</v>
      </c>
      <c r="D4" s="27"/>
      <c r="E4" s="27"/>
      <c r="F4" s="27"/>
      <c r="G4" s="28" t="s">
        <v>350</v>
      </c>
    </row>
    <row r="5" customFormat="false" ht="15" hidden="false" customHeight="true" outlineLevel="0" collapsed="false">
      <c r="A5" s="30" t="s">
        <v>569</v>
      </c>
      <c r="B5" s="66" t="n">
        <f aca="false">01_Inputs!$C$122*01_Inputs!$C$123*1000000</f>
        <v>350000</v>
      </c>
      <c r="C5" s="31" t="s">
        <v>570</v>
      </c>
      <c r="D5" s="31"/>
      <c r="E5" s="31"/>
      <c r="F5" s="31"/>
      <c r="G5" s="33" t="s">
        <v>571</v>
      </c>
    </row>
    <row r="6" customFormat="false" ht="15" hidden="false" customHeight="true" outlineLevel="0" collapsed="false">
      <c r="A6" s="30" t="s">
        <v>572</v>
      </c>
      <c r="B6" s="66" t="n">
        <f aca="false">(01_Inputs!$C$124+01_Inputs!$C$125)*1000</f>
        <v>350000</v>
      </c>
      <c r="C6" s="31" t="s">
        <v>570</v>
      </c>
      <c r="D6" s="31"/>
      <c r="E6" s="31"/>
      <c r="F6" s="31"/>
      <c r="G6" s="33" t="s">
        <v>573</v>
      </c>
    </row>
    <row r="8" customFormat="false" ht="18" hidden="false" customHeight="true" outlineLevel="0" collapsed="false">
      <c r="A8" s="29" t="s">
        <v>574</v>
      </c>
      <c r="B8" s="29"/>
      <c r="C8" s="29"/>
      <c r="D8" s="29"/>
      <c r="E8" s="29"/>
      <c r="F8" s="29"/>
      <c r="G8" s="29"/>
    </row>
    <row r="9" customFormat="false" ht="27.75" hidden="false" customHeight="true" outlineLevel="0" collapsed="false">
      <c r="A9" s="26" t="s">
        <v>575</v>
      </c>
      <c r="B9" s="27" t="s">
        <v>576</v>
      </c>
      <c r="C9" s="27" t="s">
        <v>577</v>
      </c>
      <c r="D9" s="27" t="s">
        <v>578</v>
      </c>
      <c r="E9" s="27" t="s">
        <v>579</v>
      </c>
      <c r="F9" s="27" t="s">
        <v>580</v>
      </c>
      <c r="G9" s="28" t="s">
        <v>350</v>
      </c>
    </row>
    <row r="10" customFormat="false" ht="15" hidden="false" customHeight="true" outlineLevel="0" collapsed="false">
      <c r="A10" s="30" t="s">
        <v>581</v>
      </c>
      <c r="B10" s="66" t="n">
        <f aca="false">01_Inputs!$C$131</f>
        <v>1860</v>
      </c>
      <c r="C10" s="63" t="n">
        <f aca="false">$B$5/(B10*01_Inputs!$C$126)</f>
        <v>9.40860215053764</v>
      </c>
      <c r="D10" s="63" t="n">
        <f aca="false">$B$5/(B10*01_Inputs!$C$127)</f>
        <v>12.5448028673835</v>
      </c>
      <c r="E10" s="72" t="n">
        <f aca="false">C10/C$10-1</f>
        <v>0</v>
      </c>
      <c r="F10" s="56" t="n">
        <f aca="false">C10/01_Inputs!$C$132*1000</f>
        <v>10.814485230503</v>
      </c>
      <c r="G10" s="33" t="s">
        <v>582</v>
      </c>
    </row>
    <row r="11" customFormat="false" ht="26.25" hidden="false" customHeight="true" outlineLevel="0" collapsed="false">
      <c r="A11" s="30" t="s">
        <v>583</v>
      </c>
      <c r="B11" s="66" t="n">
        <f aca="false">01_Inputs!$C$133</f>
        <v>1950</v>
      </c>
      <c r="C11" s="63" t="n">
        <f aca="false">$B$5/(B11*01_Inputs!$C$126)</f>
        <v>8.97435897435898</v>
      </c>
      <c r="D11" s="63" t="n">
        <f aca="false">$B$5/(B11*01_Inputs!$C$127)</f>
        <v>11.965811965812</v>
      </c>
      <c r="E11" s="72" t="n">
        <f aca="false">C11/C$10-1</f>
        <v>-0.0461538461538461</v>
      </c>
      <c r="F11" s="73" t="s">
        <v>584</v>
      </c>
      <c r="G11" s="40" t="s">
        <v>585</v>
      </c>
    </row>
    <row r="12" customFormat="false" ht="15" hidden="false" customHeight="true" outlineLevel="0" collapsed="false">
      <c r="A12" s="30" t="s">
        <v>586</v>
      </c>
      <c r="B12" s="66" t="n">
        <f aca="false">01_Inputs!$C$134</f>
        <v>2090</v>
      </c>
      <c r="C12" s="63" t="n">
        <f aca="false">$B$5/(B12*01_Inputs!$C$126)</f>
        <v>8.3732057416268</v>
      </c>
      <c r="D12" s="63" t="n">
        <f aca="false">$B$5/(B12*01_Inputs!$C$127)</f>
        <v>11.1642743221691</v>
      </c>
      <c r="E12" s="72" t="n">
        <f aca="false">C12/C$10-1</f>
        <v>-0.110047846889952</v>
      </c>
      <c r="F12" s="56" t="n">
        <f aca="false">C12/01_Inputs!$C$135*1000</f>
        <v>9.10131058872478</v>
      </c>
      <c r="G12" s="33" t="s">
        <v>582</v>
      </c>
    </row>
    <row r="13" customFormat="false" ht="26.25" hidden="false" customHeight="true" outlineLevel="0" collapsed="false">
      <c r="A13" s="30" t="s">
        <v>587</v>
      </c>
      <c r="B13" s="66" t="n">
        <f aca="false">01_Inputs!$C$136</f>
        <v>1510</v>
      </c>
      <c r="C13" s="63" t="n">
        <f aca="false">$B$5/(B13*01_Inputs!$C$126)</f>
        <v>11.5894039735099</v>
      </c>
      <c r="D13" s="63" t="n">
        <f aca="false">$B$5/(B13*01_Inputs!$C$127)</f>
        <v>15.4525386313466</v>
      </c>
      <c r="E13" s="72" t="n">
        <f aca="false">C13/C$10-1</f>
        <v>0.231788079470199</v>
      </c>
      <c r="F13" s="73" t="s">
        <v>584</v>
      </c>
      <c r="G13" s="40" t="s">
        <v>585</v>
      </c>
    </row>
    <row r="15" customFormat="false" ht="18" hidden="false" customHeight="true" outlineLevel="0" collapsed="false">
      <c r="A15" s="29" t="s">
        <v>588</v>
      </c>
      <c r="B15" s="29"/>
      <c r="C15" s="29"/>
      <c r="D15" s="29"/>
      <c r="E15" s="29"/>
      <c r="F15" s="29"/>
      <c r="G15" s="29"/>
    </row>
    <row r="16" customFormat="false" ht="16.5" hidden="false" customHeight="true" outlineLevel="0" collapsed="false">
      <c r="A16" s="26" t="s">
        <v>410</v>
      </c>
      <c r="B16" s="27" t="s">
        <v>88</v>
      </c>
      <c r="C16" s="27" t="s">
        <v>89</v>
      </c>
      <c r="D16" s="27"/>
      <c r="E16" s="27"/>
      <c r="F16" s="27"/>
      <c r="G16" s="28" t="s">
        <v>350</v>
      </c>
    </row>
    <row r="17" customFormat="false" ht="15" hidden="false" customHeight="true" outlineLevel="0" collapsed="false">
      <c r="A17" s="30" t="s">
        <v>589</v>
      </c>
      <c r="B17" s="63" t="n">
        <f aca="false">$B$5/(01_Inputs!$C$131*01_Inputs!$C$128)</f>
        <v>6.27240143369176</v>
      </c>
      <c r="C17" s="31" t="s">
        <v>590</v>
      </c>
      <c r="D17" s="31"/>
      <c r="E17" s="31"/>
      <c r="F17" s="31"/>
      <c r="G17" s="40" t="s">
        <v>591</v>
      </c>
    </row>
    <row r="18" customFormat="false" ht="15" hidden="false" customHeight="true" outlineLevel="0" collapsed="false">
      <c r="A18" s="30" t="s">
        <v>592</v>
      </c>
      <c r="B18" s="56" t="n">
        <f aca="false">B17/01_Inputs!$C$132*1000</f>
        <v>7.20965682033535</v>
      </c>
      <c r="C18" s="31" t="s">
        <v>593</v>
      </c>
      <c r="D18" s="31"/>
      <c r="E18" s="31"/>
      <c r="F18" s="31"/>
      <c r="G18" s="33" t="s">
        <v>594</v>
      </c>
    </row>
    <row r="19" customFormat="false" ht="15" hidden="false" customHeight="true" outlineLevel="0" collapsed="false">
      <c r="A19" s="51" t="s">
        <v>595</v>
      </c>
      <c r="B19" s="74" t="n">
        <f aca="false">B17/C10-1</f>
        <v>-0.333333333333333</v>
      </c>
      <c r="C19" s="31"/>
      <c r="D19" s="31"/>
      <c r="E19" s="31"/>
      <c r="F19" s="31"/>
      <c r="G19" s="33" t="s">
        <v>596</v>
      </c>
    </row>
  </sheetData>
  <mergeCells count="2">
    <mergeCell ref="A1:G1"/>
    <mergeCell ref="A3:G3"/>
  </mergeCells>
  <hyperlinks>
    <hyperlink ref="H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5"/>
    <col collapsed="false" customWidth="true" hidden="false" outlineLevel="0" max="3" min="3" style="0" width="12"/>
    <col collapsed="false" customWidth="true" hidden="false" outlineLevel="0" max="4" min="4" style="0" width="66"/>
    <col collapsed="false" customWidth="true" hidden="false" outlineLevel="0" max="5" min="5" style="0" width="11"/>
  </cols>
  <sheetData>
    <row r="1" customFormat="false" ht="39.75" hidden="false" customHeight="true" outlineLevel="0" collapsed="false">
      <c r="A1" s="23" t="s">
        <v>597</v>
      </c>
      <c r="B1" s="23"/>
      <c r="C1" s="23"/>
      <c r="D1" s="23"/>
      <c r="E1" s="24" t="s">
        <v>85</v>
      </c>
      <c r="F1" s="25"/>
    </row>
    <row r="2" customFormat="false" ht="7.5" hidden="false" customHeight="true" outlineLevel="0" collapsed="false"/>
    <row r="3" customFormat="false" ht="27.75" hidden="false" customHeight="true" outlineLevel="0" collapsed="false">
      <c r="A3" s="48" t="s">
        <v>598</v>
      </c>
      <c r="B3" s="48"/>
      <c r="C3" s="48"/>
      <c r="D3" s="48"/>
    </row>
    <row r="4" customFormat="false" ht="16.5" hidden="false" customHeight="true" outlineLevel="0" collapsed="false">
      <c r="A4" s="26" t="s">
        <v>410</v>
      </c>
      <c r="B4" s="27" t="s">
        <v>88</v>
      </c>
      <c r="C4" s="27" t="s">
        <v>89</v>
      </c>
      <c r="D4" s="28" t="s">
        <v>350</v>
      </c>
    </row>
    <row r="5" customFormat="false" ht="15" hidden="false" customHeight="true" outlineLevel="0" collapsed="false">
      <c r="A5" s="30" t="s">
        <v>599</v>
      </c>
      <c r="B5" s="66" t="n">
        <f aca="false">01_Inputs!$C$124</f>
        <v>50</v>
      </c>
      <c r="C5" s="31" t="s">
        <v>322</v>
      </c>
      <c r="D5" s="40" t="s">
        <v>600</v>
      </c>
    </row>
    <row r="6" customFormat="false" ht="15" hidden="false" customHeight="true" outlineLevel="0" collapsed="false">
      <c r="A6" s="30" t="s">
        <v>601</v>
      </c>
      <c r="B6" s="66" t="n">
        <f aca="false">01_Inputs!$C$125</f>
        <v>300</v>
      </c>
      <c r="C6" s="31" t="s">
        <v>322</v>
      </c>
      <c r="D6" s="33" t="s">
        <v>602</v>
      </c>
    </row>
    <row r="7" customFormat="false" ht="15" hidden="false" customHeight="true" outlineLevel="0" collapsed="false">
      <c r="A7" s="30" t="s">
        <v>603</v>
      </c>
      <c r="B7" s="66" t="n">
        <f aca="false">B5+B6</f>
        <v>350</v>
      </c>
      <c r="C7" s="31" t="s">
        <v>322</v>
      </c>
      <c r="D7" s="33"/>
    </row>
    <row r="8" customFormat="false" ht="15" hidden="false" customHeight="true" outlineLevel="0" collapsed="false">
      <c r="A8" s="30" t="s">
        <v>604</v>
      </c>
      <c r="B8" s="49" t="n">
        <f aca="false">B7/(01_Inputs!$C$122*1000)</f>
        <v>0.0035</v>
      </c>
      <c r="C8" s="31"/>
      <c r="D8" s="33" t="s">
        <v>605</v>
      </c>
    </row>
    <row r="9" customFormat="false" ht="15" hidden="false" customHeight="true" outlineLevel="0" collapsed="false">
      <c r="A9" s="51" t="s">
        <v>606</v>
      </c>
      <c r="B9" s="52" t="n">
        <f aca="false">1-B8</f>
        <v>0.9965</v>
      </c>
      <c r="C9" s="31"/>
      <c r="D9" s="33" t="s">
        <v>607</v>
      </c>
    </row>
    <row r="11" customFormat="false" ht="18" hidden="false" customHeight="true" outlineLevel="0" collapsed="false">
      <c r="A11" s="29" t="s">
        <v>608</v>
      </c>
      <c r="B11" s="29"/>
      <c r="C11" s="29"/>
      <c r="D11" s="29"/>
    </row>
    <row r="12" customFormat="false" ht="16.5" hidden="false" customHeight="true" outlineLevel="0" collapsed="false">
      <c r="A12" s="26" t="s">
        <v>410</v>
      </c>
      <c r="B12" s="27" t="s">
        <v>88</v>
      </c>
      <c r="C12" s="27" t="s">
        <v>89</v>
      </c>
      <c r="D12" s="28" t="s">
        <v>350</v>
      </c>
    </row>
    <row r="13" customFormat="false" ht="15" hidden="false" customHeight="true" outlineLevel="0" collapsed="false">
      <c r="A13" s="30" t="s">
        <v>609</v>
      </c>
      <c r="B13" s="66" t="n">
        <f aca="false">B7*01_Inputs!$C$9/1000</f>
        <v>3066</v>
      </c>
      <c r="C13" s="31" t="s">
        <v>456</v>
      </c>
      <c r="D13" s="40" t="s">
        <v>610</v>
      </c>
    </row>
    <row r="14" customFormat="false" ht="15" hidden="false" customHeight="true" outlineLevel="0" collapsed="false">
      <c r="A14" s="30" t="s">
        <v>611</v>
      </c>
      <c r="B14" s="66" t="n">
        <f aca="false">B13*01_Inputs!$C$67/1000</f>
        <v>96.8856</v>
      </c>
      <c r="C14" s="31" t="s">
        <v>460</v>
      </c>
      <c r="D14" s="33" t="s">
        <v>612</v>
      </c>
    </row>
    <row r="15" customFormat="false" ht="15" hidden="false" customHeight="true" outlineLevel="0" collapsed="false">
      <c r="A15" s="51" t="s">
        <v>613</v>
      </c>
      <c r="B15" s="62" t="n">
        <f aca="false">B14*01_Inputs!$C$23/1000</f>
        <v>1.5501696</v>
      </c>
      <c r="C15" s="31" t="s">
        <v>420</v>
      </c>
      <c r="D15" s="33"/>
    </row>
    <row r="17" customFormat="false" ht="18" hidden="false" customHeight="true" outlineLevel="0" collapsed="false">
      <c r="A17" s="29" t="s">
        <v>614</v>
      </c>
      <c r="B17" s="29"/>
      <c r="C17" s="29"/>
      <c r="D17" s="29"/>
    </row>
    <row r="18" customFormat="false" ht="16.5" hidden="false" customHeight="true" outlineLevel="0" collapsed="false">
      <c r="A18" s="26" t="s">
        <v>410</v>
      </c>
      <c r="B18" s="27" t="s">
        <v>88</v>
      </c>
      <c r="C18" s="27" t="s">
        <v>89</v>
      </c>
      <c r="D18" s="28" t="s">
        <v>350</v>
      </c>
    </row>
    <row r="19" customFormat="false" ht="15" hidden="false" customHeight="true" outlineLevel="0" collapsed="false">
      <c r="A19" s="30" t="s">
        <v>615</v>
      </c>
      <c r="B19" s="65" t="n">
        <f aca="false">01_Inputs!$C$129</f>
        <v>28</v>
      </c>
      <c r="C19" s="31" t="s">
        <v>246</v>
      </c>
      <c r="D19" s="33" t="s">
        <v>616</v>
      </c>
    </row>
    <row r="20" customFormat="false" ht="15" hidden="false" customHeight="true" outlineLevel="0" collapsed="false">
      <c r="A20" s="51" t="s">
        <v>617</v>
      </c>
      <c r="B20" s="67" t="n">
        <f aca="false">B19*01_Inputs!$C$23</f>
        <v>448</v>
      </c>
      <c r="C20" s="31" t="s">
        <v>246</v>
      </c>
      <c r="D20" s="33" t="s">
        <v>618</v>
      </c>
    </row>
  </sheetData>
  <mergeCells count="2">
    <mergeCell ref="A1:D1"/>
    <mergeCell ref="A3:D3"/>
  </mergeCells>
  <hyperlinks>
    <hyperlink ref="E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6"/>
    <col collapsed="false" customWidth="true" hidden="false" outlineLevel="0" max="6" min="6" style="0" width="40"/>
    <col collapsed="false" customWidth="true" hidden="false" outlineLevel="0" max="7" min="7" style="0" width="11"/>
  </cols>
  <sheetData>
    <row r="1" customFormat="false" ht="39.75" hidden="false" customHeight="true" outlineLevel="0" collapsed="false">
      <c r="A1" s="23" t="s">
        <v>619</v>
      </c>
      <c r="B1" s="23"/>
      <c r="C1" s="23"/>
      <c r="D1" s="23"/>
      <c r="E1" s="23"/>
      <c r="F1" s="23"/>
      <c r="G1" s="24" t="s">
        <v>85</v>
      </c>
      <c r="H1" s="25"/>
    </row>
    <row r="2" customFormat="false" ht="7.5" hidden="false" customHeight="true" outlineLevel="0" collapsed="false"/>
    <row r="3" customFormat="false" ht="39.75" hidden="false" customHeight="true" outlineLevel="0" collapsed="false">
      <c r="A3" s="48" t="s">
        <v>620</v>
      </c>
      <c r="B3" s="48"/>
      <c r="C3" s="48"/>
      <c r="D3" s="48"/>
      <c r="E3" s="48"/>
      <c r="F3" s="48"/>
    </row>
    <row r="4" customFormat="false" ht="16.5" hidden="false" customHeight="true" outlineLevel="0" collapsed="false">
      <c r="A4" s="26" t="s">
        <v>621</v>
      </c>
      <c r="B4" s="27" t="s">
        <v>88</v>
      </c>
      <c r="C4" s="27"/>
      <c r="D4" s="27"/>
      <c r="E4" s="27"/>
      <c r="F4" s="28" t="s">
        <v>508</v>
      </c>
    </row>
    <row r="5" customFormat="false" ht="15" hidden="false" customHeight="true" outlineLevel="0" collapsed="false">
      <c r="A5" s="30" t="s">
        <v>622</v>
      </c>
      <c r="B5" s="57" t="n">
        <f aca="false">AVERAGE(E12:E2011)</f>
        <v>19.7260976105452</v>
      </c>
      <c r="C5" s="31"/>
      <c r="D5" s="31"/>
      <c r="E5" s="31"/>
      <c r="F5" s="33" t="s">
        <v>623</v>
      </c>
    </row>
    <row r="6" customFormat="false" ht="26.25" hidden="false" customHeight="true" outlineLevel="0" collapsed="false">
      <c r="A6" s="30" t="s">
        <v>624</v>
      </c>
      <c r="B6" s="57" t="n">
        <f aca="false">STDEV(F12:F2011)/SQRT(COUNT(F12:F2011))</f>
        <v>0.203940438162194</v>
      </c>
      <c r="C6" s="31"/>
      <c r="D6" s="31"/>
      <c r="E6" s="31"/>
      <c r="F6" s="40" t="s">
        <v>625</v>
      </c>
    </row>
    <row r="7" customFormat="false" ht="26.25" hidden="false" customHeight="true" outlineLevel="0" collapsed="false">
      <c r="A7" s="37" t="s">
        <v>626</v>
      </c>
      <c r="B7" s="57" t="n">
        <f aca="false">07_Black_Scholes!$B$22</f>
        <v>19.6684243990264</v>
      </c>
      <c r="C7" s="31"/>
      <c r="D7" s="31"/>
      <c r="E7" s="31"/>
      <c r="F7" s="33" t="s">
        <v>627</v>
      </c>
    </row>
    <row r="8" customFormat="false" ht="15" hidden="false" customHeight="true" outlineLevel="0" collapsed="false">
      <c r="A8" s="51" t="s">
        <v>628</v>
      </c>
      <c r="B8" s="75" t="n">
        <f aca="false">(B5-B7)/B6</f>
        <v>0.282794388589699</v>
      </c>
      <c r="C8" s="31"/>
      <c r="D8" s="31"/>
      <c r="E8" s="31"/>
      <c r="F8" s="40" t="s">
        <v>629</v>
      </c>
    </row>
    <row r="10" customFormat="false" ht="18" hidden="false" customHeight="true" outlineLevel="0" collapsed="false">
      <c r="A10" s="29" t="s">
        <v>630</v>
      </c>
      <c r="B10" s="29"/>
      <c r="C10" s="29"/>
      <c r="D10" s="29"/>
      <c r="E10" s="29"/>
      <c r="F10" s="29"/>
    </row>
    <row r="11" customFormat="false" ht="27.75" hidden="false" customHeight="true" outlineLevel="0" collapsed="false">
      <c r="A11" s="26" t="s">
        <v>631</v>
      </c>
      <c r="B11" s="27" t="s">
        <v>632</v>
      </c>
      <c r="C11" s="27" t="s">
        <v>633</v>
      </c>
      <c r="D11" s="27" t="s">
        <v>634</v>
      </c>
      <c r="E11" s="27" t="s">
        <v>635</v>
      </c>
      <c r="F11" s="28" t="s">
        <v>636</v>
      </c>
    </row>
    <row r="12" customFormat="false" ht="15" hidden="false" customHeight="false" outlineLevel="0" collapsed="false">
      <c r="A12" s="76" t="n">
        <v>1</v>
      </c>
      <c r="B12" s="77" t="n">
        <v>-1.137894</v>
      </c>
      <c r="C12" s="78" t="n">
        <f aca="false">05_Unit_Economics!$B$15*EXP((01_Inputs!$C$20-01_Inputs!$C$21^2/2)*01_Inputs!$C$22+01_Inputs!$C$21*SQRT(01_Inputs!$C$22)*B12)</f>
        <v>36.3409218624442</v>
      </c>
      <c r="D12" s="78" t="n">
        <f aca="false">MAX(C12-05_Unit_Economics!$B$21,0)</f>
        <v>0</v>
      </c>
      <c r="E12" s="78" t="n">
        <f aca="false">D12*EXP(-01_Inputs!$C$20*01_Inputs!$C$22)</f>
        <v>0</v>
      </c>
      <c r="F12" s="79"/>
    </row>
    <row r="13" customFormat="false" ht="15" hidden="false" customHeight="false" outlineLevel="0" collapsed="false">
      <c r="A13" s="76" t="n">
        <v>2</v>
      </c>
      <c r="B13" s="77" t="n">
        <v>1.137894</v>
      </c>
      <c r="C13" s="78" t="n">
        <f aca="false">05_Unit_Economics!$B$15*EXP((01_Inputs!$C$20-01_Inputs!$C$21^2/2)*01_Inputs!$C$22+01_Inputs!$C$21*SQRT(01_Inputs!$C$22)*B13)</f>
        <v>80.5977094482449</v>
      </c>
      <c r="D13" s="78" t="n">
        <f aca="false">MAX(C13-05_Unit_Economics!$B$21,0)</f>
        <v>42.6901039737415</v>
      </c>
      <c r="E13" s="78" t="n">
        <f aca="false">D13*EXP(-01_Inputs!$C$20*01_Inputs!$C$22)</f>
        <v>40.8524639426077</v>
      </c>
      <c r="F13" s="80" t="n">
        <f aca="false">AVERAGE(E12:E13)</f>
        <v>20.4262319713039</v>
      </c>
    </row>
    <row r="14" customFormat="false" ht="15" hidden="false" customHeight="false" outlineLevel="0" collapsed="false">
      <c r="A14" s="76" t="n">
        <v>3</v>
      </c>
      <c r="B14" s="77" t="n">
        <v>1.162315</v>
      </c>
      <c r="C14" s="78" t="n">
        <f aca="false">05_Unit_Economics!$B$15*EXP((01_Inputs!$C$20-01_Inputs!$C$21^2/2)*01_Inputs!$C$22+01_Inputs!$C$21*SQRT(01_Inputs!$C$22)*B14)</f>
        <v>81.2895588073647</v>
      </c>
      <c r="D14" s="78" t="n">
        <f aca="false">MAX(C14-05_Unit_Economics!$B$21,0)</f>
        <v>43.3819533328613</v>
      </c>
      <c r="E14" s="78" t="n">
        <f aca="false">D14*EXP(-01_Inputs!$C$20*01_Inputs!$C$22)</f>
        <v>41.5145319247926</v>
      </c>
      <c r="F14" s="79"/>
    </row>
    <row r="15" customFormat="false" ht="15" hidden="false" customHeight="false" outlineLevel="0" collapsed="false">
      <c r="A15" s="76" t="n">
        <v>4</v>
      </c>
      <c r="B15" s="77" t="n">
        <v>-1.162315</v>
      </c>
      <c r="C15" s="78" t="n">
        <f aca="false">05_Unit_Economics!$B$15*EXP((01_Inputs!$C$20-01_Inputs!$C$21^2/2)*01_Inputs!$C$22+01_Inputs!$C$21*SQRT(01_Inputs!$C$22)*B15)</f>
        <v>36.0316269927312</v>
      </c>
      <c r="D15" s="78" t="n">
        <f aca="false">MAX(C15-05_Unit_Economics!$B$21,0)</f>
        <v>0</v>
      </c>
      <c r="E15" s="78" t="n">
        <f aca="false">D15*EXP(-01_Inputs!$C$20*01_Inputs!$C$22)</f>
        <v>0</v>
      </c>
      <c r="F15" s="80" t="n">
        <f aca="false">AVERAGE(E14:E15)</f>
        <v>20.7572659623963</v>
      </c>
    </row>
    <row r="16" customFormat="false" ht="15" hidden="false" customHeight="false" outlineLevel="0" collapsed="false">
      <c r="A16" s="76" t="n">
        <v>5</v>
      </c>
      <c r="B16" s="77" t="n">
        <v>0.057453</v>
      </c>
      <c r="C16" s="78" t="n">
        <f aca="false">05_Unit_Economics!$B$15*EXP((01_Inputs!$C$20-01_Inputs!$C$21^2/2)*01_Inputs!$C$22+01_Inputs!$C$21*SQRT(01_Inputs!$C$22)*B16)</f>
        <v>55.2194850124253</v>
      </c>
      <c r="D16" s="78" t="n">
        <f aca="false">MAX(C16-05_Unit_Economics!$B$21,0)</f>
        <v>17.3118795379219</v>
      </c>
      <c r="E16" s="78" t="n">
        <f aca="false">D16*EXP(-01_Inputs!$C$20*01_Inputs!$C$22)</f>
        <v>16.566671635111</v>
      </c>
      <c r="F16" s="79"/>
    </row>
    <row r="17" customFormat="false" ht="15" hidden="false" customHeight="false" outlineLevel="0" collapsed="false">
      <c r="A17" s="76" t="n">
        <v>6</v>
      </c>
      <c r="B17" s="77" t="n">
        <v>-0.057453</v>
      </c>
      <c r="C17" s="78" t="n">
        <f aca="false">05_Unit_Economics!$B$15*EXP((01_Inputs!$C$20-01_Inputs!$C$21^2/2)*01_Inputs!$C$22+01_Inputs!$C$21*SQRT(01_Inputs!$C$22)*B17)</f>
        <v>53.0427811974628</v>
      </c>
      <c r="D17" s="78" t="n">
        <f aca="false">MAX(C17-05_Unit_Economics!$B$21,0)</f>
        <v>15.1351757229593</v>
      </c>
      <c r="E17" s="78" t="n">
        <f aca="false">D17*EXP(-01_Inputs!$C$20*01_Inputs!$C$22)</f>
        <v>14.4836663051359</v>
      </c>
      <c r="F17" s="80" t="n">
        <f aca="false">AVERAGE(E16:E17)</f>
        <v>15.5251689701234</v>
      </c>
    </row>
    <row r="18" customFormat="false" ht="15" hidden="false" customHeight="false" outlineLevel="0" collapsed="false">
      <c r="A18" s="76" t="n">
        <v>7</v>
      </c>
      <c r="B18" s="77" t="n">
        <v>1.494484</v>
      </c>
      <c r="C18" s="78" t="n">
        <f aca="false">05_Unit_Economics!$B$15*EXP((01_Inputs!$C$20-01_Inputs!$C$21^2/2)*01_Inputs!$C$22+01_Inputs!$C$21*SQRT(01_Inputs!$C$22)*B18)</f>
        <v>91.31149929733</v>
      </c>
      <c r="D18" s="78" t="n">
        <f aca="false">MAX(C18-05_Unit_Economics!$B$21,0)</f>
        <v>53.4038938228265</v>
      </c>
      <c r="E18" s="78" t="n">
        <f aca="false">D18*EXP(-01_Inputs!$C$20*01_Inputs!$C$22)</f>
        <v>51.1050675382242</v>
      </c>
      <c r="F18" s="79"/>
    </row>
    <row r="19" customFormat="false" ht="15" hidden="false" customHeight="false" outlineLevel="0" collapsed="false">
      <c r="A19" s="76" t="n">
        <v>8</v>
      </c>
      <c r="B19" s="77" t="n">
        <v>-1.494484</v>
      </c>
      <c r="C19" s="78" t="n">
        <f aca="false">05_Unit_Economics!$B$15*EXP((01_Inputs!$C$20-01_Inputs!$C$21^2/2)*01_Inputs!$C$22+01_Inputs!$C$21*SQRT(01_Inputs!$C$22)*B19)</f>
        <v>32.0769572714299</v>
      </c>
      <c r="D19" s="78" t="n">
        <f aca="false">MAX(C19-05_Unit_Economics!$B$21,0)</f>
        <v>0</v>
      </c>
      <c r="E19" s="78" t="n">
        <f aca="false">D19*EXP(-01_Inputs!$C$20*01_Inputs!$C$22)</f>
        <v>0</v>
      </c>
      <c r="F19" s="80" t="n">
        <f aca="false">AVERAGE(E18:E19)</f>
        <v>25.5525337691121</v>
      </c>
    </row>
    <row r="20" customFormat="false" ht="15" hidden="false" customHeight="false" outlineLevel="0" collapsed="false">
      <c r="A20" s="76" t="n">
        <v>9</v>
      </c>
      <c r="B20" s="77" t="n">
        <v>-1.754621</v>
      </c>
      <c r="C20" s="78" t="n">
        <f aca="false">05_Unit_Economics!$B$15*EXP((01_Inputs!$C$20-01_Inputs!$C$21^2/2)*01_Inputs!$C$22+01_Inputs!$C$21*SQRT(01_Inputs!$C$22)*B20)</f>
        <v>29.2854258307388</v>
      </c>
      <c r="D20" s="78" t="n">
        <f aca="false">MAX(C20-05_Unit_Economics!$B$21,0)</f>
        <v>0</v>
      </c>
      <c r="E20" s="78" t="n">
        <f aca="false">D20*EXP(-01_Inputs!$C$20*01_Inputs!$C$22)</f>
        <v>0</v>
      </c>
      <c r="F20" s="79"/>
    </row>
    <row r="21" customFormat="false" ht="15" hidden="false" customHeight="false" outlineLevel="0" collapsed="false">
      <c r="A21" s="76" t="n">
        <v>10</v>
      </c>
      <c r="B21" s="77" t="n">
        <v>1.754621</v>
      </c>
      <c r="C21" s="78" t="n">
        <f aca="false">05_Unit_Economics!$B$15*EXP((01_Inputs!$C$20-01_Inputs!$C$21^2/2)*01_Inputs!$C$22+01_Inputs!$C$21*SQRT(01_Inputs!$C$22)*B21)</f>
        <v>100.015450629927</v>
      </c>
      <c r="D21" s="78" t="n">
        <f aca="false">MAX(C21-05_Unit_Economics!$B$21,0)</f>
        <v>62.1078451554238</v>
      </c>
      <c r="E21" s="78" t="n">
        <f aca="false">D21*EXP(-01_Inputs!$C$20*01_Inputs!$C$22)</f>
        <v>59.434348211606</v>
      </c>
      <c r="F21" s="80" t="n">
        <f aca="false">AVERAGE(E20:E21)</f>
        <v>29.717174105803</v>
      </c>
    </row>
    <row r="22" customFormat="false" ht="15" hidden="false" customHeight="false" outlineLevel="0" collapsed="false">
      <c r="A22" s="76" t="n">
        <v>11</v>
      </c>
      <c r="B22" s="77" t="n">
        <v>-1.278746</v>
      </c>
      <c r="C22" s="78" t="n">
        <f aca="false">05_Unit_Economics!$B$15*EXP((01_Inputs!$C$20-01_Inputs!$C$21^2/2)*01_Inputs!$C$22+01_Inputs!$C$21*SQRT(01_Inputs!$C$22)*B22)</f>
        <v>34.5928229152681</v>
      </c>
      <c r="D22" s="78" t="n">
        <f aca="false">MAX(C22-05_Unit_Economics!$B$21,0)</f>
        <v>0</v>
      </c>
      <c r="E22" s="78" t="n">
        <f aca="false">D22*EXP(-01_Inputs!$C$20*01_Inputs!$C$22)</f>
        <v>0</v>
      </c>
      <c r="F22" s="79"/>
    </row>
    <row r="23" customFormat="false" ht="15" hidden="false" customHeight="false" outlineLevel="0" collapsed="false">
      <c r="A23" s="76" t="n">
        <v>12</v>
      </c>
      <c r="B23" s="77" t="n">
        <v>1.278746</v>
      </c>
      <c r="C23" s="78" t="n">
        <f aca="false">05_Unit_Economics!$B$15*EXP((01_Inputs!$C$20-01_Inputs!$C$21^2/2)*01_Inputs!$C$22+01_Inputs!$C$21*SQRT(01_Inputs!$C$22)*B23)</f>
        <v>84.6705996941896</v>
      </c>
      <c r="D23" s="78" t="n">
        <f aca="false">MAX(C23-05_Unit_Economics!$B$21,0)</f>
        <v>46.7629942196861</v>
      </c>
      <c r="E23" s="78" t="n">
        <f aca="false">D23*EXP(-01_Inputs!$C$20*01_Inputs!$C$22)</f>
        <v>44.7500323818179</v>
      </c>
      <c r="F23" s="80" t="n">
        <f aca="false">AVERAGE(E22:E23)</f>
        <v>22.3750161909089</v>
      </c>
    </row>
    <row r="24" customFormat="false" ht="15" hidden="false" customHeight="false" outlineLevel="0" collapsed="false">
      <c r="A24" s="76" t="n">
        <v>13</v>
      </c>
      <c r="B24" s="77" t="n">
        <v>-0.679016</v>
      </c>
      <c r="C24" s="78" t="n">
        <f aca="false">05_Unit_Economics!$B$15*EXP((01_Inputs!$C$20-01_Inputs!$C$21^2/2)*01_Inputs!$C$22+01_Inputs!$C$21*SQRT(01_Inputs!$C$22)*B24)</f>
        <v>42.672373932655</v>
      </c>
      <c r="D24" s="78" t="n">
        <f aca="false">MAX(C24-05_Unit_Economics!$B$21,0)</f>
        <v>4.76476845815149</v>
      </c>
      <c r="E24" s="78" t="n">
        <f aca="false">D24*EXP(-01_Inputs!$C$20*01_Inputs!$C$22)</f>
        <v>4.55966403247081</v>
      </c>
      <c r="F24" s="79"/>
    </row>
    <row r="25" customFormat="false" ht="15" hidden="false" customHeight="false" outlineLevel="0" collapsed="false">
      <c r="A25" s="76" t="n">
        <v>14</v>
      </c>
      <c r="B25" s="77" t="n">
        <v>0.679016</v>
      </c>
      <c r="C25" s="78" t="n">
        <f aca="false">05_Unit_Economics!$B$15*EXP((01_Inputs!$C$20-01_Inputs!$C$21^2/2)*01_Inputs!$C$22+01_Inputs!$C$21*SQRT(01_Inputs!$C$22)*B25)</f>
        <v>68.639140301244</v>
      </c>
      <c r="D25" s="78" t="n">
        <f aca="false">MAX(C25-05_Unit_Economics!$B$21,0)</f>
        <v>30.7315348267405</v>
      </c>
      <c r="E25" s="78" t="n">
        <f aca="false">D25*EXP(-01_Inputs!$C$20*01_Inputs!$C$22)</f>
        <v>29.4086638716701</v>
      </c>
      <c r="F25" s="80" t="n">
        <f aca="false">AVERAGE(E24:E25)</f>
        <v>16.9841639520705</v>
      </c>
    </row>
    <row r="26" customFormat="false" ht="15" hidden="false" customHeight="false" outlineLevel="0" collapsed="false">
      <c r="A26" s="76" t="n">
        <v>15</v>
      </c>
      <c r="B26" s="77" t="n">
        <v>0.407312</v>
      </c>
      <c r="C26" s="78" t="n">
        <f aca="false">05_Unit_Economics!$B$15*EXP((01_Inputs!$C$20-01_Inputs!$C$21^2/2)*01_Inputs!$C$22+01_Inputs!$C$21*SQRT(01_Inputs!$C$22)*B26)</f>
        <v>62.4125595743679</v>
      </c>
      <c r="D26" s="78" t="n">
        <f aca="false">MAX(C26-05_Unit_Economics!$B$21,0)</f>
        <v>24.5049540998645</v>
      </c>
      <c r="E26" s="78" t="n">
        <f aca="false">D26*EXP(-01_Inputs!$C$20*01_Inputs!$C$22)</f>
        <v>23.4501128035607</v>
      </c>
      <c r="F26" s="79"/>
    </row>
    <row r="27" customFormat="false" ht="15" hidden="false" customHeight="false" outlineLevel="0" collapsed="false">
      <c r="A27" s="76" t="n">
        <v>16</v>
      </c>
      <c r="B27" s="77" t="n">
        <v>-0.407312</v>
      </c>
      <c r="C27" s="78" t="n">
        <f aca="false">05_Unit_Economics!$B$15*EXP((01_Inputs!$C$20-01_Inputs!$C$21^2/2)*01_Inputs!$C$22+01_Inputs!$C$21*SQRT(01_Inputs!$C$22)*B27)</f>
        <v>46.9295776575322</v>
      </c>
      <c r="D27" s="78" t="n">
        <f aca="false">MAX(C27-05_Unit_Economics!$B$21,0)</f>
        <v>9.02197218302869</v>
      </c>
      <c r="E27" s="78" t="n">
        <f aca="false">D27*EXP(-01_Inputs!$C$20*01_Inputs!$C$22)</f>
        <v>8.63361198476104</v>
      </c>
      <c r="F27" s="80" t="n">
        <f aca="false">AVERAGE(E26:E27)</f>
        <v>16.0418623941609</v>
      </c>
    </row>
    <row r="28" customFormat="false" ht="15" hidden="false" customHeight="false" outlineLevel="0" collapsed="false">
      <c r="A28" s="76" t="n">
        <v>17</v>
      </c>
      <c r="B28" s="77" t="n">
        <v>-0.095903</v>
      </c>
      <c r="C28" s="78" t="n">
        <f aca="false">05_Unit_Economics!$B$15*EXP((01_Inputs!$C$20-01_Inputs!$C$21^2/2)*01_Inputs!$C$22+01_Inputs!$C$21*SQRT(01_Inputs!$C$22)*B28)</f>
        <v>52.3337396337608</v>
      </c>
      <c r="D28" s="78" t="n">
        <f aca="false">MAX(C28-05_Unit_Economics!$B$21,0)</f>
        <v>14.4261341592573</v>
      </c>
      <c r="E28" s="78" t="n">
        <f aca="false">D28*EXP(-01_Inputs!$C$20*01_Inputs!$C$22)</f>
        <v>13.8051461747384</v>
      </c>
      <c r="F28" s="79"/>
    </row>
    <row r="29" customFormat="false" ht="15" hidden="false" customHeight="false" outlineLevel="0" collapsed="false">
      <c r="A29" s="76" t="n">
        <v>18</v>
      </c>
      <c r="B29" s="77" t="n">
        <v>0.095903</v>
      </c>
      <c r="C29" s="78" t="n">
        <f aca="false">05_Unit_Economics!$B$15*EXP((01_Inputs!$C$20-01_Inputs!$C$21^2/2)*01_Inputs!$C$22+01_Inputs!$C$21*SQRT(01_Inputs!$C$22)*B29)</f>
        <v>55.9676239811677</v>
      </c>
      <c r="D29" s="78" t="n">
        <f aca="false">MAX(C29-05_Unit_Economics!$B$21,0)</f>
        <v>18.0600185066642</v>
      </c>
      <c r="E29" s="78" t="n">
        <f aca="false">D29*EXP(-01_Inputs!$C$20*01_Inputs!$C$22)</f>
        <v>17.2826061819887</v>
      </c>
      <c r="F29" s="80" t="n">
        <f aca="false">AVERAGE(E28:E29)</f>
        <v>15.5438761783636</v>
      </c>
    </row>
    <row r="30" customFormat="false" ht="15" hidden="false" customHeight="false" outlineLevel="0" collapsed="false">
      <c r="A30" s="76" t="n">
        <v>19</v>
      </c>
      <c r="B30" s="77" t="n">
        <v>-0.486942</v>
      </c>
      <c r="C30" s="78" t="n">
        <f aca="false">05_Unit_Economics!$B$15*EXP((01_Inputs!$C$20-01_Inputs!$C$21^2/2)*01_Inputs!$C$22+01_Inputs!$C$21*SQRT(01_Inputs!$C$22)*B30)</f>
        <v>45.6396853296522</v>
      </c>
      <c r="D30" s="78" t="n">
        <f aca="false">MAX(C30-05_Unit_Economics!$B$21,0)</f>
        <v>7.73207985514875</v>
      </c>
      <c r="E30" s="78" t="n">
        <f aca="false">D30*EXP(-01_Inputs!$C$20*01_Inputs!$C$22)</f>
        <v>7.39924441688222</v>
      </c>
      <c r="F30" s="79"/>
    </row>
    <row r="31" customFormat="false" ht="15" hidden="false" customHeight="false" outlineLevel="0" collapsed="false">
      <c r="A31" s="76" t="n">
        <v>20</v>
      </c>
      <c r="B31" s="77" t="n">
        <v>0.486942</v>
      </c>
      <c r="C31" s="78" t="n">
        <f aca="false">05_Unit_Economics!$B$15*EXP((01_Inputs!$C$20-01_Inputs!$C$21^2/2)*01_Inputs!$C$22+01_Inputs!$C$21*SQRT(01_Inputs!$C$22)*B31)</f>
        <v>64.1764955256533</v>
      </c>
      <c r="D31" s="78" t="n">
        <f aca="false">MAX(C31-05_Unit_Economics!$B$21,0)</f>
        <v>26.2688900511499</v>
      </c>
      <c r="E31" s="78" t="n">
        <f aca="false">D31*EXP(-01_Inputs!$C$20*01_Inputs!$C$22)</f>
        <v>25.1381182928722</v>
      </c>
      <c r="F31" s="80" t="n">
        <f aca="false">AVERAGE(E30:E31)</f>
        <v>16.2686813548772</v>
      </c>
    </row>
    <row r="32" customFormat="false" ht="15" hidden="false" customHeight="false" outlineLevel="0" collapsed="false">
      <c r="A32" s="76" t="n">
        <v>21</v>
      </c>
      <c r="B32" s="77" t="n">
        <v>-0.520453</v>
      </c>
      <c r="C32" s="78" t="n">
        <f aca="false">05_Unit_Economics!$B$15*EXP((01_Inputs!$C$20-01_Inputs!$C$21^2/2)*01_Inputs!$C$22+01_Inputs!$C$21*SQRT(01_Inputs!$C$22)*B32)</f>
        <v>45.1075113017838</v>
      </c>
      <c r="D32" s="78" t="n">
        <f aca="false">MAX(C32-05_Unit_Economics!$B$21,0)</f>
        <v>7.19990582728038</v>
      </c>
      <c r="E32" s="78" t="n">
        <f aca="false">D32*EXP(-01_Inputs!$C$20*01_Inputs!$C$22)</f>
        <v>6.88997837484921</v>
      </c>
      <c r="F32" s="79"/>
    </row>
    <row r="33" customFormat="false" ht="15" hidden="false" customHeight="false" outlineLevel="0" collapsed="false">
      <c r="A33" s="76" t="n">
        <v>22</v>
      </c>
      <c r="B33" s="77" t="n">
        <v>0.520453</v>
      </c>
      <c r="C33" s="78" t="n">
        <f aca="false">05_Unit_Economics!$B$15*EXP((01_Inputs!$C$20-01_Inputs!$C$21^2/2)*01_Inputs!$C$22+01_Inputs!$C$21*SQRT(01_Inputs!$C$22)*B33)</f>
        <v>64.9336435733447</v>
      </c>
      <c r="D33" s="78" t="n">
        <f aca="false">MAX(C33-05_Unit_Economics!$B$21,0)</f>
        <v>27.0260380988413</v>
      </c>
      <c r="E33" s="78" t="n">
        <f aca="false">D33*EXP(-01_Inputs!$C$20*01_Inputs!$C$22)</f>
        <v>25.8626741135035</v>
      </c>
      <c r="F33" s="80" t="n">
        <f aca="false">AVERAGE(E32:E33)</f>
        <v>16.3763262441763</v>
      </c>
    </row>
    <row r="34" customFormat="false" ht="15" hidden="false" customHeight="false" outlineLevel="0" collapsed="false">
      <c r="A34" s="76" t="n">
        <v>23</v>
      </c>
      <c r="B34" s="77" t="n">
        <v>0.484482</v>
      </c>
      <c r="C34" s="78" t="n">
        <f aca="false">05_Unit_Economics!$B$15*EXP((01_Inputs!$C$20-01_Inputs!$C$21^2/2)*01_Inputs!$C$22+01_Inputs!$C$21*SQRT(01_Inputs!$C$22)*B34)</f>
        <v>64.1212633438721</v>
      </c>
      <c r="D34" s="78" t="n">
        <f aca="false">MAX(C34-05_Unit_Economics!$B$21,0)</f>
        <v>26.2136578693686</v>
      </c>
      <c r="E34" s="78" t="n">
        <f aca="false">D34*EXP(-01_Inputs!$C$20*01_Inputs!$C$22)</f>
        <v>25.0852636379367</v>
      </c>
      <c r="F34" s="79"/>
    </row>
    <row r="35" customFormat="false" ht="15" hidden="false" customHeight="false" outlineLevel="0" collapsed="false">
      <c r="A35" s="76" t="n">
        <v>24</v>
      </c>
      <c r="B35" s="77" t="n">
        <v>-0.484482</v>
      </c>
      <c r="C35" s="78" t="n">
        <f aca="false">05_Unit_Economics!$B$15*EXP((01_Inputs!$C$20-01_Inputs!$C$21^2/2)*01_Inputs!$C$22+01_Inputs!$C$21*SQRT(01_Inputs!$C$22)*B35)</f>
        <v>45.6789980204058</v>
      </c>
      <c r="D35" s="78" t="n">
        <f aca="false">MAX(C35-05_Unit_Economics!$B$21,0)</f>
        <v>7.77139254590234</v>
      </c>
      <c r="E35" s="78" t="n">
        <f aca="false">D35*EXP(-01_Inputs!$C$20*01_Inputs!$C$22)</f>
        <v>7.43686485187778</v>
      </c>
      <c r="F35" s="80" t="n">
        <f aca="false">AVERAGE(E34:E35)</f>
        <v>16.2610642449073</v>
      </c>
    </row>
    <row r="36" customFormat="false" ht="15" hidden="false" customHeight="false" outlineLevel="0" collapsed="false">
      <c r="A36" s="76" t="n">
        <v>25</v>
      </c>
      <c r="B36" s="77" t="n">
        <v>0.766376</v>
      </c>
      <c r="C36" s="78" t="n">
        <f aca="false">05_Unit_Economics!$B$15*EXP((01_Inputs!$C$20-01_Inputs!$C$21^2/2)*01_Inputs!$C$22+01_Inputs!$C$21*SQRT(01_Inputs!$C$22)*B36)</f>
        <v>70.7702652651972</v>
      </c>
      <c r="D36" s="78" t="n">
        <f aca="false">MAX(C36-05_Unit_Economics!$B$21,0)</f>
        <v>32.8626597906937</v>
      </c>
      <c r="E36" s="78" t="n">
        <f aca="false">D36*EXP(-01_Inputs!$C$20*01_Inputs!$C$22)</f>
        <v>31.4480523397947</v>
      </c>
      <c r="F36" s="79"/>
    </row>
    <row r="37" customFormat="false" ht="15" hidden="false" customHeight="false" outlineLevel="0" collapsed="false">
      <c r="A37" s="76" t="n">
        <v>26</v>
      </c>
      <c r="B37" s="77" t="n">
        <v>-0.766376</v>
      </c>
      <c r="C37" s="78" t="n">
        <f aca="false">05_Unit_Economics!$B$15*EXP((01_Inputs!$C$20-01_Inputs!$C$21^2/2)*01_Inputs!$C$22+01_Inputs!$C$21*SQRT(01_Inputs!$C$22)*B37)</f>
        <v>41.3873686975008</v>
      </c>
      <c r="D37" s="78" t="n">
        <f aca="false">MAX(C37-05_Unit_Economics!$B$21,0)</f>
        <v>3.47976322299735</v>
      </c>
      <c r="E37" s="78" t="n">
        <f aca="false">D37*EXP(-01_Inputs!$C$20*01_Inputs!$C$22)</f>
        <v>3.32997318731648</v>
      </c>
      <c r="F37" s="80" t="n">
        <f aca="false">AVERAGE(E36:E37)</f>
        <v>17.3890127635556</v>
      </c>
    </row>
    <row r="38" customFormat="false" ht="15" hidden="false" customHeight="false" outlineLevel="0" collapsed="false">
      <c r="A38" s="76" t="n">
        <v>27</v>
      </c>
      <c r="B38" s="77" t="n">
        <v>-1.051885</v>
      </c>
      <c r="C38" s="78" t="n">
        <f aca="false">05_Unit_Economics!$B$15*EXP((01_Inputs!$C$20-01_Inputs!$C$21^2/2)*01_Inputs!$C$22+01_Inputs!$C$21*SQRT(01_Inputs!$C$22)*B38)</f>
        <v>37.4515306273565</v>
      </c>
      <c r="D38" s="78" t="n">
        <f aca="false">MAX(C38-05_Unit_Economics!$B$21,0)</f>
        <v>0</v>
      </c>
      <c r="E38" s="78" t="n">
        <f aca="false">D38*EXP(-01_Inputs!$C$20*01_Inputs!$C$22)</f>
        <v>0</v>
      </c>
      <c r="F38" s="79"/>
    </row>
    <row r="39" customFormat="false" ht="15" hidden="false" customHeight="false" outlineLevel="0" collapsed="false">
      <c r="A39" s="76" t="n">
        <v>28</v>
      </c>
      <c r="B39" s="77" t="n">
        <v>1.051885</v>
      </c>
      <c r="C39" s="78" t="n">
        <f aca="false">05_Unit_Economics!$B$15*EXP((01_Inputs!$C$20-01_Inputs!$C$21^2/2)*01_Inputs!$C$22+01_Inputs!$C$21*SQRT(01_Inputs!$C$22)*B39)</f>
        <v>78.2076196162505</v>
      </c>
      <c r="D39" s="78" t="n">
        <f aca="false">MAX(C39-05_Unit_Economics!$B$21,0)</f>
        <v>40.300014141747</v>
      </c>
      <c r="E39" s="78" t="n">
        <f aca="false">D39*EXP(-01_Inputs!$C$20*01_Inputs!$C$22)</f>
        <v>38.5652580191645</v>
      </c>
      <c r="F39" s="80" t="n">
        <f aca="false">AVERAGE(E38:E39)</f>
        <v>19.2826290095823</v>
      </c>
    </row>
    <row r="40" customFormat="false" ht="15" hidden="false" customHeight="false" outlineLevel="0" collapsed="false">
      <c r="A40" s="76" t="n">
        <v>29</v>
      </c>
      <c r="B40" s="77" t="n">
        <v>0.566322</v>
      </c>
      <c r="C40" s="78" t="n">
        <f aca="false">05_Unit_Economics!$B$15*EXP((01_Inputs!$C$20-01_Inputs!$C$21^2/2)*01_Inputs!$C$22+01_Inputs!$C$21*SQRT(01_Inputs!$C$22)*B40)</f>
        <v>65.9845108473342</v>
      </c>
      <c r="D40" s="78" t="n">
        <f aca="false">MAX(C40-05_Unit_Economics!$B$21,0)</f>
        <v>28.0769053728307</v>
      </c>
      <c r="E40" s="78" t="n">
        <f aca="false">D40*EXP(-01_Inputs!$C$20*01_Inputs!$C$22)</f>
        <v>26.8683057101266</v>
      </c>
      <c r="F40" s="79"/>
    </row>
    <row r="41" customFormat="false" ht="15" hidden="false" customHeight="false" outlineLevel="0" collapsed="false">
      <c r="A41" s="76" t="n">
        <v>30</v>
      </c>
      <c r="B41" s="77" t="n">
        <v>-0.566322</v>
      </c>
      <c r="C41" s="78" t="n">
        <f aca="false">05_Unit_Economics!$B$15*EXP((01_Inputs!$C$20-01_Inputs!$C$21^2/2)*01_Inputs!$C$22+01_Inputs!$C$21*SQRT(01_Inputs!$C$22)*B41)</f>
        <v>44.3891304752922</v>
      </c>
      <c r="D41" s="78" t="n">
        <f aca="false">MAX(C41-05_Unit_Economics!$B$21,0)</f>
        <v>6.48152500078873</v>
      </c>
      <c r="E41" s="78" t="n">
        <f aca="false">D41*EXP(-01_Inputs!$C$20*01_Inputs!$C$22)</f>
        <v>6.20252099996527</v>
      </c>
      <c r="F41" s="80" t="n">
        <f aca="false">AVERAGE(E40:E41)</f>
        <v>16.5354133550459</v>
      </c>
    </row>
    <row r="42" customFormat="false" ht="15" hidden="false" customHeight="false" outlineLevel="0" collapsed="false">
      <c r="A42" s="76" t="n">
        <v>31</v>
      </c>
      <c r="B42" s="77" t="n">
        <v>-0.062116</v>
      </c>
      <c r="C42" s="78" t="n">
        <f aca="false">05_Unit_Economics!$B$15*EXP((01_Inputs!$C$20-01_Inputs!$C$21^2/2)*01_Inputs!$C$22+01_Inputs!$C$21*SQRT(01_Inputs!$C$22)*B42)</f>
        <v>52.9562833300313</v>
      </c>
      <c r="D42" s="78" t="n">
        <f aca="false">MAX(C42-05_Unit_Economics!$B$21,0)</f>
        <v>15.0486778555278</v>
      </c>
      <c r="E42" s="78" t="n">
        <f aca="false">D42*EXP(-01_Inputs!$C$20*01_Inputs!$C$22)</f>
        <v>14.4008918285843</v>
      </c>
      <c r="F42" s="79"/>
    </row>
    <row r="43" customFormat="false" ht="15" hidden="false" customHeight="false" outlineLevel="0" collapsed="false">
      <c r="A43" s="76" t="n">
        <v>32</v>
      </c>
      <c r="B43" s="77" t="n">
        <v>0.062116</v>
      </c>
      <c r="C43" s="78" t="n">
        <f aca="false">05_Unit_Economics!$B$15*EXP((01_Inputs!$C$20-01_Inputs!$C$21^2/2)*01_Inputs!$C$22+01_Inputs!$C$21*SQRT(01_Inputs!$C$22)*B43)</f>
        <v>55.3096795539205</v>
      </c>
      <c r="D43" s="78" t="n">
        <f aca="false">MAX(C43-05_Unit_Economics!$B$21,0)</f>
        <v>17.402074079417</v>
      </c>
      <c r="E43" s="78" t="n">
        <f aca="false">D43*EXP(-01_Inputs!$C$20*01_Inputs!$C$22)</f>
        <v>16.6529836585373</v>
      </c>
      <c r="F43" s="80" t="n">
        <f aca="false">AVERAGE(E42:E43)</f>
        <v>15.5269377435608</v>
      </c>
    </row>
    <row r="44" customFormat="false" ht="15" hidden="false" customHeight="false" outlineLevel="0" collapsed="false">
      <c r="A44" s="76" t="n">
        <v>33</v>
      </c>
      <c r="B44" s="77" t="n">
        <v>1.618551</v>
      </c>
      <c r="C44" s="78" t="n">
        <f aca="false">05_Unit_Economics!$B$15*EXP((01_Inputs!$C$20-01_Inputs!$C$21^2/2)*01_Inputs!$C$22+01_Inputs!$C$21*SQRT(01_Inputs!$C$22)*B44)</f>
        <v>95.3639076501625</v>
      </c>
      <c r="D44" s="78" t="n">
        <f aca="false">MAX(C44-05_Unit_Economics!$B$21,0)</f>
        <v>57.456302175659</v>
      </c>
      <c r="E44" s="78" t="n">
        <f aca="false">D44*EXP(-01_Inputs!$C$20*01_Inputs!$C$22)</f>
        <v>54.9830357487641</v>
      </c>
      <c r="F44" s="79"/>
    </row>
    <row r="45" customFormat="false" ht="15" hidden="false" customHeight="false" outlineLevel="0" collapsed="false">
      <c r="A45" s="76" t="n">
        <v>34</v>
      </c>
      <c r="B45" s="77" t="n">
        <v>-1.618551</v>
      </c>
      <c r="C45" s="78" t="n">
        <f aca="false">05_Unit_Economics!$B$15*EXP((01_Inputs!$C$20-01_Inputs!$C$21^2/2)*01_Inputs!$C$22+01_Inputs!$C$21*SQRT(01_Inputs!$C$22)*B45)</f>
        <v>30.7138741849329</v>
      </c>
      <c r="D45" s="78" t="n">
        <f aca="false">MAX(C45-05_Unit_Economics!$B$21,0)</f>
        <v>0</v>
      </c>
      <c r="E45" s="78" t="n">
        <f aca="false">D45*EXP(-01_Inputs!$C$20*01_Inputs!$C$22)</f>
        <v>0</v>
      </c>
      <c r="F45" s="80" t="n">
        <f aca="false">AVERAGE(E44:E45)</f>
        <v>27.4915178743821</v>
      </c>
    </row>
    <row r="46" customFormat="false" ht="15" hidden="false" customHeight="false" outlineLevel="0" collapsed="false">
      <c r="A46" s="76" t="n">
        <v>35</v>
      </c>
      <c r="B46" s="77" t="n">
        <v>-1.374576</v>
      </c>
      <c r="C46" s="78" t="n">
        <f aca="false">05_Unit_Economics!$B$15*EXP((01_Inputs!$C$20-01_Inputs!$C$21^2/2)*01_Inputs!$C$22+01_Inputs!$C$21*SQRT(01_Inputs!$C$22)*B46)</f>
        <v>33.4518044680522</v>
      </c>
      <c r="D46" s="78" t="n">
        <f aca="false">MAX(C46-05_Unit_Economics!$B$21,0)</f>
        <v>0</v>
      </c>
      <c r="E46" s="78" t="n">
        <f aca="false">D46*EXP(-01_Inputs!$C$20*01_Inputs!$C$22)</f>
        <v>0</v>
      </c>
      <c r="F46" s="79"/>
    </row>
    <row r="47" customFormat="false" ht="15" hidden="false" customHeight="false" outlineLevel="0" collapsed="false">
      <c r="A47" s="76" t="n">
        <v>36</v>
      </c>
      <c r="B47" s="77" t="n">
        <v>1.374576</v>
      </c>
      <c r="C47" s="78" t="n">
        <f aca="false">05_Unit_Economics!$B$15*EXP((01_Inputs!$C$20-01_Inputs!$C$21^2/2)*01_Inputs!$C$22+01_Inputs!$C$21*SQRT(01_Inputs!$C$22)*B47)</f>
        <v>87.5586566383275</v>
      </c>
      <c r="D47" s="78" t="n">
        <f aca="false">MAX(C47-05_Unit_Economics!$B$21,0)</f>
        <v>49.651051163824</v>
      </c>
      <c r="E47" s="78" t="n">
        <f aca="false">D47*EXP(-01_Inputs!$C$20*01_Inputs!$C$22)</f>
        <v>47.5137699039181</v>
      </c>
      <c r="F47" s="80" t="n">
        <f aca="false">AVERAGE(E46:E47)</f>
        <v>23.756884951959</v>
      </c>
    </row>
    <row r="48" customFormat="false" ht="15" hidden="false" customHeight="false" outlineLevel="0" collapsed="false">
      <c r="A48" s="76" t="n">
        <v>37</v>
      </c>
      <c r="B48" s="77" t="n">
        <v>0.899679</v>
      </c>
      <c r="C48" s="78" t="n">
        <f aca="false">05_Unit_Economics!$B$15*EXP((01_Inputs!$C$20-01_Inputs!$C$21^2/2)*01_Inputs!$C$22+01_Inputs!$C$21*SQRT(01_Inputs!$C$22)*B48)</f>
        <v>74.1503642085328</v>
      </c>
      <c r="D48" s="78" t="n">
        <f aca="false">MAX(C48-05_Unit_Economics!$B$21,0)</f>
        <v>36.2427587340293</v>
      </c>
      <c r="E48" s="78" t="n">
        <f aca="false">D48*EXP(-01_Inputs!$C$20*01_Inputs!$C$22)</f>
        <v>34.6826514002702</v>
      </c>
      <c r="F48" s="79"/>
    </row>
    <row r="49" customFormat="false" ht="15" hidden="false" customHeight="false" outlineLevel="0" collapsed="false">
      <c r="A49" s="76" t="n">
        <v>38</v>
      </c>
      <c r="B49" s="77" t="n">
        <v>-0.899679</v>
      </c>
      <c r="C49" s="78" t="n">
        <f aca="false">05_Unit_Economics!$B$15*EXP((01_Inputs!$C$20-01_Inputs!$C$21^2/2)*01_Inputs!$C$22+01_Inputs!$C$21*SQRT(01_Inputs!$C$22)*B49)</f>
        <v>39.5007508407302</v>
      </c>
      <c r="D49" s="78" t="n">
        <f aca="false">MAX(C49-05_Unit_Economics!$B$21,0)</f>
        <v>1.59314536622674</v>
      </c>
      <c r="E49" s="78" t="n">
        <f aca="false">D49*EXP(-01_Inputs!$C$20*01_Inputs!$C$22)</f>
        <v>1.52456676304052</v>
      </c>
      <c r="F49" s="80" t="n">
        <f aca="false">AVERAGE(E48:E49)</f>
        <v>18.1036090816553</v>
      </c>
    </row>
    <row r="50" customFormat="false" ht="15" hidden="false" customHeight="false" outlineLevel="0" collapsed="false">
      <c r="A50" s="76" t="n">
        <v>39</v>
      </c>
      <c r="B50" s="77" t="n">
        <v>1.170331</v>
      </c>
      <c r="C50" s="78" t="n">
        <f aca="false">05_Unit_Economics!$B$15*EXP((01_Inputs!$C$20-01_Inputs!$C$21^2/2)*01_Inputs!$C$22+01_Inputs!$C$21*SQRT(01_Inputs!$C$22)*B50)</f>
        <v>81.5179450239295</v>
      </c>
      <c r="D50" s="78" t="n">
        <f aca="false">MAX(C50-05_Unit_Economics!$B$21,0)</f>
        <v>43.610339549426</v>
      </c>
      <c r="E50" s="78" t="n">
        <f aca="false">D50*EXP(-01_Inputs!$C$20*01_Inputs!$C$22)</f>
        <v>41.7330870185666</v>
      </c>
      <c r="F50" s="79"/>
    </row>
    <row r="51" customFormat="false" ht="15" hidden="false" customHeight="false" outlineLevel="0" collapsed="false">
      <c r="A51" s="76" t="n">
        <v>40</v>
      </c>
      <c r="B51" s="77" t="n">
        <v>-1.170331</v>
      </c>
      <c r="C51" s="78" t="n">
        <f aca="false">05_Unit_Economics!$B$15*EXP((01_Inputs!$C$20-01_Inputs!$C$21^2/2)*01_Inputs!$C$22+01_Inputs!$C$21*SQRT(01_Inputs!$C$22)*B51)</f>
        <v>35.9306783370318</v>
      </c>
      <c r="D51" s="78" t="n">
        <f aca="false">MAX(C51-05_Unit_Economics!$B$21,0)</f>
        <v>0</v>
      </c>
      <c r="E51" s="78" t="n">
        <f aca="false">D51*EXP(-01_Inputs!$C$20*01_Inputs!$C$22)</f>
        <v>0</v>
      </c>
      <c r="F51" s="80" t="n">
        <f aca="false">AVERAGE(E50:E51)</f>
        <v>20.8665435092833</v>
      </c>
    </row>
    <row r="52" customFormat="false" ht="15" hidden="false" customHeight="false" outlineLevel="0" collapsed="false">
      <c r="A52" s="76" t="n">
        <v>41</v>
      </c>
      <c r="B52" s="77" t="n">
        <v>-2.562246</v>
      </c>
      <c r="C52" s="78" t="n">
        <f aca="false">05_Unit_Economics!$B$15*EXP((01_Inputs!$C$20-01_Inputs!$C$21^2/2)*01_Inputs!$C$22+01_Inputs!$C$21*SQRT(01_Inputs!$C$22)*B52)</f>
        <v>22.074458812898</v>
      </c>
      <c r="D52" s="78" t="n">
        <f aca="false">MAX(C52-05_Unit_Economics!$B$21,0)</f>
        <v>0</v>
      </c>
      <c r="E52" s="78" t="n">
        <f aca="false">D52*EXP(-01_Inputs!$C$20*01_Inputs!$C$22)</f>
        <v>0</v>
      </c>
      <c r="F52" s="79"/>
    </row>
    <row r="53" customFormat="false" ht="15" hidden="false" customHeight="false" outlineLevel="0" collapsed="false">
      <c r="A53" s="76" t="n">
        <v>42</v>
      </c>
      <c r="B53" s="77" t="n">
        <v>2.562246</v>
      </c>
      <c r="C53" s="78" t="n">
        <f aca="false">05_Unit_Economics!$B$15*EXP((01_Inputs!$C$20-01_Inputs!$C$21^2/2)*01_Inputs!$C$22+01_Inputs!$C$21*SQRT(01_Inputs!$C$22)*B53)</f>
        <v>132.687060923063</v>
      </c>
      <c r="D53" s="78" t="n">
        <f aca="false">MAX(C53-05_Unit_Economics!$B$21,0)</f>
        <v>94.77945544856</v>
      </c>
      <c r="E53" s="78" t="n">
        <f aca="false">D53*EXP(-01_Inputs!$C$20*01_Inputs!$C$22)</f>
        <v>90.6995749786398</v>
      </c>
      <c r="F53" s="80" t="n">
        <f aca="false">AVERAGE(E52:E53)</f>
        <v>45.3497874893199</v>
      </c>
    </row>
    <row r="54" customFormat="false" ht="15" hidden="false" customHeight="false" outlineLevel="0" collapsed="false">
      <c r="A54" s="76" t="n">
        <v>43</v>
      </c>
      <c r="B54" s="77" t="n">
        <v>-1.035121</v>
      </c>
      <c r="C54" s="78" t="n">
        <f aca="false">05_Unit_Economics!$B$15*EXP((01_Inputs!$C$20-01_Inputs!$C$21^2/2)*01_Inputs!$C$22+01_Inputs!$C$21*SQRT(01_Inputs!$C$22)*B54)</f>
        <v>37.671919661202</v>
      </c>
      <c r="D54" s="78" t="n">
        <f aca="false">MAX(C54-05_Unit_Economics!$B$21,0)</f>
        <v>0</v>
      </c>
      <c r="E54" s="78" t="n">
        <f aca="false">D54*EXP(-01_Inputs!$C$20*01_Inputs!$C$22)</f>
        <v>0</v>
      </c>
      <c r="F54" s="79"/>
    </row>
    <row r="55" customFormat="false" ht="15" hidden="false" customHeight="false" outlineLevel="0" collapsed="false">
      <c r="A55" s="76" t="n">
        <v>44</v>
      </c>
      <c r="B55" s="77" t="n">
        <v>1.035121</v>
      </c>
      <c r="C55" s="78" t="n">
        <f aca="false">05_Unit_Economics!$B$15*EXP((01_Inputs!$C$20-01_Inputs!$C$21^2/2)*01_Inputs!$C$22+01_Inputs!$C$21*SQRT(01_Inputs!$C$22)*B55)</f>
        <v>77.7500878025922</v>
      </c>
      <c r="D55" s="78" t="n">
        <f aca="false">MAX(C55-05_Unit_Economics!$B$21,0)</f>
        <v>39.8424823280887</v>
      </c>
      <c r="E55" s="78" t="n">
        <f aca="false">D55*EXP(-01_Inputs!$C$20*01_Inputs!$C$22)</f>
        <v>38.1274211394144</v>
      </c>
      <c r="F55" s="80" t="n">
        <f aca="false">AVERAGE(E54:E55)</f>
        <v>19.0637105697072</v>
      </c>
    </row>
    <row r="56" customFormat="false" ht="15" hidden="false" customHeight="false" outlineLevel="0" collapsed="false">
      <c r="A56" s="76" t="n">
        <v>45</v>
      </c>
      <c r="B56" s="77" t="n">
        <v>0.444091</v>
      </c>
      <c r="C56" s="78" t="n">
        <f aca="false">05_Unit_Economics!$B$15*EXP((01_Inputs!$C$20-01_Inputs!$C$21^2/2)*01_Inputs!$C$22+01_Inputs!$C$21*SQRT(01_Inputs!$C$22)*B56)</f>
        <v>63.2211679095685</v>
      </c>
      <c r="D56" s="78" t="n">
        <f aca="false">MAX(C56-05_Unit_Economics!$B$21,0)</f>
        <v>25.313562435065</v>
      </c>
      <c r="E56" s="78" t="n">
        <f aca="false">D56*EXP(-01_Inputs!$C$20*01_Inputs!$C$22)</f>
        <v>24.2239137499765</v>
      </c>
      <c r="F56" s="79"/>
    </row>
    <row r="57" customFormat="false" ht="15" hidden="false" customHeight="false" outlineLevel="0" collapsed="false">
      <c r="A57" s="76" t="n">
        <v>46</v>
      </c>
      <c r="B57" s="77" t="n">
        <v>-0.444091</v>
      </c>
      <c r="C57" s="78" t="n">
        <f aca="false">05_Unit_Economics!$B$15*EXP((01_Inputs!$C$20-01_Inputs!$C$21^2/2)*01_Inputs!$C$22+01_Inputs!$C$21*SQRT(01_Inputs!$C$22)*B57)</f>
        <v>46.3293412348896</v>
      </c>
      <c r="D57" s="78" t="n">
        <f aca="false">MAX(C57-05_Unit_Economics!$B$21,0)</f>
        <v>8.42173576038614</v>
      </c>
      <c r="E57" s="78" t="n">
        <f aca="false">D57*EXP(-01_Inputs!$C$20*01_Inputs!$C$22)</f>
        <v>8.0592133646938</v>
      </c>
      <c r="F57" s="80" t="n">
        <f aca="false">AVERAGE(E56:E57)</f>
        <v>16.1415635573352</v>
      </c>
    </row>
    <row r="58" customFormat="false" ht="15" hidden="false" customHeight="false" outlineLevel="0" collapsed="false">
      <c r="A58" s="76" t="n">
        <v>47</v>
      </c>
      <c r="B58" s="77" t="n">
        <v>-1.057321</v>
      </c>
      <c r="C58" s="78" t="n">
        <f aca="false">05_Unit_Economics!$B$15*EXP((01_Inputs!$C$20-01_Inputs!$C$21^2/2)*01_Inputs!$C$22+01_Inputs!$C$21*SQRT(01_Inputs!$C$22)*B58)</f>
        <v>37.3803430873659</v>
      </c>
      <c r="D58" s="78" t="n">
        <f aca="false">MAX(C58-05_Unit_Economics!$B$21,0)</f>
        <v>0</v>
      </c>
      <c r="E58" s="78" t="n">
        <f aca="false">D58*EXP(-01_Inputs!$C$20*01_Inputs!$C$22)</f>
        <v>0</v>
      </c>
      <c r="F58" s="79"/>
    </row>
    <row r="59" customFormat="false" ht="15" hidden="false" customHeight="false" outlineLevel="0" collapsed="false">
      <c r="A59" s="76" t="n">
        <v>48</v>
      </c>
      <c r="B59" s="77" t="n">
        <v>1.057321</v>
      </c>
      <c r="C59" s="78" t="n">
        <f aca="false">05_Unit_Economics!$B$15*EXP((01_Inputs!$C$20-01_Inputs!$C$21^2/2)*01_Inputs!$C$22+01_Inputs!$C$21*SQRT(01_Inputs!$C$22)*B59)</f>
        <v>78.3565590745103</v>
      </c>
      <c r="D59" s="78" t="n">
        <f aca="false">MAX(C59-05_Unit_Economics!$B$21,0)</f>
        <v>40.4489536000068</v>
      </c>
      <c r="E59" s="78" t="n">
        <f aca="false">D59*EXP(-01_Inputs!$C$20*01_Inputs!$C$22)</f>
        <v>38.7077862231702</v>
      </c>
      <c r="F59" s="80" t="n">
        <f aca="false">AVERAGE(E58:E59)</f>
        <v>19.3538931115851</v>
      </c>
    </row>
    <row r="60" customFormat="false" ht="15" hidden="false" customHeight="false" outlineLevel="0" collapsed="false">
      <c r="A60" s="76" t="n">
        <v>49</v>
      </c>
      <c r="B60" s="77" t="n">
        <v>0.909883</v>
      </c>
      <c r="C60" s="78" t="n">
        <f aca="false">05_Unit_Economics!$B$15*EXP((01_Inputs!$C$20-01_Inputs!$C$21^2/2)*01_Inputs!$C$22+01_Inputs!$C$21*SQRT(01_Inputs!$C$22)*B60)</f>
        <v>74.4156582728947</v>
      </c>
      <c r="D60" s="78" t="n">
        <f aca="false">MAX(C60-05_Unit_Economics!$B$21,0)</f>
        <v>36.5080527983912</v>
      </c>
      <c r="E60" s="78" t="n">
        <f aca="false">D60*EXP(-01_Inputs!$C$20*01_Inputs!$C$22)</f>
        <v>34.9365256050554</v>
      </c>
      <c r="F60" s="79"/>
    </row>
    <row r="61" customFormat="false" ht="15" hidden="false" customHeight="false" outlineLevel="0" collapsed="false">
      <c r="A61" s="76" t="n">
        <v>50</v>
      </c>
      <c r="B61" s="77" t="n">
        <v>-0.909883</v>
      </c>
      <c r="C61" s="78" t="n">
        <f aca="false">05_Unit_Economics!$B$15*EXP((01_Inputs!$C$20-01_Inputs!$C$21^2/2)*01_Inputs!$C$22+01_Inputs!$C$21*SQRT(01_Inputs!$C$22)*B61)</f>
        <v>39.3599294735731</v>
      </c>
      <c r="D61" s="78" t="n">
        <f aca="false">MAX(C61-05_Unit_Economics!$B$21,0)</f>
        <v>1.45232399906963</v>
      </c>
      <c r="E61" s="78" t="n">
        <f aca="false">D61*EXP(-01_Inputs!$C$20*01_Inputs!$C$22)</f>
        <v>1.38980719844277</v>
      </c>
      <c r="F61" s="80" t="n">
        <f aca="false">AVERAGE(E60:E61)</f>
        <v>18.1631664017491</v>
      </c>
    </row>
    <row r="62" customFormat="false" ht="15" hidden="false" customHeight="false" outlineLevel="0" collapsed="false">
      <c r="A62" s="76" t="n">
        <v>51</v>
      </c>
      <c r="B62" s="77" t="n">
        <v>0.034246</v>
      </c>
      <c r="C62" s="78" t="n">
        <f aca="false">05_Unit_Economics!$B$15*EXP((01_Inputs!$C$20-01_Inputs!$C$21^2/2)*01_Inputs!$C$22+01_Inputs!$C$21*SQRT(01_Inputs!$C$22)*B62)</f>
        <v>54.7727841151294</v>
      </c>
      <c r="D62" s="78" t="n">
        <f aca="false">MAX(C62-05_Unit_Economics!$B$21,0)</f>
        <v>16.8651786406259</v>
      </c>
      <c r="E62" s="78" t="n">
        <f aca="false">D62*EXP(-01_Inputs!$C$20*01_Inputs!$C$22)</f>
        <v>16.1391994436369</v>
      </c>
      <c r="F62" s="79"/>
    </row>
    <row r="63" customFormat="false" ht="15" hidden="false" customHeight="false" outlineLevel="0" collapsed="false">
      <c r="A63" s="76" t="n">
        <v>52</v>
      </c>
      <c r="B63" s="77" t="n">
        <v>-0.034246</v>
      </c>
      <c r="C63" s="78" t="n">
        <f aca="false">05_Unit_Economics!$B$15*EXP((01_Inputs!$C$20-01_Inputs!$C$21^2/2)*01_Inputs!$C$22+01_Inputs!$C$21*SQRT(01_Inputs!$C$22)*B63)</f>
        <v>53.4753730099618</v>
      </c>
      <c r="D63" s="78" t="n">
        <f aca="false">MAX(C63-05_Unit_Economics!$B$21,0)</f>
        <v>15.5677675354583</v>
      </c>
      <c r="E63" s="78" t="n">
        <f aca="false">D63*EXP(-01_Inputs!$C$20*01_Inputs!$C$22)</f>
        <v>14.8976367520772</v>
      </c>
      <c r="F63" s="80" t="n">
        <f aca="false">AVERAGE(E62:E63)</f>
        <v>15.518418097857</v>
      </c>
    </row>
    <row r="64" customFormat="false" ht="15" hidden="false" customHeight="false" outlineLevel="0" collapsed="false">
      <c r="A64" s="76" t="n">
        <v>53</v>
      </c>
      <c r="B64" s="77" t="n">
        <v>0.83138</v>
      </c>
      <c r="C64" s="78" t="n">
        <f aca="false">05_Unit_Economics!$B$15*EXP((01_Inputs!$C$20-01_Inputs!$C$21^2/2)*01_Inputs!$C$22+01_Inputs!$C$21*SQRT(01_Inputs!$C$22)*B64)</f>
        <v>72.3988438507951</v>
      </c>
      <c r="D64" s="78" t="n">
        <f aca="false">MAX(C64-05_Unit_Economics!$B$21,0)</f>
        <v>34.4912383762916</v>
      </c>
      <c r="E64" s="78" t="n">
        <f aca="false">D64*EXP(-01_Inputs!$C$20*01_Inputs!$C$22)</f>
        <v>33.0065270623384</v>
      </c>
      <c r="F64" s="79"/>
    </row>
    <row r="65" customFormat="false" ht="15" hidden="false" customHeight="false" outlineLevel="0" collapsed="false">
      <c r="A65" s="76" t="n">
        <v>54</v>
      </c>
      <c r="B65" s="77" t="n">
        <v>-0.83138</v>
      </c>
      <c r="C65" s="78" t="n">
        <f aca="false">05_Unit_Economics!$B$15*EXP((01_Inputs!$C$20-01_Inputs!$C$21^2/2)*01_Inputs!$C$22+01_Inputs!$C$21*SQRT(01_Inputs!$C$22)*B65)</f>
        <v>40.4563789359253</v>
      </c>
      <c r="D65" s="78" t="n">
        <f aca="false">MAX(C65-05_Unit_Economics!$B$21,0)</f>
        <v>2.54877346142186</v>
      </c>
      <c r="E65" s="78" t="n">
        <f aca="false">D65*EXP(-01_Inputs!$C$20*01_Inputs!$C$22)</f>
        <v>2.43905885060992</v>
      </c>
      <c r="F65" s="80" t="n">
        <f aca="false">AVERAGE(E64:E65)</f>
        <v>17.7227929564742</v>
      </c>
    </row>
    <row r="66" customFormat="false" ht="15" hidden="false" customHeight="false" outlineLevel="0" collapsed="false">
      <c r="A66" s="76" t="n">
        <v>55</v>
      </c>
      <c r="B66" s="77" t="n">
        <v>0.329156</v>
      </c>
      <c r="C66" s="78" t="n">
        <f aca="false">05_Unit_Economics!$B$15*EXP((01_Inputs!$C$20-01_Inputs!$C$21^2/2)*01_Inputs!$C$22+01_Inputs!$C$21*SQRT(01_Inputs!$C$22)*B66)</f>
        <v>60.7284283548409</v>
      </c>
      <c r="D66" s="78" t="n">
        <f aca="false">MAX(C66-05_Unit_Economics!$B$21,0)</f>
        <v>22.8208228803375</v>
      </c>
      <c r="E66" s="78" t="n">
        <f aca="false">D66*EXP(-01_Inputs!$C$20*01_Inputs!$C$22)</f>
        <v>21.8384767681304</v>
      </c>
      <c r="F66" s="79"/>
    </row>
    <row r="67" customFormat="false" ht="15" hidden="false" customHeight="false" outlineLevel="0" collapsed="false">
      <c r="A67" s="76" t="n">
        <v>56</v>
      </c>
      <c r="B67" s="77" t="n">
        <v>-0.329156</v>
      </c>
      <c r="C67" s="78" t="n">
        <f aca="false">05_Unit_Economics!$B$15*EXP((01_Inputs!$C$20-01_Inputs!$C$21^2/2)*01_Inputs!$C$22+01_Inputs!$C$21*SQRT(01_Inputs!$C$22)*B67)</f>
        <v>48.2310367763234</v>
      </c>
      <c r="D67" s="78" t="n">
        <f aca="false">MAX(C67-05_Unit_Economics!$B$21,0)</f>
        <v>10.3234313018199</v>
      </c>
      <c r="E67" s="78" t="n">
        <f aca="false">D67*EXP(-01_Inputs!$C$20*01_Inputs!$C$22)</f>
        <v>9.87904843897769</v>
      </c>
      <c r="F67" s="80" t="n">
        <f aca="false">AVERAGE(E66:E67)</f>
        <v>15.858762603554</v>
      </c>
    </row>
    <row r="68" customFormat="false" ht="15" hidden="false" customHeight="false" outlineLevel="0" collapsed="false">
      <c r="A68" s="76" t="n">
        <v>57</v>
      </c>
      <c r="B68" s="77" t="n">
        <v>0.904308</v>
      </c>
      <c r="C68" s="78" t="n">
        <f aca="false">05_Unit_Economics!$B$15*EXP((01_Inputs!$C$20-01_Inputs!$C$21^2/2)*01_Inputs!$C$22+01_Inputs!$C$21*SQRT(01_Inputs!$C$22)*B68)</f>
        <v>74.2705962918105</v>
      </c>
      <c r="D68" s="78" t="n">
        <f aca="false">MAX(C68-05_Unit_Economics!$B$21,0)</f>
        <v>36.362990817307</v>
      </c>
      <c r="E68" s="78" t="n">
        <f aca="false">D68*EXP(-01_Inputs!$C$20*01_Inputs!$C$22)</f>
        <v>34.797707968178</v>
      </c>
      <c r="F68" s="79"/>
    </row>
    <row r="69" customFormat="false" ht="15" hidden="false" customHeight="false" outlineLevel="0" collapsed="false">
      <c r="A69" s="76" t="n">
        <v>58</v>
      </c>
      <c r="B69" s="77" t="n">
        <v>-0.904308</v>
      </c>
      <c r="C69" s="78" t="n">
        <f aca="false">05_Unit_Economics!$B$15*EXP((01_Inputs!$C$20-01_Inputs!$C$21^2/2)*01_Inputs!$C$22+01_Inputs!$C$21*SQRT(01_Inputs!$C$22)*B69)</f>
        <v>39.4368055137538</v>
      </c>
      <c r="D69" s="78" t="n">
        <f aca="false">MAX(C69-05_Unit_Economics!$B$21,0)</f>
        <v>1.52920003925031</v>
      </c>
      <c r="E69" s="78" t="n">
        <f aca="false">D69*EXP(-01_Inputs!$C$20*01_Inputs!$C$22)</f>
        <v>1.46337402932852</v>
      </c>
      <c r="F69" s="80" t="n">
        <f aca="false">AVERAGE(E68:E69)</f>
        <v>18.1305409987533</v>
      </c>
    </row>
    <row r="70" customFormat="false" ht="15" hidden="false" customHeight="false" outlineLevel="0" collapsed="false">
      <c r="A70" s="76" t="n">
        <v>59</v>
      </c>
      <c r="B70" s="77" t="n">
        <v>-0.72569</v>
      </c>
      <c r="C70" s="78" t="n">
        <f aca="false">05_Unit_Economics!$B$15*EXP((01_Inputs!$C$20-01_Inputs!$C$21^2/2)*01_Inputs!$C$22+01_Inputs!$C$21*SQRT(01_Inputs!$C$22)*B70)</f>
        <v>41.9809452306425</v>
      </c>
      <c r="D70" s="78" t="n">
        <f aca="false">MAX(C70-05_Unit_Economics!$B$21,0)</f>
        <v>4.07333975613904</v>
      </c>
      <c r="E70" s="78" t="n">
        <f aca="false">D70*EXP(-01_Inputs!$C$20*01_Inputs!$C$22)</f>
        <v>3.89799859976955</v>
      </c>
      <c r="F70" s="79"/>
    </row>
    <row r="71" customFormat="false" ht="15" hidden="false" customHeight="false" outlineLevel="0" collapsed="false">
      <c r="A71" s="76" t="n">
        <v>60</v>
      </c>
      <c r="B71" s="77" t="n">
        <v>0.72569</v>
      </c>
      <c r="C71" s="78" t="n">
        <f aca="false">05_Unit_Economics!$B$15*EXP((01_Inputs!$C$20-01_Inputs!$C$21^2/2)*01_Inputs!$C$22+01_Inputs!$C$21*SQRT(01_Inputs!$C$22)*B71)</f>
        <v>69.7696310852176</v>
      </c>
      <c r="D71" s="78" t="n">
        <f aca="false">MAX(C71-05_Unit_Economics!$B$21,0)</f>
        <v>31.8620256107141</v>
      </c>
      <c r="E71" s="78" t="n">
        <f aca="false">D71*EXP(-01_Inputs!$C$20*01_Inputs!$C$22)</f>
        <v>30.4904915012804</v>
      </c>
      <c r="F71" s="80" t="n">
        <f aca="false">AVERAGE(E70:E71)</f>
        <v>17.194245050525</v>
      </c>
    </row>
    <row r="72" customFormat="false" ht="15" hidden="false" customHeight="false" outlineLevel="0" collapsed="false">
      <c r="A72" s="76" t="n">
        <v>61</v>
      </c>
      <c r="B72" s="77" t="n">
        <v>1.391282</v>
      </c>
      <c r="C72" s="78" t="n">
        <f aca="false">05_Unit_Economics!$B$15*EXP((01_Inputs!$C$20-01_Inputs!$C$21^2/2)*01_Inputs!$C$22+01_Inputs!$C$21*SQRT(01_Inputs!$C$22)*B72)</f>
        <v>88.0721205340472</v>
      </c>
      <c r="D72" s="78" t="n">
        <f aca="false">MAX(C72-05_Unit_Economics!$B$21,0)</f>
        <v>50.1645150595437</v>
      </c>
      <c r="E72" s="78" t="n">
        <f aca="false">D72*EXP(-01_Inputs!$C$20*01_Inputs!$C$22)</f>
        <v>48.0051312109466</v>
      </c>
      <c r="F72" s="79"/>
    </row>
    <row r="73" customFormat="false" ht="15" hidden="false" customHeight="false" outlineLevel="0" collapsed="false">
      <c r="A73" s="76" t="n">
        <v>62</v>
      </c>
      <c r="B73" s="77" t="n">
        <v>-1.391282</v>
      </c>
      <c r="C73" s="78" t="n">
        <f aca="false">05_Unit_Economics!$B$15*EXP((01_Inputs!$C$20-01_Inputs!$C$21^2/2)*01_Inputs!$C$22+01_Inputs!$C$21*SQRT(01_Inputs!$C$22)*B73)</f>
        <v>33.2567791440692</v>
      </c>
      <c r="D73" s="78" t="n">
        <f aca="false">MAX(C73-05_Unit_Economics!$B$21,0)</f>
        <v>0</v>
      </c>
      <c r="E73" s="78" t="n">
        <f aca="false">D73*EXP(-01_Inputs!$C$20*01_Inputs!$C$22)</f>
        <v>0</v>
      </c>
      <c r="F73" s="80" t="n">
        <f aca="false">AVERAGE(E72:E73)</f>
        <v>24.0025656054733</v>
      </c>
    </row>
    <row r="74" customFormat="false" ht="15" hidden="false" customHeight="false" outlineLevel="0" collapsed="false">
      <c r="A74" s="76" t="n">
        <v>63</v>
      </c>
      <c r="B74" s="77" t="n">
        <v>0.85775</v>
      </c>
      <c r="C74" s="78" t="n">
        <f aca="false">05_Unit_Economics!$B$15*EXP((01_Inputs!$C$20-01_Inputs!$C$21^2/2)*01_Inputs!$C$22+01_Inputs!$C$21*SQRT(01_Inputs!$C$22)*B74)</f>
        <v>73.0701420883606</v>
      </c>
      <c r="D74" s="78" t="n">
        <f aca="false">MAX(C74-05_Unit_Economics!$B$21,0)</f>
        <v>35.1625366138571</v>
      </c>
      <c r="E74" s="78" t="n">
        <f aca="false">D74*EXP(-01_Inputs!$C$20*01_Inputs!$C$22)</f>
        <v>33.6489285674214</v>
      </c>
      <c r="F74" s="79"/>
    </row>
    <row r="75" customFormat="false" ht="15" hidden="false" customHeight="false" outlineLevel="0" collapsed="false">
      <c r="A75" s="76" t="n">
        <v>64</v>
      </c>
      <c r="B75" s="77" t="n">
        <v>-0.85775</v>
      </c>
      <c r="C75" s="78" t="n">
        <f aca="false">05_Unit_Economics!$B$15*EXP((01_Inputs!$C$20-01_Inputs!$C$21^2/2)*01_Inputs!$C$22+01_Inputs!$C$21*SQRT(01_Inputs!$C$22)*B75)</f>
        <v>40.0847046090145</v>
      </c>
      <c r="D75" s="78" t="n">
        <f aca="false">MAX(C75-05_Unit_Economics!$B$21,0)</f>
        <v>2.17709913451105</v>
      </c>
      <c r="E75" s="78" t="n">
        <f aca="false">D75*EXP(-01_Inputs!$C$20*01_Inputs!$C$22)</f>
        <v>2.08338363258149</v>
      </c>
      <c r="F75" s="80" t="n">
        <f aca="false">AVERAGE(E74:E75)</f>
        <v>17.8661561000015</v>
      </c>
    </row>
    <row r="76" customFormat="false" ht="15" hidden="false" customHeight="false" outlineLevel="0" collapsed="false">
      <c r="A76" s="76" t="n">
        <v>65</v>
      </c>
      <c r="B76" s="77" t="n">
        <v>-0.436857</v>
      </c>
      <c r="C76" s="78" t="n">
        <f aca="false">05_Unit_Economics!$B$15*EXP((01_Inputs!$C$20-01_Inputs!$C$21^2/2)*01_Inputs!$C$22+01_Inputs!$C$21*SQRT(01_Inputs!$C$22)*B76)</f>
        <v>46.4467911168975</v>
      </c>
      <c r="D76" s="78" t="n">
        <f aca="false">MAX(C76-05_Unit_Economics!$B$21,0)</f>
        <v>8.53918564239401</v>
      </c>
      <c r="E76" s="78" t="n">
        <f aca="false">D76*EXP(-01_Inputs!$C$20*01_Inputs!$C$22)</f>
        <v>8.17160749408597</v>
      </c>
      <c r="F76" s="79"/>
    </row>
    <row r="77" customFormat="false" ht="15" hidden="false" customHeight="false" outlineLevel="0" collapsed="false">
      <c r="A77" s="76" t="n">
        <v>66</v>
      </c>
      <c r="B77" s="77" t="n">
        <v>0.436857</v>
      </c>
      <c r="C77" s="78" t="n">
        <f aca="false">05_Unit_Economics!$B$15*EXP((01_Inputs!$C$20-01_Inputs!$C$21^2/2)*01_Inputs!$C$22+01_Inputs!$C$21*SQRT(01_Inputs!$C$22)*B77)</f>
        <v>63.06130070383</v>
      </c>
      <c r="D77" s="78" t="n">
        <f aca="false">MAX(C77-05_Unit_Economics!$B$21,0)</f>
        <v>25.1536952293265</v>
      </c>
      <c r="E77" s="78" t="n">
        <f aca="false">D77*EXP(-01_Inputs!$C$20*01_Inputs!$C$22)</f>
        <v>24.0709281947749</v>
      </c>
      <c r="F77" s="80" t="n">
        <f aca="false">AVERAGE(E76:E77)</f>
        <v>16.1212678444304</v>
      </c>
    </row>
    <row r="78" customFormat="false" ht="15" hidden="false" customHeight="false" outlineLevel="0" collapsed="false">
      <c r="A78" s="76" t="n">
        <v>67</v>
      </c>
      <c r="B78" s="77" t="n">
        <v>0.943113</v>
      </c>
      <c r="C78" s="78" t="n">
        <f aca="false">05_Unit_Economics!$B$15*EXP((01_Inputs!$C$20-01_Inputs!$C$21^2/2)*01_Inputs!$C$22+01_Inputs!$C$21*SQRT(01_Inputs!$C$22)*B78)</f>
        <v>75.286202203955</v>
      </c>
      <c r="D78" s="78" t="n">
        <f aca="false">MAX(C78-05_Unit_Economics!$B$21,0)</f>
        <v>37.3785967294515</v>
      </c>
      <c r="E78" s="78" t="n">
        <f aca="false">D78*EXP(-01_Inputs!$C$20*01_Inputs!$C$22)</f>
        <v>35.7695960650377</v>
      </c>
      <c r="F78" s="79"/>
    </row>
    <row r="79" customFormat="false" ht="15" hidden="false" customHeight="false" outlineLevel="0" collapsed="false">
      <c r="A79" s="76" t="n">
        <v>68</v>
      </c>
      <c r="B79" s="77" t="n">
        <v>-0.943113</v>
      </c>
      <c r="C79" s="78" t="n">
        <f aca="false">05_Unit_Economics!$B$15*EXP((01_Inputs!$C$20-01_Inputs!$C$21^2/2)*01_Inputs!$C$22+01_Inputs!$C$21*SQRT(01_Inputs!$C$22)*B79)</f>
        <v>38.9048056032342</v>
      </c>
      <c r="D79" s="78" t="n">
        <f aca="false">MAX(C79-05_Unit_Economics!$B$21,0)</f>
        <v>0.997200128730754</v>
      </c>
      <c r="E79" s="78" t="n">
        <f aca="false">D79*EXP(-01_Inputs!$C$20*01_Inputs!$C$22)</f>
        <v>0.954274609581526</v>
      </c>
      <c r="F79" s="80" t="n">
        <f aca="false">AVERAGE(E78:E79)</f>
        <v>18.3619353373096</v>
      </c>
    </row>
    <row r="80" customFormat="false" ht="15" hidden="false" customHeight="false" outlineLevel="0" collapsed="false">
      <c r="A80" s="76" t="n">
        <v>69</v>
      </c>
      <c r="B80" s="77" t="n">
        <v>1.162815</v>
      </c>
      <c r="C80" s="78" t="n">
        <f aca="false">05_Unit_Economics!$B$15*EXP((01_Inputs!$C$20-01_Inputs!$C$21^2/2)*01_Inputs!$C$22+01_Inputs!$C$21*SQRT(01_Inputs!$C$22)*B80)</f>
        <v>81.303785724975</v>
      </c>
      <c r="D80" s="78" t="n">
        <f aca="false">MAX(C80-05_Unit_Economics!$B$21,0)</f>
        <v>43.3961802504715</v>
      </c>
      <c r="E80" s="78" t="n">
        <f aca="false">D80*EXP(-01_Inputs!$C$20*01_Inputs!$C$22)</f>
        <v>41.5281464299024</v>
      </c>
      <c r="F80" s="79"/>
    </row>
    <row r="81" customFormat="false" ht="15" hidden="false" customHeight="false" outlineLevel="0" collapsed="false">
      <c r="A81" s="76" t="n">
        <v>70</v>
      </c>
      <c r="B81" s="77" t="n">
        <v>-1.162815</v>
      </c>
      <c r="C81" s="78" t="n">
        <f aca="false">05_Unit_Economics!$B$15*EXP((01_Inputs!$C$20-01_Inputs!$C$21^2/2)*01_Inputs!$C$22+01_Inputs!$C$21*SQRT(01_Inputs!$C$22)*B81)</f>
        <v>36.0253220097096</v>
      </c>
      <c r="D81" s="78" t="n">
        <f aca="false">MAX(C81-05_Unit_Economics!$B$21,0)</f>
        <v>0</v>
      </c>
      <c r="E81" s="78" t="n">
        <f aca="false">D81*EXP(-01_Inputs!$C$20*01_Inputs!$C$22)</f>
        <v>0</v>
      </c>
      <c r="F81" s="80" t="n">
        <f aca="false">AVERAGE(E80:E81)</f>
        <v>20.7640732149512</v>
      </c>
    </row>
    <row r="82" customFormat="false" ht="15" hidden="false" customHeight="false" outlineLevel="0" collapsed="false">
      <c r="A82" s="76" t="n">
        <v>71</v>
      </c>
      <c r="B82" s="77" t="n">
        <v>-0.987954</v>
      </c>
      <c r="C82" s="78" t="n">
        <f aca="false">05_Unit_Economics!$B$15*EXP((01_Inputs!$C$20-01_Inputs!$C$21^2/2)*01_Inputs!$C$22+01_Inputs!$C$21*SQRT(01_Inputs!$C$22)*B82)</f>
        <v>38.2989863719671</v>
      </c>
      <c r="D82" s="78" t="n">
        <f aca="false">MAX(C82-05_Unit_Economics!$B$21,0)</f>
        <v>0.391380897463641</v>
      </c>
      <c r="E82" s="78" t="n">
        <f aca="false">D82*EXP(-01_Inputs!$C$20*01_Inputs!$C$22)</f>
        <v>0.374533498707184</v>
      </c>
      <c r="F82" s="79"/>
    </row>
    <row r="83" customFormat="false" ht="15" hidden="false" customHeight="false" outlineLevel="0" collapsed="false">
      <c r="A83" s="76" t="n">
        <v>72</v>
      </c>
      <c r="B83" s="77" t="n">
        <v>0.987954</v>
      </c>
      <c r="C83" s="78" t="n">
        <f aca="false">05_Unit_Economics!$B$15*EXP((01_Inputs!$C$20-01_Inputs!$C$21^2/2)*01_Inputs!$C$22+01_Inputs!$C$21*SQRT(01_Inputs!$C$22)*B83)</f>
        <v>76.4770908792126</v>
      </c>
      <c r="D83" s="78" t="n">
        <f aca="false">MAX(C83-05_Unit_Economics!$B$21,0)</f>
        <v>38.5694854047091</v>
      </c>
      <c r="E83" s="78" t="n">
        <f aca="false">D83*EXP(-01_Inputs!$C$20*01_Inputs!$C$22)</f>
        <v>36.9092216957353</v>
      </c>
      <c r="F83" s="80" t="n">
        <f aca="false">AVERAGE(E82:E83)</f>
        <v>18.6418775972212</v>
      </c>
    </row>
    <row r="84" customFormat="false" ht="15" hidden="false" customHeight="false" outlineLevel="0" collapsed="false">
      <c r="A84" s="76" t="n">
        <v>73</v>
      </c>
      <c r="B84" s="77" t="n">
        <v>0.03163</v>
      </c>
      <c r="C84" s="78" t="n">
        <f aca="false">05_Unit_Economics!$B$15*EXP((01_Inputs!$C$20-01_Inputs!$C$21^2/2)*01_Inputs!$C$22+01_Inputs!$C$21*SQRT(01_Inputs!$C$22)*B84)</f>
        <v>54.7226571056404</v>
      </c>
      <c r="D84" s="78" t="n">
        <f aca="false">MAX(C84-05_Unit_Economics!$B$21,0)</f>
        <v>16.8150516311369</v>
      </c>
      <c r="E84" s="78" t="n">
        <f aca="false">D84*EXP(-01_Inputs!$C$20*01_Inputs!$C$22)</f>
        <v>16.0912302035301</v>
      </c>
      <c r="F84" s="79"/>
    </row>
    <row r="85" customFormat="false" ht="15" hidden="false" customHeight="false" outlineLevel="0" collapsed="false">
      <c r="A85" s="76" t="n">
        <v>74</v>
      </c>
      <c r="B85" s="77" t="n">
        <v>-0.03163</v>
      </c>
      <c r="C85" s="78" t="n">
        <f aca="false">05_Unit_Economics!$B$15*EXP((01_Inputs!$C$20-01_Inputs!$C$21^2/2)*01_Inputs!$C$22+01_Inputs!$C$21*SQRT(01_Inputs!$C$22)*B85)</f>
        <v>53.5243574831594</v>
      </c>
      <c r="D85" s="78" t="n">
        <f aca="false">MAX(C85-05_Unit_Economics!$B$21,0)</f>
        <v>15.616752008656</v>
      </c>
      <c r="E85" s="78" t="n">
        <f aca="false">D85*EXP(-01_Inputs!$C$20*01_Inputs!$C$22)</f>
        <v>14.9445126375585</v>
      </c>
      <c r="F85" s="80" t="n">
        <f aca="false">AVERAGE(E84:E85)</f>
        <v>15.5178714205443</v>
      </c>
    </row>
    <row r="86" customFormat="false" ht="15" hidden="false" customHeight="false" outlineLevel="0" collapsed="false">
      <c r="A86" s="76" t="n">
        <v>75</v>
      </c>
      <c r="B86" s="77" t="n">
        <v>-2.714713</v>
      </c>
      <c r="C86" s="78" t="n">
        <f aca="false">05_Unit_Economics!$B$15*EXP((01_Inputs!$C$20-01_Inputs!$C$21^2/2)*01_Inputs!$C$22+01_Inputs!$C$21*SQRT(01_Inputs!$C$22)*B86)</f>
        <v>20.9273680902065</v>
      </c>
      <c r="D86" s="78" t="n">
        <f aca="false">MAX(C86-05_Unit_Economics!$B$21,0)</f>
        <v>0</v>
      </c>
      <c r="E86" s="78" t="n">
        <f aca="false">D86*EXP(-01_Inputs!$C$20*01_Inputs!$C$22)</f>
        <v>0</v>
      </c>
      <c r="F86" s="79"/>
    </row>
    <row r="87" customFormat="false" ht="15" hidden="false" customHeight="false" outlineLevel="0" collapsed="false">
      <c r="A87" s="76" t="n">
        <v>76</v>
      </c>
      <c r="B87" s="77" t="n">
        <v>2.714713</v>
      </c>
      <c r="C87" s="78" t="n">
        <f aca="false">05_Unit_Economics!$B$15*EXP((01_Inputs!$C$20-01_Inputs!$C$21^2/2)*01_Inputs!$C$22+01_Inputs!$C$21*SQRT(01_Inputs!$C$22)*B87)</f>
        <v>139.96002979091</v>
      </c>
      <c r="D87" s="78" t="n">
        <f aca="false">MAX(C87-05_Unit_Economics!$B$21,0)</f>
        <v>102.052424316407</v>
      </c>
      <c r="E87" s="78" t="n">
        <f aca="false">D87*EXP(-01_Inputs!$C$20*01_Inputs!$C$22)</f>
        <v>97.659471319304</v>
      </c>
      <c r="F87" s="80" t="n">
        <f aca="false">AVERAGE(E86:E87)</f>
        <v>48.829735659652</v>
      </c>
    </row>
    <row r="88" customFormat="false" ht="15" hidden="false" customHeight="false" outlineLevel="0" collapsed="false">
      <c r="A88" s="76" t="n">
        <v>77</v>
      </c>
      <c r="B88" s="77" t="n">
        <v>0.917354</v>
      </c>
      <c r="C88" s="78" t="n">
        <f aca="false">05_Unit_Economics!$B$15*EXP((01_Inputs!$C$20-01_Inputs!$C$21^2/2)*01_Inputs!$C$22+01_Inputs!$C$21*SQRT(01_Inputs!$C$22)*B88)</f>
        <v>74.6104986851381</v>
      </c>
      <c r="D88" s="78" t="n">
        <f aca="false">MAX(C88-05_Unit_Economics!$B$21,0)</f>
        <v>36.7028932106346</v>
      </c>
      <c r="E88" s="78" t="n">
        <f aca="false">D88*EXP(-01_Inputs!$C$20*01_Inputs!$C$22)</f>
        <v>35.1229789086274</v>
      </c>
      <c r="F88" s="79"/>
    </row>
    <row r="89" customFormat="false" ht="15" hidden="false" customHeight="false" outlineLevel="0" collapsed="false">
      <c r="A89" s="76" t="n">
        <v>78</v>
      </c>
      <c r="B89" s="77" t="n">
        <v>-0.917354</v>
      </c>
      <c r="C89" s="78" t="n">
        <f aca="false">05_Unit_Economics!$B$15*EXP((01_Inputs!$C$20-01_Inputs!$C$21^2/2)*01_Inputs!$C$22+01_Inputs!$C$21*SQRT(01_Inputs!$C$22)*B89)</f>
        <v>39.2571436053689</v>
      </c>
      <c r="D89" s="78" t="n">
        <f aca="false">MAX(C89-05_Unit_Economics!$B$21,0)</f>
        <v>1.34953813086541</v>
      </c>
      <c r="E89" s="78" t="n">
        <f aca="false">D89*EXP(-01_Inputs!$C$20*01_Inputs!$C$22)</f>
        <v>1.29144585509243</v>
      </c>
      <c r="F89" s="80" t="n">
        <f aca="false">AVERAGE(E88:E89)</f>
        <v>18.2072123818599</v>
      </c>
    </row>
    <row r="90" customFormat="false" ht="15" hidden="false" customHeight="false" outlineLevel="0" collapsed="false">
      <c r="A90" s="76" t="n">
        <v>79</v>
      </c>
      <c r="B90" s="77" t="n">
        <v>0.533738</v>
      </c>
      <c r="C90" s="78" t="n">
        <f aca="false">05_Unit_Economics!$B$15*EXP((01_Inputs!$C$20-01_Inputs!$C$21^2/2)*01_Inputs!$C$22+01_Inputs!$C$21*SQRT(01_Inputs!$C$22)*B90)</f>
        <v>65.2362718101325</v>
      </c>
      <c r="D90" s="78" t="n">
        <f aca="false">MAX(C90-05_Unit_Economics!$B$21,0)</f>
        <v>27.328666335629</v>
      </c>
      <c r="E90" s="78" t="n">
        <f aca="false">D90*EXP(-01_Inputs!$C$20*01_Inputs!$C$22)</f>
        <v>26.1522754023406</v>
      </c>
      <c r="F90" s="79"/>
    </row>
    <row r="91" customFormat="false" ht="15" hidden="false" customHeight="false" outlineLevel="0" collapsed="false">
      <c r="A91" s="76" t="n">
        <v>80</v>
      </c>
      <c r="B91" s="77" t="n">
        <v>-0.533738</v>
      </c>
      <c r="C91" s="78" t="n">
        <f aca="false">05_Unit_Economics!$B$15*EXP((01_Inputs!$C$20-01_Inputs!$C$21^2/2)*01_Inputs!$C$22+01_Inputs!$C$21*SQRT(01_Inputs!$C$22)*B91)</f>
        <v>44.8982595123672</v>
      </c>
      <c r="D91" s="78" t="n">
        <f aca="false">MAX(C91-05_Unit_Economics!$B$21,0)</f>
        <v>6.99065403786371</v>
      </c>
      <c r="E91" s="78" t="n">
        <f aca="false">D91*EXP(-01_Inputs!$C$20*01_Inputs!$C$22)</f>
        <v>6.68973404685861</v>
      </c>
      <c r="F91" s="80" t="n">
        <f aca="false">AVERAGE(E90:E91)</f>
        <v>16.4210047245996</v>
      </c>
    </row>
    <row r="92" customFormat="false" ht="15" hidden="false" customHeight="false" outlineLevel="0" collapsed="false">
      <c r="A92" s="76" t="n">
        <v>81</v>
      </c>
      <c r="B92" s="77" t="n">
        <v>-1.058032</v>
      </c>
      <c r="C92" s="78" t="n">
        <f aca="false">05_Unit_Economics!$B$15*EXP((01_Inputs!$C$20-01_Inputs!$C$21^2/2)*01_Inputs!$C$22+01_Inputs!$C$21*SQRT(01_Inputs!$C$22)*B92)</f>
        <v>37.3710421463062</v>
      </c>
      <c r="D92" s="78" t="n">
        <f aca="false">MAX(C92-05_Unit_Economics!$B$21,0)</f>
        <v>0</v>
      </c>
      <c r="E92" s="78" t="n">
        <f aca="false">D92*EXP(-01_Inputs!$C$20*01_Inputs!$C$22)</f>
        <v>0</v>
      </c>
      <c r="F92" s="79"/>
    </row>
    <row r="93" customFormat="false" ht="15" hidden="false" customHeight="false" outlineLevel="0" collapsed="false">
      <c r="A93" s="76" t="n">
        <v>82</v>
      </c>
      <c r="B93" s="77" t="n">
        <v>1.058032</v>
      </c>
      <c r="C93" s="78" t="n">
        <f aca="false">05_Unit_Economics!$B$15*EXP((01_Inputs!$C$20-01_Inputs!$C$21^2/2)*01_Inputs!$C$22+01_Inputs!$C$21*SQRT(01_Inputs!$C$22)*B93)</f>
        <v>78.3760605306041</v>
      </c>
      <c r="D93" s="78" t="n">
        <f aca="false">MAX(C93-05_Unit_Economics!$B$21,0)</f>
        <v>40.4684550561006</v>
      </c>
      <c r="E93" s="78" t="n">
        <f aca="false">D93*EXP(-01_Inputs!$C$20*01_Inputs!$C$22)</f>
        <v>38.7264482187556</v>
      </c>
      <c r="F93" s="80" t="n">
        <f aca="false">AVERAGE(E92:E93)</f>
        <v>19.3632241093778</v>
      </c>
    </row>
    <row r="94" customFormat="false" ht="15" hidden="false" customHeight="false" outlineLevel="0" collapsed="false">
      <c r="A94" s="76" t="n">
        <v>83</v>
      </c>
      <c r="B94" s="77" t="n">
        <v>1.399589</v>
      </c>
      <c r="C94" s="78" t="n">
        <f aca="false">05_Unit_Economics!$B$15*EXP((01_Inputs!$C$20-01_Inputs!$C$21^2/2)*01_Inputs!$C$22+01_Inputs!$C$21*SQRT(01_Inputs!$C$22)*B94)</f>
        <v>88.3285584304301</v>
      </c>
      <c r="D94" s="78" t="n">
        <f aca="false">MAX(C94-05_Unit_Economics!$B$21,0)</f>
        <v>50.4209529559266</v>
      </c>
      <c r="E94" s="78" t="n">
        <f aca="false">D94*EXP(-01_Inputs!$C$20*01_Inputs!$C$22)</f>
        <v>48.2505304707363</v>
      </c>
      <c r="F94" s="79"/>
    </row>
    <row r="95" customFormat="false" ht="15" hidden="false" customHeight="false" outlineLevel="0" collapsed="false">
      <c r="A95" s="76" t="n">
        <v>84</v>
      </c>
      <c r="B95" s="77" t="n">
        <v>-1.399589</v>
      </c>
      <c r="C95" s="78" t="n">
        <f aca="false">05_Unit_Economics!$B$15*EXP((01_Inputs!$C$20-01_Inputs!$C$21^2/2)*01_Inputs!$C$22+01_Inputs!$C$21*SQRT(01_Inputs!$C$22)*B95)</f>
        <v>33.1602271496099</v>
      </c>
      <c r="D95" s="78" t="n">
        <f aca="false">MAX(C95-05_Unit_Economics!$B$21,0)</f>
        <v>0</v>
      </c>
      <c r="E95" s="78" t="n">
        <f aca="false">D95*EXP(-01_Inputs!$C$20*01_Inputs!$C$22)</f>
        <v>0</v>
      </c>
      <c r="F95" s="80" t="n">
        <f aca="false">AVERAGE(E94:E95)</f>
        <v>24.1252652353681</v>
      </c>
    </row>
    <row r="96" customFormat="false" ht="15" hidden="false" customHeight="false" outlineLevel="0" collapsed="false">
      <c r="A96" s="76" t="n">
        <v>85</v>
      </c>
      <c r="B96" s="77" t="n">
        <v>-2.693851</v>
      </c>
      <c r="C96" s="78" t="n">
        <f aca="false">05_Unit_Economics!$B$15*EXP((01_Inputs!$C$20-01_Inputs!$C$21^2/2)*01_Inputs!$C$22+01_Inputs!$C$21*SQRT(01_Inputs!$C$22)*B96)</f>
        <v>21.0807326835331</v>
      </c>
      <c r="D96" s="78" t="n">
        <f aca="false">MAX(C96-05_Unit_Economics!$B$21,0)</f>
        <v>0</v>
      </c>
      <c r="E96" s="78" t="n">
        <f aca="false">D96*EXP(-01_Inputs!$C$20*01_Inputs!$C$22)</f>
        <v>0</v>
      </c>
      <c r="F96" s="79"/>
    </row>
    <row r="97" customFormat="false" ht="15" hidden="false" customHeight="false" outlineLevel="0" collapsed="false">
      <c r="A97" s="76" t="n">
        <v>86</v>
      </c>
      <c r="B97" s="77" t="n">
        <v>2.693851</v>
      </c>
      <c r="C97" s="78" t="n">
        <f aca="false">05_Unit_Economics!$B$15*EXP((01_Inputs!$C$20-01_Inputs!$C$21^2/2)*01_Inputs!$C$22+01_Inputs!$C$21*SQRT(01_Inputs!$C$22)*B97)</f>
        <v>138.941805549225</v>
      </c>
      <c r="D97" s="78" t="n">
        <f aca="false">MAX(C97-05_Unit_Economics!$B$21,0)</f>
        <v>101.034200074722</v>
      </c>
      <c r="E97" s="78" t="n">
        <f aca="false">D97*EXP(-01_Inputs!$C$20*01_Inputs!$C$22)</f>
        <v>96.6850776016285</v>
      </c>
      <c r="F97" s="80" t="n">
        <f aca="false">AVERAGE(E96:E97)</f>
        <v>48.3425388008142</v>
      </c>
    </row>
    <row r="98" customFormat="false" ht="15" hidden="false" customHeight="false" outlineLevel="0" collapsed="false">
      <c r="A98" s="76" t="n">
        <v>87</v>
      </c>
      <c r="B98" s="77" t="n">
        <v>-1.770907</v>
      </c>
      <c r="C98" s="78" t="n">
        <f aca="false">05_Unit_Economics!$B$15*EXP((01_Inputs!$C$20-01_Inputs!$C$21^2/2)*01_Inputs!$C$22+01_Inputs!$C$21*SQRT(01_Inputs!$C$22)*B98)</f>
        <v>29.1189708307262</v>
      </c>
      <c r="D98" s="78" t="n">
        <f aca="false">MAX(C98-05_Unit_Economics!$B$21,0)</f>
        <v>0</v>
      </c>
      <c r="E98" s="78" t="n">
        <f aca="false">D98*EXP(-01_Inputs!$C$20*01_Inputs!$C$22)</f>
        <v>0</v>
      </c>
      <c r="F98" s="79"/>
    </row>
    <row r="99" customFormat="false" ht="15" hidden="false" customHeight="false" outlineLevel="0" collapsed="false">
      <c r="A99" s="76" t="n">
        <v>88</v>
      </c>
      <c r="B99" s="77" t="n">
        <v>1.770907</v>
      </c>
      <c r="C99" s="78" t="n">
        <f aca="false">05_Unit_Economics!$B$15*EXP((01_Inputs!$C$20-01_Inputs!$C$21^2/2)*01_Inputs!$C$22+01_Inputs!$C$21*SQRT(01_Inputs!$C$22)*B99)</f>
        <v>100.587176599661</v>
      </c>
      <c r="D99" s="78" t="n">
        <f aca="false">MAX(C99-05_Unit_Economics!$B$21,0)</f>
        <v>62.679571125158</v>
      </c>
      <c r="E99" s="78" t="n">
        <f aca="false">D99*EXP(-01_Inputs!$C$20*01_Inputs!$C$22)</f>
        <v>59.9814636409333</v>
      </c>
      <c r="F99" s="80" t="n">
        <f aca="false">AVERAGE(E98:E99)</f>
        <v>29.9907318204666</v>
      </c>
    </row>
    <row r="100" customFormat="false" ht="15" hidden="false" customHeight="false" outlineLevel="0" collapsed="false">
      <c r="A100" s="76" t="n">
        <v>89</v>
      </c>
      <c r="B100" s="77" t="n">
        <v>-1.332838</v>
      </c>
      <c r="C100" s="78" t="n">
        <f aca="false">05_Unit_Economics!$B$15*EXP((01_Inputs!$C$20-01_Inputs!$C$21^2/2)*01_Inputs!$C$22+01_Inputs!$C$21*SQRT(01_Inputs!$C$22)*B100)</f>
        <v>33.9440652557894</v>
      </c>
      <c r="D100" s="78" t="n">
        <f aca="false">MAX(C100-05_Unit_Economics!$B$21,0)</f>
        <v>0</v>
      </c>
      <c r="E100" s="78" t="n">
        <f aca="false">D100*EXP(-01_Inputs!$C$20*01_Inputs!$C$22)</f>
        <v>0</v>
      </c>
      <c r="F100" s="79"/>
    </row>
    <row r="101" customFormat="false" ht="15" hidden="false" customHeight="false" outlineLevel="0" collapsed="false">
      <c r="A101" s="76" t="n">
        <v>90</v>
      </c>
      <c r="B101" s="77" t="n">
        <v>1.332838</v>
      </c>
      <c r="C101" s="78" t="n">
        <f aca="false">05_Unit_Economics!$B$15*EXP((01_Inputs!$C$20-01_Inputs!$C$21^2/2)*01_Inputs!$C$22+01_Inputs!$C$21*SQRT(01_Inputs!$C$22)*B101)</f>
        <v>86.2888708019759</v>
      </c>
      <c r="D101" s="78" t="n">
        <f aca="false">MAX(C101-05_Unit_Economics!$B$21,0)</f>
        <v>48.3812653274724</v>
      </c>
      <c r="E101" s="78" t="n">
        <f aca="false">D101*EXP(-01_Inputs!$C$20*01_Inputs!$C$22)</f>
        <v>46.2986433226782</v>
      </c>
      <c r="F101" s="80" t="n">
        <f aca="false">AVERAGE(E100:E101)</f>
        <v>23.1493216613391</v>
      </c>
    </row>
    <row r="102" customFormat="false" ht="15" hidden="false" customHeight="false" outlineLevel="0" collapsed="false">
      <c r="A102" s="76" t="n">
        <v>91</v>
      </c>
      <c r="B102" s="77" t="n">
        <v>0.435743</v>
      </c>
      <c r="C102" s="78" t="n">
        <f aca="false">05_Unit_Economics!$B$15*EXP((01_Inputs!$C$20-01_Inputs!$C$21^2/2)*01_Inputs!$C$22+01_Inputs!$C$21*SQRT(01_Inputs!$C$22)*B102)</f>
        <v>63.0367178954155</v>
      </c>
      <c r="D102" s="78" t="n">
        <f aca="false">MAX(C102-05_Unit_Economics!$B$21,0)</f>
        <v>25.129112420912</v>
      </c>
      <c r="E102" s="78" t="n">
        <f aca="false">D102*EXP(-01_Inputs!$C$20*01_Inputs!$C$22)</f>
        <v>24.0474035789769</v>
      </c>
      <c r="F102" s="79"/>
    </row>
    <row r="103" customFormat="false" ht="15" hidden="false" customHeight="false" outlineLevel="0" collapsed="false">
      <c r="A103" s="76" t="n">
        <v>92</v>
      </c>
      <c r="B103" s="77" t="n">
        <v>-0.435743</v>
      </c>
      <c r="C103" s="78" t="n">
        <f aca="false">05_Unit_Economics!$B$15*EXP((01_Inputs!$C$20-01_Inputs!$C$21^2/2)*01_Inputs!$C$22+01_Inputs!$C$21*SQRT(01_Inputs!$C$22)*B103)</f>
        <v>46.4649042516801</v>
      </c>
      <c r="D103" s="78" t="n">
        <f aca="false">MAX(C103-05_Unit_Economics!$B$21,0)</f>
        <v>8.55729877717665</v>
      </c>
      <c r="E103" s="78" t="n">
        <f aca="false">D103*EXP(-01_Inputs!$C$20*01_Inputs!$C$22)</f>
        <v>8.18894093009846</v>
      </c>
      <c r="F103" s="80" t="n">
        <f aca="false">AVERAGE(E102:E103)</f>
        <v>16.1181722545377</v>
      </c>
    </row>
    <row r="104" customFormat="false" ht="15" hidden="false" customHeight="false" outlineLevel="0" collapsed="false">
      <c r="A104" s="76" t="n">
        <v>93</v>
      </c>
      <c r="B104" s="77" t="n">
        <v>1.524913</v>
      </c>
      <c r="C104" s="78" t="n">
        <f aca="false">05_Unit_Economics!$B$15*EXP((01_Inputs!$C$20-01_Inputs!$C$21^2/2)*01_Inputs!$C$22+01_Inputs!$C$21*SQRT(01_Inputs!$C$22)*B104)</f>
        <v>92.2891774298185</v>
      </c>
      <c r="D104" s="78" t="n">
        <f aca="false">MAX(C104-05_Unit_Economics!$B$21,0)</f>
        <v>54.381571955315</v>
      </c>
      <c r="E104" s="78" t="n">
        <f aca="false">D104*EXP(-01_Inputs!$C$20*01_Inputs!$C$22)</f>
        <v>52.0406604962439</v>
      </c>
      <c r="F104" s="79"/>
    </row>
    <row r="105" customFormat="false" ht="15" hidden="false" customHeight="false" outlineLevel="0" collapsed="false">
      <c r="A105" s="76" t="n">
        <v>94</v>
      </c>
      <c r="B105" s="77" t="n">
        <v>-1.524913</v>
      </c>
      <c r="C105" s="78" t="n">
        <f aca="false">05_Unit_Economics!$B$15*EXP((01_Inputs!$C$20-01_Inputs!$C$21^2/2)*01_Inputs!$C$22+01_Inputs!$C$21*SQRT(01_Inputs!$C$22)*B105)</f>
        <v>31.7371455995262</v>
      </c>
      <c r="D105" s="78" t="n">
        <f aca="false">MAX(C105-05_Unit_Economics!$B$21,0)</f>
        <v>0</v>
      </c>
      <c r="E105" s="78" t="n">
        <f aca="false">D105*EXP(-01_Inputs!$C$20*01_Inputs!$C$22)</f>
        <v>0</v>
      </c>
      <c r="F105" s="80" t="n">
        <f aca="false">AVERAGE(E104:E105)</f>
        <v>26.020330248122</v>
      </c>
    </row>
    <row r="106" customFormat="false" ht="15" hidden="false" customHeight="false" outlineLevel="0" collapsed="false">
      <c r="A106" s="76" t="n">
        <v>95</v>
      </c>
      <c r="B106" s="77" t="n">
        <v>0.898076</v>
      </c>
      <c r="C106" s="78" t="n">
        <f aca="false">05_Unit_Economics!$B$15*EXP((01_Inputs!$C$20-01_Inputs!$C$21^2/2)*01_Inputs!$C$22+01_Inputs!$C$21*SQRT(01_Inputs!$C$22)*B106)</f>
        <v>74.1087738149297</v>
      </c>
      <c r="D106" s="78" t="n">
        <f aca="false">MAX(C106-05_Unit_Economics!$B$21,0)</f>
        <v>36.2011683404263</v>
      </c>
      <c r="E106" s="78" t="n">
        <f aca="false">D106*EXP(-01_Inputs!$C$20*01_Inputs!$C$22)</f>
        <v>34.6428513085189</v>
      </c>
      <c r="F106" s="79"/>
    </row>
    <row r="107" customFormat="false" ht="15" hidden="false" customHeight="false" outlineLevel="0" collapsed="false">
      <c r="A107" s="76" t="n">
        <v>96</v>
      </c>
      <c r="B107" s="77" t="n">
        <v>-0.898076</v>
      </c>
      <c r="C107" s="78" t="n">
        <f aca="false">05_Unit_Economics!$B$15*EXP((01_Inputs!$C$20-01_Inputs!$C$21^2/2)*01_Inputs!$C$22+01_Inputs!$C$21*SQRT(01_Inputs!$C$22)*B107)</f>
        <v>39.5229189551182</v>
      </c>
      <c r="D107" s="78" t="n">
        <f aca="false">MAX(C107-05_Unit_Economics!$B$21,0)</f>
        <v>1.61531348061472</v>
      </c>
      <c r="E107" s="78" t="n">
        <f aca="false">D107*EXP(-01_Inputs!$C$20*01_Inputs!$C$22)</f>
        <v>1.54578062783381</v>
      </c>
      <c r="F107" s="80" t="n">
        <f aca="false">AVERAGE(E106:E107)</f>
        <v>18.0943159681763</v>
      </c>
    </row>
    <row r="108" customFormat="false" ht="15" hidden="false" customHeight="false" outlineLevel="0" collapsed="false">
      <c r="A108" s="76" t="n">
        <v>97</v>
      </c>
      <c r="B108" s="77" t="n">
        <v>1.066553</v>
      </c>
      <c r="C108" s="78" t="n">
        <f aca="false">05_Unit_Economics!$B$15*EXP((01_Inputs!$C$20-01_Inputs!$C$21^2/2)*01_Inputs!$C$22+01_Inputs!$C$21*SQRT(01_Inputs!$C$22)*B108)</f>
        <v>78.6101542759577</v>
      </c>
      <c r="D108" s="78" t="n">
        <f aca="false">MAX(C108-05_Unit_Economics!$B$21,0)</f>
        <v>40.7025488014543</v>
      </c>
      <c r="E108" s="78" t="n">
        <f aca="false">D108*EXP(-01_Inputs!$C$20*01_Inputs!$C$22)</f>
        <v>38.9504651547915</v>
      </c>
      <c r="F108" s="79"/>
    </row>
    <row r="109" customFormat="false" ht="15" hidden="false" customHeight="false" outlineLevel="0" collapsed="false">
      <c r="A109" s="76" t="n">
        <v>98</v>
      </c>
      <c r="B109" s="77" t="n">
        <v>-1.066553</v>
      </c>
      <c r="C109" s="78" t="n">
        <f aca="false">05_Unit_Economics!$B$15*EXP((01_Inputs!$C$20-01_Inputs!$C$21^2/2)*01_Inputs!$C$22+01_Inputs!$C$21*SQRT(01_Inputs!$C$22)*B109)</f>
        <v>37.2597546503793</v>
      </c>
      <c r="D109" s="78" t="n">
        <f aca="false">MAX(C109-05_Unit_Economics!$B$21,0)</f>
        <v>0</v>
      </c>
      <c r="E109" s="78" t="n">
        <f aca="false">D109*EXP(-01_Inputs!$C$20*01_Inputs!$C$22)</f>
        <v>0</v>
      </c>
      <c r="F109" s="80" t="n">
        <f aca="false">AVERAGE(E108:E109)</f>
        <v>19.4752325773957</v>
      </c>
    </row>
    <row r="110" customFormat="false" ht="15" hidden="false" customHeight="false" outlineLevel="0" collapsed="false">
      <c r="A110" s="76" t="n">
        <v>99</v>
      </c>
      <c r="B110" s="77" t="n">
        <v>-0.153897</v>
      </c>
      <c r="C110" s="78" t="n">
        <f aca="false">05_Unit_Economics!$B$15*EXP((01_Inputs!$C$20-01_Inputs!$C$21^2/2)*01_Inputs!$C$22+01_Inputs!$C$21*SQRT(01_Inputs!$C$22)*B110)</f>
        <v>51.282182920172</v>
      </c>
      <c r="D110" s="78" t="n">
        <f aca="false">MAX(C110-05_Unit_Economics!$B$21,0)</f>
        <v>13.3745774456686</v>
      </c>
      <c r="E110" s="78" t="n">
        <f aca="false">D110*EXP(-01_Inputs!$C$20*01_Inputs!$C$22)</f>
        <v>12.7988548161623</v>
      </c>
      <c r="F110" s="79"/>
    </row>
    <row r="111" customFormat="false" ht="15" hidden="false" customHeight="false" outlineLevel="0" collapsed="false">
      <c r="A111" s="76" t="n">
        <v>100</v>
      </c>
      <c r="B111" s="77" t="n">
        <v>0.153897</v>
      </c>
      <c r="C111" s="78" t="n">
        <f aca="false">05_Unit_Economics!$B$15*EXP((01_Inputs!$C$20-01_Inputs!$C$21^2/2)*01_Inputs!$C$22+01_Inputs!$C$21*SQRT(01_Inputs!$C$22)*B111)</f>
        <v>57.1152570847081</v>
      </c>
      <c r="D111" s="78" t="n">
        <f aca="false">MAX(C111-05_Unit_Economics!$B$21,0)</f>
        <v>19.2076516102046</v>
      </c>
      <c r="E111" s="78" t="n">
        <f aca="false">D111*EXP(-01_Inputs!$C$20*01_Inputs!$C$22)</f>
        <v>18.3808382221489</v>
      </c>
      <c r="F111" s="80" t="n">
        <f aca="false">AVERAGE(E110:E111)</f>
        <v>15.5898465191556</v>
      </c>
    </row>
    <row r="112" customFormat="false" ht="15" hidden="false" customHeight="false" outlineLevel="0" collapsed="false">
      <c r="A112" s="76" t="n">
        <v>101</v>
      </c>
      <c r="B112" s="77" t="n">
        <v>-0.336722</v>
      </c>
      <c r="C112" s="78" t="n">
        <f aca="false">05_Unit_Economics!$B$15*EXP((01_Inputs!$C$20-01_Inputs!$C$21^2/2)*01_Inputs!$C$22+01_Inputs!$C$21*SQRT(01_Inputs!$C$22)*B112)</f>
        <v>48.1034851271344</v>
      </c>
      <c r="D112" s="78" t="n">
        <f aca="false">MAX(C112-05_Unit_Economics!$B$21,0)</f>
        <v>10.1958796526309</v>
      </c>
      <c r="E112" s="78" t="n">
        <f aca="false">D112*EXP(-01_Inputs!$C$20*01_Inputs!$C$22)</f>
        <v>9.75698738350407</v>
      </c>
      <c r="F112" s="79"/>
    </row>
    <row r="113" customFormat="false" ht="15" hidden="false" customHeight="false" outlineLevel="0" collapsed="false">
      <c r="A113" s="76" t="n">
        <v>102</v>
      </c>
      <c r="B113" s="77" t="n">
        <v>0.336722</v>
      </c>
      <c r="C113" s="78" t="n">
        <f aca="false">05_Unit_Economics!$B$15*EXP((01_Inputs!$C$20-01_Inputs!$C$21^2/2)*01_Inputs!$C$22+01_Inputs!$C$21*SQRT(01_Inputs!$C$22)*B113)</f>
        <v>60.8894564210786</v>
      </c>
      <c r="D113" s="78" t="n">
        <f aca="false">MAX(C113-05_Unit_Economics!$B$21,0)</f>
        <v>22.9818509465752</v>
      </c>
      <c r="E113" s="78" t="n">
        <f aca="false">D113*EXP(-01_Inputs!$C$20*01_Inputs!$C$22)</f>
        <v>21.9925732133808</v>
      </c>
      <c r="F113" s="80" t="n">
        <f aca="false">AVERAGE(E112:E113)</f>
        <v>15.8747802984424</v>
      </c>
    </row>
    <row r="114" customFormat="false" ht="15" hidden="false" customHeight="false" outlineLevel="0" collapsed="false">
      <c r="A114" s="76" t="n">
        <v>103</v>
      </c>
      <c r="B114" s="77" t="n">
        <v>-0.025813</v>
      </c>
      <c r="C114" s="78" t="n">
        <f aca="false">05_Unit_Economics!$B$15*EXP((01_Inputs!$C$20-01_Inputs!$C$21^2/2)*01_Inputs!$C$22+01_Inputs!$C$21*SQRT(01_Inputs!$C$22)*B114)</f>
        <v>53.6334414058032</v>
      </c>
      <c r="D114" s="78" t="n">
        <f aca="false">MAX(C114-05_Unit_Economics!$B$21,0)</f>
        <v>15.7258359312997</v>
      </c>
      <c r="E114" s="78" t="n">
        <f aca="false">D114*EXP(-01_Inputs!$C$20*01_Inputs!$C$22)</f>
        <v>15.0489009290291</v>
      </c>
      <c r="F114" s="79"/>
    </row>
    <row r="115" customFormat="false" ht="15" hidden="false" customHeight="false" outlineLevel="0" collapsed="false">
      <c r="A115" s="76" t="n">
        <v>104</v>
      </c>
      <c r="B115" s="77" t="n">
        <v>0.025813</v>
      </c>
      <c r="C115" s="78" t="n">
        <f aca="false">05_Unit_Economics!$B$15*EXP((01_Inputs!$C$20-01_Inputs!$C$21^2/2)*01_Inputs!$C$22+01_Inputs!$C$21*SQRT(01_Inputs!$C$22)*B115)</f>
        <v>54.6113578502112</v>
      </c>
      <c r="D115" s="78" t="n">
        <f aca="false">MAX(C115-05_Unit_Economics!$B$21,0)</f>
        <v>16.7037523757077</v>
      </c>
      <c r="E115" s="78" t="n">
        <f aca="false">D115*EXP(-01_Inputs!$C$20*01_Inputs!$C$22)</f>
        <v>15.9847219405833</v>
      </c>
      <c r="F115" s="80" t="n">
        <f aca="false">AVERAGE(E114:E115)</f>
        <v>15.5168114348062</v>
      </c>
    </row>
    <row r="116" customFormat="false" ht="15" hidden="false" customHeight="false" outlineLevel="0" collapsed="false">
      <c r="A116" s="76" t="n">
        <v>105</v>
      </c>
      <c r="B116" s="77" t="n">
        <v>-1.276249</v>
      </c>
      <c r="C116" s="78" t="n">
        <f aca="false">05_Unit_Economics!$B$15*EXP((01_Inputs!$C$20-01_Inputs!$C$21^2/2)*01_Inputs!$C$22+01_Inputs!$C$21*SQRT(01_Inputs!$C$22)*B116)</f>
        <v>34.6230685275062</v>
      </c>
      <c r="D116" s="78" t="n">
        <f aca="false">MAX(C116-05_Unit_Economics!$B$21,0)</f>
        <v>0</v>
      </c>
      <c r="E116" s="78" t="n">
        <f aca="false">D116*EXP(-01_Inputs!$C$20*01_Inputs!$C$22)</f>
        <v>0</v>
      </c>
      <c r="F116" s="79"/>
    </row>
    <row r="117" customFormat="false" ht="15" hidden="false" customHeight="false" outlineLevel="0" collapsed="false">
      <c r="A117" s="76" t="n">
        <v>106</v>
      </c>
      <c r="B117" s="77" t="n">
        <v>1.276249</v>
      </c>
      <c r="C117" s="78" t="n">
        <f aca="false">05_Unit_Economics!$B$15*EXP((01_Inputs!$C$20-01_Inputs!$C$21^2/2)*01_Inputs!$C$22+01_Inputs!$C$21*SQRT(01_Inputs!$C$22)*B117)</f>
        <v>84.5966341493887</v>
      </c>
      <c r="D117" s="78" t="n">
        <f aca="false">MAX(C117-05_Unit_Economics!$B$21,0)</f>
        <v>46.6890286748852</v>
      </c>
      <c r="E117" s="78" t="n">
        <f aca="false">D117*EXP(-01_Inputs!$C$20*01_Inputs!$C$22)</f>
        <v>44.6792507610039</v>
      </c>
      <c r="F117" s="80" t="n">
        <f aca="false">AVERAGE(E116:E117)</f>
        <v>22.339625380502</v>
      </c>
    </row>
    <row r="118" customFormat="false" ht="15" hidden="false" customHeight="false" outlineLevel="0" collapsed="false">
      <c r="A118" s="76" t="n">
        <v>107</v>
      </c>
      <c r="B118" s="77" t="n">
        <v>-1.276506</v>
      </c>
      <c r="C118" s="78" t="n">
        <f aca="false">05_Unit_Economics!$B$15*EXP((01_Inputs!$C$20-01_Inputs!$C$21^2/2)*01_Inputs!$C$22+01_Inputs!$C$21*SQRT(01_Inputs!$C$22)*B118)</f>
        <v>34.6199543225556</v>
      </c>
      <c r="D118" s="78" t="n">
        <f aca="false">MAX(C118-05_Unit_Economics!$B$21,0)</f>
        <v>0</v>
      </c>
      <c r="E118" s="78" t="n">
        <f aca="false">D118*EXP(-01_Inputs!$C$20*01_Inputs!$C$22)</f>
        <v>0</v>
      </c>
      <c r="F118" s="79"/>
    </row>
    <row r="119" customFormat="false" ht="15" hidden="false" customHeight="false" outlineLevel="0" collapsed="false">
      <c r="A119" s="76" t="n">
        <v>108</v>
      </c>
      <c r="B119" s="77" t="n">
        <v>1.276506</v>
      </c>
      <c r="C119" s="78" t="n">
        <f aca="false">05_Unit_Economics!$B$15*EXP((01_Inputs!$C$20-01_Inputs!$C$21^2/2)*01_Inputs!$C$22+01_Inputs!$C$21*SQRT(01_Inputs!$C$22)*B119)</f>
        <v>84.6042439588764</v>
      </c>
      <c r="D119" s="78" t="n">
        <f aca="false">MAX(C119-05_Unit_Economics!$B$21,0)</f>
        <v>46.696638484373</v>
      </c>
      <c r="E119" s="78" t="n">
        <f aca="false">D119*EXP(-01_Inputs!$C$20*01_Inputs!$C$22)</f>
        <v>44.6865329983089</v>
      </c>
      <c r="F119" s="80" t="n">
        <f aca="false">AVERAGE(E118:E119)</f>
        <v>22.3432664991544</v>
      </c>
    </row>
    <row r="120" customFormat="false" ht="15" hidden="false" customHeight="false" outlineLevel="0" collapsed="false">
      <c r="A120" s="76" t="n">
        <v>109</v>
      </c>
      <c r="B120" s="77" t="n">
        <v>-0.568308</v>
      </c>
      <c r="C120" s="78" t="n">
        <f aca="false">05_Unit_Economics!$B$15*EXP((01_Inputs!$C$20-01_Inputs!$C$21^2/2)*01_Inputs!$C$22+01_Inputs!$C$21*SQRT(01_Inputs!$C$22)*B120)</f>
        <v>44.3582863118297</v>
      </c>
      <c r="D120" s="78" t="n">
        <f aca="false">MAX(C120-05_Unit_Economics!$B$21,0)</f>
        <v>6.45068083732627</v>
      </c>
      <c r="E120" s="78" t="n">
        <f aca="false">D120*EXP(-01_Inputs!$C$20*01_Inputs!$C$22)</f>
        <v>6.17300455567492</v>
      </c>
      <c r="F120" s="79"/>
    </row>
    <row r="121" customFormat="false" ht="15" hidden="false" customHeight="false" outlineLevel="0" collapsed="false">
      <c r="A121" s="76" t="n">
        <v>110</v>
      </c>
      <c r="B121" s="77" t="n">
        <v>0.568308</v>
      </c>
      <c r="C121" s="78" t="n">
        <f aca="false">05_Unit_Economics!$B$15*EXP((01_Inputs!$C$20-01_Inputs!$C$21^2/2)*01_Inputs!$C$22+01_Inputs!$C$21*SQRT(01_Inputs!$C$22)*B121)</f>
        <v>66.0303926251887</v>
      </c>
      <c r="D121" s="78" t="n">
        <f aca="false">MAX(C121-05_Unit_Economics!$B$21,0)</f>
        <v>28.1227871506852</v>
      </c>
      <c r="E121" s="78" t="n">
        <f aca="false">D121*EXP(-01_Inputs!$C$20*01_Inputs!$C$22)</f>
        <v>26.9122124590204</v>
      </c>
      <c r="F121" s="80" t="n">
        <f aca="false">AVERAGE(E120:E121)</f>
        <v>16.5426085073477</v>
      </c>
    </row>
    <row r="122" customFormat="false" ht="15" hidden="false" customHeight="false" outlineLevel="0" collapsed="false">
      <c r="A122" s="76" t="n">
        <v>111</v>
      </c>
      <c r="B122" s="77" t="n">
        <v>-0.839311</v>
      </c>
      <c r="C122" s="78" t="n">
        <f aca="false">05_Unit_Economics!$B$15*EXP((01_Inputs!$C$20-01_Inputs!$C$21^2/2)*01_Inputs!$C$22+01_Inputs!$C$21*SQRT(01_Inputs!$C$22)*B122)</f>
        <v>40.3442338174793</v>
      </c>
      <c r="D122" s="78" t="n">
        <f aca="false">MAX(C122-05_Unit_Economics!$B$21,0)</f>
        <v>2.43662834297579</v>
      </c>
      <c r="E122" s="78" t="n">
        <f aca="false">D122*EXP(-01_Inputs!$C$20*01_Inputs!$C$22)</f>
        <v>2.33174113570168</v>
      </c>
      <c r="F122" s="79"/>
    </row>
    <row r="123" customFormat="false" ht="15" hidden="false" customHeight="false" outlineLevel="0" collapsed="false">
      <c r="A123" s="76" t="n">
        <v>112</v>
      </c>
      <c r="B123" s="77" t="n">
        <v>0.839311</v>
      </c>
      <c r="C123" s="78" t="n">
        <f aca="false">05_Unit_Economics!$B$15*EXP((01_Inputs!$C$20-01_Inputs!$C$21^2/2)*01_Inputs!$C$22+01_Inputs!$C$21*SQRT(01_Inputs!$C$22)*B123)</f>
        <v>72.6000913687362</v>
      </c>
      <c r="D123" s="78" t="n">
        <f aca="false">MAX(C123-05_Unit_Economics!$B$21,0)</f>
        <v>34.6924858942327</v>
      </c>
      <c r="E123" s="78" t="n">
        <f aca="false">D123*EXP(-01_Inputs!$C$20*01_Inputs!$C$22)</f>
        <v>33.1991116710639</v>
      </c>
      <c r="F123" s="80" t="n">
        <f aca="false">AVERAGE(E122:E123)</f>
        <v>17.7654264033828</v>
      </c>
    </row>
    <row r="124" customFormat="false" ht="15" hidden="false" customHeight="false" outlineLevel="0" collapsed="false">
      <c r="A124" s="76" t="n">
        <v>113</v>
      </c>
      <c r="B124" s="77" t="n">
        <v>1.894872</v>
      </c>
      <c r="C124" s="78" t="n">
        <f aca="false">05_Unit_Economics!$B$15*EXP((01_Inputs!$C$20-01_Inputs!$C$21^2/2)*01_Inputs!$C$22+01_Inputs!$C$21*SQRT(01_Inputs!$C$22)*B124)</f>
        <v>105.047489656604</v>
      </c>
      <c r="D124" s="78" t="n">
        <f aca="false">MAX(C124-05_Unit_Economics!$B$21,0)</f>
        <v>67.1398841821005</v>
      </c>
      <c r="E124" s="78" t="n">
        <f aca="false">D124*EXP(-01_Inputs!$C$20*01_Inputs!$C$22)</f>
        <v>64.2497778723431</v>
      </c>
      <c r="F124" s="79"/>
    </row>
    <row r="125" customFormat="false" ht="15" hidden="false" customHeight="false" outlineLevel="0" collapsed="false">
      <c r="A125" s="76" t="n">
        <v>114</v>
      </c>
      <c r="B125" s="77" t="n">
        <v>-1.894872</v>
      </c>
      <c r="C125" s="78" t="n">
        <f aca="false">05_Unit_Economics!$B$15*EXP((01_Inputs!$C$20-01_Inputs!$C$21^2/2)*01_Inputs!$C$22+01_Inputs!$C$21*SQRT(01_Inputs!$C$22)*B125)</f>
        <v>27.8825802589421</v>
      </c>
      <c r="D125" s="78" t="n">
        <f aca="false">MAX(C125-05_Unit_Economics!$B$21,0)</f>
        <v>0</v>
      </c>
      <c r="E125" s="78" t="n">
        <f aca="false">D125*EXP(-01_Inputs!$C$20*01_Inputs!$C$22)</f>
        <v>0</v>
      </c>
      <c r="F125" s="80" t="n">
        <f aca="false">AVERAGE(E124:E125)</f>
        <v>32.1248889361716</v>
      </c>
    </row>
    <row r="126" customFormat="false" ht="15" hidden="false" customHeight="false" outlineLevel="0" collapsed="false">
      <c r="A126" s="76" t="n">
        <v>115</v>
      </c>
      <c r="B126" s="77" t="n">
        <v>-0.475207</v>
      </c>
      <c r="C126" s="78" t="n">
        <f aca="false">05_Unit_Economics!$B$15*EXP((01_Inputs!$C$20-01_Inputs!$C$21^2/2)*01_Inputs!$C$22+01_Inputs!$C$21*SQRT(01_Inputs!$C$22)*B126)</f>
        <v>45.8275244141999</v>
      </c>
      <c r="D126" s="78" t="n">
        <f aca="false">MAX(C126-05_Unit_Economics!$B$21,0)</f>
        <v>7.91991893969639</v>
      </c>
      <c r="E126" s="78" t="n">
        <f aca="false">D126*EXP(-01_Inputs!$C$20*01_Inputs!$C$22)</f>
        <v>7.57899777220819</v>
      </c>
      <c r="F126" s="79"/>
    </row>
    <row r="127" customFormat="false" ht="15" hidden="false" customHeight="false" outlineLevel="0" collapsed="false">
      <c r="A127" s="76" t="n">
        <v>116</v>
      </c>
      <c r="B127" s="77" t="n">
        <v>0.475207</v>
      </c>
      <c r="C127" s="78" t="n">
        <f aca="false">05_Unit_Economics!$B$15*EXP((01_Inputs!$C$20-01_Inputs!$C$21^2/2)*01_Inputs!$C$22+01_Inputs!$C$21*SQRT(01_Inputs!$C$22)*B127)</f>
        <v>63.9134471868415</v>
      </c>
      <c r="D127" s="78" t="n">
        <f aca="false">MAX(C127-05_Unit_Economics!$B$21,0)</f>
        <v>26.005841712338</v>
      </c>
      <c r="E127" s="78" t="n">
        <f aca="false">D127*EXP(-01_Inputs!$C$20*01_Inputs!$C$22)</f>
        <v>24.8863931440395</v>
      </c>
      <c r="F127" s="80" t="n">
        <f aca="false">AVERAGE(E126:E127)</f>
        <v>16.2326954581239</v>
      </c>
    </row>
    <row r="128" customFormat="false" ht="15" hidden="false" customHeight="false" outlineLevel="0" collapsed="false">
      <c r="A128" s="76" t="n">
        <v>117</v>
      </c>
      <c r="B128" s="77" t="n">
        <v>-0.541258</v>
      </c>
      <c r="C128" s="78" t="n">
        <f aca="false">05_Unit_Economics!$B$15*EXP((01_Inputs!$C$20-01_Inputs!$C$21^2/2)*01_Inputs!$C$22+01_Inputs!$C$21*SQRT(01_Inputs!$C$22)*B128)</f>
        <v>44.7802426716224</v>
      </c>
      <c r="D128" s="78" t="n">
        <f aca="false">MAX(C128-05_Unit_Economics!$B$21,0)</f>
        <v>6.87263719711897</v>
      </c>
      <c r="E128" s="78" t="n">
        <f aca="false">D128*EXP(-01_Inputs!$C$20*01_Inputs!$C$22)</f>
        <v>6.57679736405947</v>
      </c>
      <c r="F128" s="79"/>
    </row>
    <row r="129" customFormat="false" ht="15" hidden="false" customHeight="false" outlineLevel="0" collapsed="false">
      <c r="A129" s="76" t="n">
        <v>118</v>
      </c>
      <c r="B129" s="77" t="n">
        <v>0.541258</v>
      </c>
      <c r="C129" s="78" t="n">
        <f aca="false">05_Unit_Economics!$B$15*EXP((01_Inputs!$C$20-01_Inputs!$C$21^2/2)*01_Inputs!$C$22+01_Inputs!$C$21*SQRT(01_Inputs!$C$22)*B129)</f>
        <v>65.4081998355667</v>
      </c>
      <c r="D129" s="78" t="n">
        <f aca="false">MAX(C129-05_Unit_Economics!$B$21,0)</f>
        <v>27.5005943610632</v>
      </c>
      <c r="E129" s="78" t="n">
        <f aca="false">D129*EXP(-01_Inputs!$C$20*01_Inputs!$C$22)</f>
        <v>26.3168026066804</v>
      </c>
      <c r="F129" s="80" t="n">
        <f aca="false">AVERAGE(E128:E129)</f>
        <v>16.4467999853699</v>
      </c>
    </row>
    <row r="130" customFormat="false" ht="15" hidden="false" customHeight="false" outlineLevel="0" collapsed="false">
      <c r="A130" s="76" t="n">
        <v>119</v>
      </c>
      <c r="B130" s="77" t="n">
        <v>1.156821</v>
      </c>
      <c r="C130" s="78" t="n">
        <f aca="false">05_Unit_Economics!$B$15*EXP((01_Inputs!$C$20-01_Inputs!$C$21^2/2)*01_Inputs!$C$22+01_Inputs!$C$21*SQRT(01_Inputs!$C$22)*B130)</f>
        <v>81.133397304329</v>
      </c>
      <c r="D130" s="78" t="n">
        <f aca="false">MAX(C130-05_Unit_Economics!$B$21,0)</f>
        <v>43.2257918298255</v>
      </c>
      <c r="E130" s="78" t="n">
        <f aca="false">D130*EXP(-01_Inputs!$C$20*01_Inputs!$C$22)</f>
        <v>41.3650925564576</v>
      </c>
      <c r="F130" s="79"/>
    </row>
    <row r="131" customFormat="false" ht="15" hidden="false" customHeight="false" outlineLevel="0" collapsed="false">
      <c r="A131" s="76" t="n">
        <v>120</v>
      </c>
      <c r="B131" s="77" t="n">
        <v>-1.156821</v>
      </c>
      <c r="C131" s="78" t="n">
        <f aca="false">05_Unit_Economics!$B$15*EXP((01_Inputs!$C$20-01_Inputs!$C$21^2/2)*01_Inputs!$C$22+01_Inputs!$C$21*SQRT(01_Inputs!$C$22)*B131)</f>
        <v>36.1009788652641</v>
      </c>
      <c r="D131" s="78" t="n">
        <f aca="false">MAX(C131-05_Unit_Economics!$B$21,0)</f>
        <v>0</v>
      </c>
      <c r="E131" s="78" t="n">
        <f aca="false">D131*EXP(-01_Inputs!$C$20*01_Inputs!$C$22)</f>
        <v>0</v>
      </c>
      <c r="F131" s="80" t="n">
        <f aca="false">AVERAGE(E130:E131)</f>
        <v>20.6825462782288</v>
      </c>
    </row>
    <row r="132" customFormat="false" ht="15" hidden="false" customHeight="false" outlineLevel="0" collapsed="false">
      <c r="A132" s="76" t="n">
        <v>121</v>
      </c>
      <c r="B132" s="77" t="n">
        <v>-0.686084</v>
      </c>
      <c r="C132" s="78" t="n">
        <f aca="false">05_Unit_Economics!$B$15*EXP((01_Inputs!$C$20-01_Inputs!$C$21^2/2)*01_Inputs!$C$22+01_Inputs!$C$21*SQRT(01_Inputs!$C$22)*B132)</f>
        <v>42.5669414771923</v>
      </c>
      <c r="D132" s="78" t="n">
        <f aca="false">MAX(C132-05_Unit_Economics!$B$21,0)</f>
        <v>4.65933600268884</v>
      </c>
      <c r="E132" s="78" t="n">
        <f aca="false">D132*EXP(-01_Inputs!$C$20*01_Inputs!$C$22)</f>
        <v>4.45877002696973</v>
      </c>
      <c r="F132" s="79"/>
    </row>
    <row r="133" customFormat="false" ht="15" hidden="false" customHeight="false" outlineLevel="0" collapsed="false">
      <c r="A133" s="76" t="n">
        <v>122</v>
      </c>
      <c r="B133" s="77" t="n">
        <v>0.686084</v>
      </c>
      <c r="C133" s="78" t="n">
        <f aca="false">05_Unit_Economics!$B$15*EXP((01_Inputs!$C$20-01_Inputs!$C$21^2/2)*01_Inputs!$C$22+01_Inputs!$C$21*SQRT(01_Inputs!$C$22)*B133)</f>
        <v>68.8091500048231</v>
      </c>
      <c r="D133" s="78" t="n">
        <f aca="false">MAX(C133-05_Unit_Economics!$B$21,0)</f>
        <v>30.9015445303196</v>
      </c>
      <c r="E133" s="78" t="n">
        <f aca="false">D133*EXP(-01_Inputs!$C$20*01_Inputs!$C$22)</f>
        <v>29.571355330319</v>
      </c>
      <c r="F133" s="80" t="n">
        <f aca="false">AVERAGE(E132:E133)</f>
        <v>17.0150626786443</v>
      </c>
    </row>
    <row r="134" customFormat="false" ht="15" hidden="false" customHeight="false" outlineLevel="0" collapsed="false">
      <c r="A134" s="76" t="n">
        <v>123</v>
      </c>
      <c r="B134" s="77" t="n">
        <v>0.396667</v>
      </c>
      <c r="C134" s="78" t="n">
        <f aca="false">05_Unit_Economics!$B$15*EXP((01_Inputs!$C$20-01_Inputs!$C$21^2/2)*01_Inputs!$C$22+01_Inputs!$C$21*SQRT(01_Inputs!$C$22)*B134)</f>
        <v>62.1804586240783</v>
      </c>
      <c r="D134" s="78" t="n">
        <f aca="false">MAX(C134-05_Unit_Economics!$B$21,0)</f>
        <v>24.2728531495749</v>
      </c>
      <c r="E134" s="78" t="n">
        <f aca="false">D134*EXP(-01_Inputs!$C$20*01_Inputs!$C$22)</f>
        <v>23.2280028806478</v>
      </c>
      <c r="F134" s="79"/>
    </row>
    <row r="135" customFormat="false" ht="15" hidden="false" customHeight="false" outlineLevel="0" collapsed="false">
      <c r="A135" s="76" t="n">
        <v>124</v>
      </c>
      <c r="B135" s="77" t="n">
        <v>-0.396667</v>
      </c>
      <c r="C135" s="78" t="n">
        <f aca="false">05_Unit_Economics!$B$15*EXP((01_Inputs!$C$20-01_Inputs!$C$21^2/2)*01_Inputs!$C$22+01_Inputs!$C$21*SQRT(01_Inputs!$C$22)*B135)</f>
        <v>47.1047516561167</v>
      </c>
      <c r="D135" s="78" t="n">
        <f aca="false">MAX(C135-05_Unit_Economics!$B$21,0)</f>
        <v>9.19714618161327</v>
      </c>
      <c r="E135" s="78" t="n">
        <f aca="false">D135*EXP(-01_Inputs!$C$20*01_Inputs!$C$22)</f>
        <v>8.80124543595294</v>
      </c>
      <c r="F135" s="80" t="n">
        <f aca="false">AVERAGE(E134:E135)</f>
        <v>16.0146241583004</v>
      </c>
    </row>
    <row r="136" customFormat="false" ht="15" hidden="false" customHeight="false" outlineLevel="0" collapsed="false">
      <c r="A136" s="76" t="n">
        <v>125</v>
      </c>
      <c r="B136" s="77" t="n">
        <v>-0.74333</v>
      </c>
      <c r="C136" s="78" t="n">
        <f aca="false">05_Unit_Economics!$B$15*EXP((01_Inputs!$C$20-01_Inputs!$C$21^2/2)*01_Inputs!$C$22+01_Inputs!$C$21*SQRT(01_Inputs!$C$22)*B136)</f>
        <v>41.7225533513073</v>
      </c>
      <c r="D136" s="78" t="n">
        <f aca="false">MAX(C136-05_Unit_Economics!$B$21,0)</f>
        <v>3.81494787680379</v>
      </c>
      <c r="E136" s="78" t="n">
        <f aca="false">D136*EXP(-01_Inputs!$C$20*01_Inputs!$C$22)</f>
        <v>3.65072946826079</v>
      </c>
      <c r="F136" s="79"/>
    </row>
    <row r="137" customFormat="false" ht="15" hidden="false" customHeight="false" outlineLevel="0" collapsed="false">
      <c r="A137" s="76" t="n">
        <v>126</v>
      </c>
      <c r="B137" s="77" t="n">
        <v>0.74333</v>
      </c>
      <c r="C137" s="78" t="n">
        <f aca="false">05_Unit_Economics!$B$15*EXP((01_Inputs!$C$20-01_Inputs!$C$21^2/2)*01_Inputs!$C$22+01_Inputs!$C$21*SQRT(01_Inputs!$C$22)*B137)</f>
        <v>70.2017212774175</v>
      </c>
      <c r="D137" s="78" t="n">
        <f aca="false">MAX(C137-05_Unit_Economics!$B$21,0)</f>
        <v>32.294115802914</v>
      </c>
      <c r="E137" s="78" t="n">
        <f aca="false">D137*EXP(-01_Inputs!$C$20*01_Inputs!$C$22)</f>
        <v>30.9039819206914</v>
      </c>
      <c r="F137" s="80" t="n">
        <f aca="false">AVERAGE(E136:E137)</f>
        <v>17.2773556944761</v>
      </c>
    </row>
    <row r="138" customFormat="false" ht="15" hidden="false" customHeight="false" outlineLevel="0" collapsed="false">
      <c r="A138" s="76" t="n">
        <v>127</v>
      </c>
      <c r="B138" s="77" t="n">
        <v>0.190713</v>
      </c>
      <c r="C138" s="78" t="n">
        <f aca="false">05_Unit_Economics!$B$15*EXP((01_Inputs!$C$20-01_Inputs!$C$21^2/2)*01_Inputs!$C$22+01_Inputs!$C$21*SQRT(01_Inputs!$C$22)*B138)</f>
        <v>57.8559835447599</v>
      </c>
      <c r="D138" s="78" t="n">
        <f aca="false">MAX(C138-05_Unit_Economics!$B$21,0)</f>
        <v>19.9483780702564</v>
      </c>
      <c r="E138" s="78" t="n">
        <f aca="false">D138*EXP(-01_Inputs!$C$20*01_Inputs!$C$22)</f>
        <v>19.0896793395004</v>
      </c>
      <c r="F138" s="79"/>
    </row>
    <row r="139" customFormat="false" ht="15" hidden="false" customHeight="false" outlineLevel="0" collapsed="false">
      <c r="A139" s="76" t="n">
        <v>128</v>
      </c>
      <c r="B139" s="77" t="n">
        <v>-0.190713</v>
      </c>
      <c r="C139" s="78" t="n">
        <f aca="false">05_Unit_Economics!$B$15*EXP((01_Inputs!$C$20-01_Inputs!$C$21^2/2)*01_Inputs!$C$22+01_Inputs!$C$21*SQRT(01_Inputs!$C$22)*B139)</f>
        <v>50.6256204094198</v>
      </c>
      <c r="D139" s="78" t="n">
        <f aca="false">MAX(C139-05_Unit_Economics!$B$21,0)</f>
        <v>12.7180149349163</v>
      </c>
      <c r="E139" s="78" t="n">
        <f aca="false">D139*EXP(-01_Inputs!$C$20*01_Inputs!$C$22)</f>
        <v>12.1705547231695</v>
      </c>
      <c r="F139" s="80" t="n">
        <f aca="false">AVERAGE(E138:E139)</f>
        <v>15.630117031335</v>
      </c>
    </row>
    <row r="140" customFormat="false" ht="15" hidden="false" customHeight="false" outlineLevel="0" collapsed="false">
      <c r="A140" s="76" t="n">
        <v>129</v>
      </c>
      <c r="B140" s="77" t="n">
        <v>0.142812</v>
      </c>
      <c r="C140" s="78" t="n">
        <f aca="false">05_Unit_Economics!$B$15*EXP((01_Inputs!$C$20-01_Inputs!$C$21^2/2)*01_Inputs!$C$22+01_Inputs!$C$21*SQRT(01_Inputs!$C$22)*B140)</f>
        <v>56.8940934732159</v>
      </c>
      <c r="D140" s="78" t="n">
        <f aca="false">MAX(C140-05_Unit_Economics!$B$21,0)</f>
        <v>18.9864879987124</v>
      </c>
      <c r="E140" s="78" t="n">
        <f aca="false">D140*EXP(-01_Inputs!$C$20*01_Inputs!$C$22)</f>
        <v>18.1691948288823</v>
      </c>
      <c r="F140" s="79"/>
    </row>
    <row r="141" customFormat="false" ht="15" hidden="false" customHeight="false" outlineLevel="0" collapsed="false">
      <c r="A141" s="76" t="n">
        <v>130</v>
      </c>
      <c r="B141" s="77" t="n">
        <v>-0.142812</v>
      </c>
      <c r="C141" s="78" t="n">
        <f aca="false">05_Unit_Economics!$B$15*EXP((01_Inputs!$C$20-01_Inputs!$C$21^2/2)*01_Inputs!$C$22+01_Inputs!$C$21*SQRT(01_Inputs!$C$22)*B141)</f>
        <v>51.4815314304909</v>
      </c>
      <c r="D141" s="78" t="n">
        <f aca="false">MAX(C141-05_Unit_Economics!$B$21,0)</f>
        <v>13.5739259559875</v>
      </c>
      <c r="E141" s="78" t="n">
        <f aca="false">D141*EXP(-01_Inputs!$C$20*01_Inputs!$C$22)</f>
        <v>12.9896221620283</v>
      </c>
      <c r="F141" s="80" t="n">
        <f aca="false">AVERAGE(E140:E141)</f>
        <v>15.5794084954553</v>
      </c>
    </row>
    <row r="142" customFormat="false" ht="15" hidden="false" customHeight="false" outlineLevel="0" collapsed="false">
      <c r="A142" s="76" t="n">
        <v>131</v>
      </c>
      <c r="B142" s="77" t="n">
        <v>-1.506361</v>
      </c>
      <c r="C142" s="78" t="n">
        <f aca="false">05_Unit_Economics!$B$15*EXP((01_Inputs!$C$20-01_Inputs!$C$21^2/2)*01_Inputs!$C$22+01_Inputs!$C$21*SQRT(01_Inputs!$C$22)*B142)</f>
        <v>31.9438917289208</v>
      </c>
      <c r="D142" s="78" t="n">
        <f aca="false">MAX(C142-05_Unit_Economics!$B$21,0)</f>
        <v>0</v>
      </c>
      <c r="E142" s="78" t="n">
        <f aca="false">D142*EXP(-01_Inputs!$C$20*01_Inputs!$C$22)</f>
        <v>0</v>
      </c>
      <c r="F142" s="79"/>
    </row>
    <row r="143" customFormat="false" ht="15" hidden="false" customHeight="false" outlineLevel="0" collapsed="false">
      <c r="A143" s="76" t="n">
        <v>132</v>
      </c>
      <c r="B143" s="77" t="n">
        <v>1.506361</v>
      </c>
      <c r="C143" s="78" t="n">
        <f aca="false">05_Unit_Economics!$B$15*EXP((01_Inputs!$C$20-01_Inputs!$C$21^2/2)*01_Inputs!$C$22+01_Inputs!$C$21*SQRT(01_Inputs!$C$22)*B143)</f>
        <v>91.6918666706741</v>
      </c>
      <c r="D143" s="78" t="n">
        <f aca="false">MAX(C143-05_Unit_Economics!$B$21,0)</f>
        <v>53.7842611961706</v>
      </c>
      <c r="E143" s="78" t="n">
        <f aca="false">D143*EXP(-01_Inputs!$C$20*01_Inputs!$C$22)</f>
        <v>51.4690616014395</v>
      </c>
      <c r="F143" s="80" t="n">
        <f aca="false">AVERAGE(E142:E143)</f>
        <v>25.7345308007197</v>
      </c>
    </row>
    <row r="144" customFormat="false" ht="15" hidden="false" customHeight="false" outlineLevel="0" collapsed="false">
      <c r="A144" s="76" t="n">
        <v>133</v>
      </c>
      <c r="B144" s="77" t="n">
        <v>-0.604173</v>
      </c>
      <c r="C144" s="78" t="n">
        <f aca="false">05_Unit_Economics!$B$15*EXP((01_Inputs!$C$20-01_Inputs!$C$21^2/2)*01_Inputs!$C$22+01_Inputs!$C$21*SQRT(01_Inputs!$C$22)*B144)</f>
        <v>43.8049480575586</v>
      </c>
      <c r="D144" s="78" t="n">
        <f aca="false">MAX(C144-05_Unit_Economics!$B$21,0)</f>
        <v>5.89734258305508</v>
      </c>
      <c r="E144" s="78" t="n">
        <f aca="false">D144*EXP(-01_Inputs!$C$20*01_Inputs!$C$22)</f>
        <v>5.64348532342888</v>
      </c>
      <c r="F144" s="79"/>
    </row>
    <row r="145" customFormat="false" ht="15" hidden="false" customHeight="false" outlineLevel="0" collapsed="false">
      <c r="A145" s="76" t="n">
        <v>134</v>
      </c>
      <c r="B145" s="77" t="n">
        <v>0.604173</v>
      </c>
      <c r="C145" s="78" t="n">
        <f aca="false">05_Unit_Economics!$B$15*EXP((01_Inputs!$C$20-01_Inputs!$C$21^2/2)*01_Inputs!$C$22+01_Inputs!$C$21*SQRT(01_Inputs!$C$22)*B145)</f>
        <v>66.8644797273137</v>
      </c>
      <c r="D145" s="78" t="n">
        <f aca="false">MAX(C145-05_Unit_Economics!$B$21,0)</f>
        <v>28.9568742528102</v>
      </c>
      <c r="E145" s="78" t="n">
        <f aca="false">D145*EXP(-01_Inputs!$C$20*01_Inputs!$C$22)</f>
        <v>27.7103954122761</v>
      </c>
      <c r="F145" s="80" t="n">
        <f aca="false">AVERAGE(E144:E145)</f>
        <v>16.6769403678525</v>
      </c>
    </row>
    <row r="146" customFormat="false" ht="15" hidden="false" customHeight="false" outlineLevel="0" collapsed="false">
      <c r="A146" s="76" t="n">
        <v>135</v>
      </c>
      <c r="B146" s="77" t="n">
        <v>0.240034</v>
      </c>
      <c r="C146" s="78" t="n">
        <f aca="false">05_Unit_Economics!$B$15*EXP((01_Inputs!$C$20-01_Inputs!$C$21^2/2)*01_Inputs!$C$22+01_Inputs!$C$21*SQRT(01_Inputs!$C$22)*B146)</f>
        <v>58.863383814289</v>
      </c>
      <c r="D146" s="78" t="n">
        <f aca="false">MAX(C146-05_Unit_Economics!$B$21,0)</f>
        <v>20.9557783397856</v>
      </c>
      <c r="E146" s="78" t="n">
        <f aca="false">D146*EXP(-01_Inputs!$C$20*01_Inputs!$C$22)</f>
        <v>20.0537150141857</v>
      </c>
      <c r="F146" s="79"/>
    </row>
    <row r="147" customFormat="false" ht="15" hidden="false" customHeight="false" outlineLevel="0" collapsed="false">
      <c r="A147" s="76" t="n">
        <v>136</v>
      </c>
      <c r="B147" s="77" t="n">
        <v>-0.240034</v>
      </c>
      <c r="C147" s="78" t="n">
        <f aca="false">05_Unit_Economics!$B$15*EXP((01_Inputs!$C$20-01_Inputs!$C$21^2/2)*01_Inputs!$C$22+01_Inputs!$C$21*SQRT(01_Inputs!$C$22)*B147)</f>
        <v>49.7592029468011</v>
      </c>
      <c r="D147" s="78" t="n">
        <f aca="false">MAX(C147-05_Unit_Economics!$B$21,0)</f>
        <v>11.8515974722976</v>
      </c>
      <c r="E147" s="78" t="n">
        <f aca="false">D147*EXP(-01_Inputs!$C$20*01_Inputs!$C$22)</f>
        <v>11.3414331034927</v>
      </c>
      <c r="F147" s="80" t="n">
        <f aca="false">AVERAGE(E146:E147)</f>
        <v>15.6975740588392</v>
      </c>
    </row>
    <row r="148" customFormat="false" ht="15" hidden="false" customHeight="false" outlineLevel="0" collapsed="false">
      <c r="A148" s="76" t="n">
        <v>137</v>
      </c>
      <c r="B148" s="77" t="n">
        <v>-0.796726</v>
      </c>
      <c r="C148" s="78" t="n">
        <f aca="false">05_Unit_Economics!$B$15*EXP((01_Inputs!$C$20-01_Inputs!$C$21^2/2)*01_Inputs!$C$22+01_Inputs!$C$21*SQRT(01_Inputs!$C$22)*B148)</f>
        <v>40.9500581512287</v>
      </c>
      <c r="D148" s="78" t="n">
        <f aca="false">MAX(C148-05_Unit_Economics!$B$21,0)</f>
        <v>3.04245267672525</v>
      </c>
      <c r="E148" s="78" t="n">
        <f aca="false">D148*EXP(-01_Inputs!$C$20*01_Inputs!$C$22)</f>
        <v>2.9114871294167</v>
      </c>
      <c r="F148" s="79"/>
    </row>
    <row r="149" customFormat="false" ht="15" hidden="false" customHeight="false" outlineLevel="0" collapsed="false">
      <c r="A149" s="76" t="n">
        <v>138</v>
      </c>
      <c r="B149" s="77" t="n">
        <v>0.796726</v>
      </c>
      <c r="C149" s="78" t="n">
        <f aca="false">05_Unit_Economics!$B$15*EXP((01_Inputs!$C$20-01_Inputs!$C$21^2/2)*01_Inputs!$C$22+01_Inputs!$C$21*SQRT(01_Inputs!$C$22)*B149)</f>
        <v>71.5260293534593</v>
      </c>
      <c r="D149" s="78" t="n">
        <f aca="false">MAX(C149-05_Unit_Economics!$B$21,0)</f>
        <v>33.6184238789559</v>
      </c>
      <c r="E149" s="78" t="n">
        <f aca="false">D149*EXP(-01_Inputs!$C$20*01_Inputs!$C$22)</f>
        <v>32.1712837749732</v>
      </c>
      <c r="F149" s="80" t="n">
        <f aca="false">AVERAGE(E148:E149)</f>
        <v>17.5413854521949</v>
      </c>
    </row>
    <row r="150" customFormat="false" ht="15" hidden="false" customHeight="false" outlineLevel="0" collapsed="false">
      <c r="A150" s="76" t="n">
        <v>139</v>
      </c>
      <c r="B150" s="77" t="n">
        <v>-1.591686</v>
      </c>
      <c r="C150" s="78" t="n">
        <f aca="false">05_Unit_Economics!$B$15*EXP((01_Inputs!$C$20-01_Inputs!$C$21^2/2)*01_Inputs!$C$22+01_Inputs!$C$21*SQRT(01_Inputs!$C$22)*B150)</f>
        <v>31.0040310639535</v>
      </c>
      <c r="D150" s="78" t="n">
        <f aca="false">MAX(C150-05_Unit_Economics!$B$21,0)</f>
        <v>0</v>
      </c>
      <c r="E150" s="78" t="n">
        <f aca="false">D150*EXP(-01_Inputs!$C$20*01_Inputs!$C$22)</f>
        <v>0</v>
      </c>
      <c r="F150" s="79"/>
    </row>
    <row r="151" customFormat="false" ht="15" hidden="false" customHeight="false" outlineLevel="0" collapsed="false">
      <c r="A151" s="76" t="n">
        <v>140</v>
      </c>
      <c r="B151" s="77" t="n">
        <v>1.591686</v>
      </c>
      <c r="C151" s="78" t="n">
        <f aca="false">05_Unit_Economics!$B$15*EXP((01_Inputs!$C$20-01_Inputs!$C$21^2/2)*01_Inputs!$C$22+01_Inputs!$C$21*SQRT(01_Inputs!$C$22)*B151)</f>
        <v>94.4714271285846</v>
      </c>
      <c r="D151" s="78" t="n">
        <f aca="false">MAX(C151-05_Unit_Economics!$B$21,0)</f>
        <v>56.5638216540812</v>
      </c>
      <c r="E151" s="78" t="n">
        <f aca="false">D151*EXP(-01_Inputs!$C$20*01_Inputs!$C$22)</f>
        <v>54.1289729816726</v>
      </c>
      <c r="F151" s="80" t="n">
        <f aca="false">AVERAGE(E150:E151)</f>
        <v>27.0644864908363</v>
      </c>
    </row>
    <row r="152" customFormat="false" ht="15" hidden="false" customHeight="false" outlineLevel="0" collapsed="false">
      <c r="A152" s="76" t="n">
        <v>141</v>
      </c>
      <c r="B152" s="77" t="n">
        <v>-0.001023</v>
      </c>
      <c r="C152" s="78" t="n">
        <f aca="false">05_Unit_Economics!$B$15*EXP((01_Inputs!$C$20-01_Inputs!$C$21^2/2)*01_Inputs!$C$22+01_Inputs!$C$21*SQRT(01_Inputs!$C$22)*B152)</f>
        <v>54.1008166186165</v>
      </c>
      <c r="D152" s="78" t="n">
        <f aca="false">MAX(C152-05_Unit_Economics!$B$21,0)</f>
        <v>16.193211144113</v>
      </c>
      <c r="E152" s="78" t="n">
        <f aca="false">D152*EXP(-01_Inputs!$C$20*01_Inputs!$C$22)</f>
        <v>15.4961574885556</v>
      </c>
      <c r="F152" s="79"/>
    </row>
    <row r="153" customFormat="false" ht="15" hidden="false" customHeight="false" outlineLevel="0" collapsed="false">
      <c r="A153" s="76" t="n">
        <v>142</v>
      </c>
      <c r="B153" s="77" t="n">
        <v>0.001023</v>
      </c>
      <c r="C153" s="78" t="n">
        <f aca="false">05_Unit_Economics!$B$15*EXP((01_Inputs!$C$20-01_Inputs!$C$21^2/2)*01_Inputs!$C$22+01_Inputs!$C$21*SQRT(01_Inputs!$C$22)*B153)</f>
        <v>54.1395720881368</v>
      </c>
      <c r="D153" s="78" t="n">
        <f aca="false">MAX(C153-05_Unit_Economics!$B$21,0)</f>
        <v>16.2319666136333</v>
      </c>
      <c r="E153" s="78" t="n">
        <f aca="false">D153*EXP(-01_Inputs!$C$20*01_Inputs!$C$22)</f>
        <v>15.5332446884867</v>
      </c>
      <c r="F153" s="80" t="n">
        <f aca="false">AVERAGE(E152:E153)</f>
        <v>15.5147010885211</v>
      </c>
    </row>
    <row r="154" customFormat="false" ht="15" hidden="false" customHeight="false" outlineLevel="0" collapsed="false">
      <c r="A154" s="76" t="n">
        <v>143</v>
      </c>
      <c r="B154" s="77" t="n">
        <v>-1.370336</v>
      </c>
      <c r="C154" s="78" t="n">
        <f aca="false">05_Unit_Economics!$B$15*EXP((01_Inputs!$C$20-01_Inputs!$C$21^2/2)*01_Inputs!$C$22+01_Inputs!$C$21*SQRT(01_Inputs!$C$22)*B154)</f>
        <v>33.501483798829</v>
      </c>
      <c r="D154" s="78" t="n">
        <f aca="false">MAX(C154-05_Unit_Economics!$B$21,0)</f>
        <v>0</v>
      </c>
      <c r="E154" s="78" t="n">
        <f aca="false">D154*EXP(-01_Inputs!$C$20*01_Inputs!$C$22)</f>
        <v>0</v>
      </c>
      <c r="F154" s="79"/>
    </row>
    <row r="155" customFormat="false" ht="15" hidden="false" customHeight="false" outlineLevel="0" collapsed="false">
      <c r="A155" s="76" t="n">
        <v>144</v>
      </c>
      <c r="B155" s="77" t="n">
        <v>1.370336</v>
      </c>
      <c r="C155" s="78" t="n">
        <f aca="false">05_Unit_Economics!$B$15*EXP((01_Inputs!$C$20-01_Inputs!$C$21^2/2)*01_Inputs!$C$22+01_Inputs!$C$21*SQRT(01_Inputs!$C$22)*B155)</f>
        <v>87.4288159574899</v>
      </c>
      <c r="D155" s="78" t="n">
        <f aca="false">MAX(C155-05_Unit_Economics!$B$21,0)</f>
        <v>49.5212104829864</v>
      </c>
      <c r="E155" s="78" t="n">
        <f aca="false">D155*EXP(-01_Inputs!$C$20*01_Inputs!$C$22)</f>
        <v>47.3895183505496</v>
      </c>
      <c r="F155" s="80" t="n">
        <f aca="false">AVERAGE(E154:E155)</f>
        <v>23.6947591752748</v>
      </c>
    </row>
    <row r="156" customFormat="false" ht="15" hidden="false" customHeight="false" outlineLevel="0" collapsed="false">
      <c r="A156" s="76" t="n">
        <v>145</v>
      </c>
      <c r="B156" s="77" t="n">
        <v>-0.444939</v>
      </c>
      <c r="C156" s="78" t="n">
        <f aca="false">05_Unit_Economics!$B$15*EXP((01_Inputs!$C$20-01_Inputs!$C$21^2/2)*01_Inputs!$C$22+01_Inputs!$C$21*SQRT(01_Inputs!$C$22)*B156)</f>
        <v>46.3155927267906</v>
      </c>
      <c r="D156" s="78" t="n">
        <f aca="false">MAX(C156-05_Unit_Economics!$B$21,0)</f>
        <v>8.40798725228715</v>
      </c>
      <c r="E156" s="78" t="n">
        <f aca="false">D156*EXP(-01_Inputs!$C$20*01_Inputs!$C$22)</f>
        <v>8.04605667545912</v>
      </c>
      <c r="F156" s="79"/>
    </row>
    <row r="157" customFormat="false" ht="15" hidden="false" customHeight="false" outlineLevel="0" collapsed="false">
      <c r="A157" s="76" t="n">
        <v>146</v>
      </c>
      <c r="B157" s="77" t="n">
        <v>0.444939</v>
      </c>
      <c r="C157" s="78" t="n">
        <f aca="false">05_Unit_Economics!$B$15*EXP((01_Inputs!$C$20-01_Inputs!$C$21^2/2)*01_Inputs!$C$22+01_Inputs!$C$21*SQRT(01_Inputs!$C$22)*B157)</f>
        <v>63.2399347370635</v>
      </c>
      <c r="D157" s="78" t="n">
        <f aca="false">MAX(C157-05_Unit_Economics!$B$21,0)</f>
        <v>25.33232926256</v>
      </c>
      <c r="E157" s="78" t="n">
        <f aca="false">D157*EXP(-01_Inputs!$C$20*01_Inputs!$C$22)</f>
        <v>24.2418727398171</v>
      </c>
      <c r="F157" s="80" t="n">
        <f aca="false">AVERAGE(E156:E157)</f>
        <v>16.1439647076381</v>
      </c>
    </row>
    <row r="158" customFormat="false" ht="15" hidden="false" customHeight="false" outlineLevel="0" collapsed="false">
      <c r="A158" s="76" t="n">
        <v>147</v>
      </c>
      <c r="B158" s="77" t="n">
        <v>-1.369487</v>
      </c>
      <c r="C158" s="78" t="n">
        <f aca="false">05_Unit_Economics!$B$15*EXP((01_Inputs!$C$20-01_Inputs!$C$21^2/2)*01_Inputs!$C$22+01_Inputs!$C$21*SQRT(01_Inputs!$C$22)*B158)</f>
        <v>33.5114402439454</v>
      </c>
      <c r="D158" s="78" t="n">
        <f aca="false">MAX(C158-05_Unit_Economics!$B$21,0)</f>
        <v>0</v>
      </c>
      <c r="E158" s="78" t="n">
        <f aca="false">D158*EXP(-01_Inputs!$C$20*01_Inputs!$C$22)</f>
        <v>0</v>
      </c>
      <c r="F158" s="79"/>
    </row>
    <row r="159" customFormat="false" ht="15" hidden="false" customHeight="false" outlineLevel="0" collapsed="false">
      <c r="A159" s="76" t="n">
        <v>148</v>
      </c>
      <c r="B159" s="77" t="n">
        <v>1.369487</v>
      </c>
      <c r="C159" s="78" t="n">
        <f aca="false">05_Unit_Economics!$B$15*EXP((01_Inputs!$C$20-01_Inputs!$C$21^2/2)*01_Inputs!$C$22+01_Inputs!$C$21*SQRT(01_Inputs!$C$22)*B159)</f>
        <v>87.402840344346</v>
      </c>
      <c r="D159" s="78" t="n">
        <f aca="false">MAX(C159-05_Unit_Economics!$B$21,0)</f>
        <v>49.4952348698425</v>
      </c>
      <c r="E159" s="78" t="n">
        <f aca="false">D159*EXP(-01_Inputs!$C$20*01_Inputs!$C$22)</f>
        <v>47.3646608847537</v>
      </c>
      <c r="F159" s="80" t="n">
        <f aca="false">AVERAGE(E158:E159)</f>
        <v>23.6823304423769</v>
      </c>
    </row>
    <row r="160" customFormat="false" ht="15" hidden="false" customHeight="false" outlineLevel="0" collapsed="false">
      <c r="A160" s="76" t="n">
        <v>149</v>
      </c>
      <c r="B160" s="77" t="n">
        <v>0.577698</v>
      </c>
      <c r="C160" s="78" t="n">
        <f aca="false">05_Unit_Economics!$B$15*EXP((01_Inputs!$C$20-01_Inputs!$C$21^2/2)*01_Inputs!$C$22+01_Inputs!$C$21*SQRT(01_Inputs!$C$22)*B160)</f>
        <v>66.2477585013786</v>
      </c>
      <c r="D160" s="78" t="n">
        <f aca="false">MAX(C160-05_Unit_Economics!$B$21,0)</f>
        <v>28.3401530268751</v>
      </c>
      <c r="E160" s="78" t="n">
        <f aca="false">D160*EXP(-01_Inputs!$C$20*01_Inputs!$C$22)</f>
        <v>27.1202215944599</v>
      </c>
      <c r="F160" s="79"/>
    </row>
    <row r="161" customFormat="false" ht="15" hidden="false" customHeight="false" outlineLevel="0" collapsed="false">
      <c r="A161" s="76" t="n">
        <v>150</v>
      </c>
      <c r="B161" s="77" t="n">
        <v>-0.577698</v>
      </c>
      <c r="C161" s="78" t="n">
        <f aca="false">05_Unit_Economics!$B$15*EXP((01_Inputs!$C$20-01_Inputs!$C$21^2/2)*01_Inputs!$C$22+01_Inputs!$C$21*SQRT(01_Inputs!$C$22)*B161)</f>
        <v>44.2127421003942</v>
      </c>
      <c r="D161" s="78" t="n">
        <f aca="false">MAX(C161-05_Unit_Economics!$B$21,0)</f>
        <v>6.30513662589078</v>
      </c>
      <c r="E161" s="78" t="n">
        <f aca="false">D161*EXP(-01_Inputs!$C$20*01_Inputs!$C$22)</f>
        <v>6.03372544655443</v>
      </c>
      <c r="F161" s="80" t="n">
        <f aca="false">AVERAGE(E160:E161)</f>
        <v>16.5769735205072</v>
      </c>
    </row>
    <row r="162" customFormat="false" ht="15" hidden="false" customHeight="false" outlineLevel="0" collapsed="false">
      <c r="A162" s="76" t="n">
        <v>151</v>
      </c>
      <c r="B162" s="77" t="n">
        <v>0.713543</v>
      </c>
      <c r="C162" s="78" t="n">
        <f aca="false">05_Unit_Economics!$B$15*EXP((01_Inputs!$C$20-01_Inputs!$C$21^2/2)*01_Inputs!$C$22+01_Inputs!$C$21*SQRT(01_Inputs!$C$22)*B162)</f>
        <v>69.4736386315332</v>
      </c>
      <c r="D162" s="78" t="n">
        <f aca="false">MAX(C162-05_Unit_Economics!$B$21,0)</f>
        <v>31.5660331570297</v>
      </c>
      <c r="E162" s="78" t="n">
        <f aca="false">D162*EXP(-01_Inputs!$C$20*01_Inputs!$C$22)</f>
        <v>30.207240351345</v>
      </c>
      <c r="F162" s="79"/>
    </row>
    <row r="163" customFormat="false" ht="15" hidden="false" customHeight="false" outlineLevel="0" collapsed="false">
      <c r="A163" s="76" t="n">
        <v>152</v>
      </c>
      <c r="B163" s="77" t="n">
        <v>-0.713543</v>
      </c>
      <c r="C163" s="78" t="n">
        <f aca="false">05_Unit_Economics!$B$15*EXP((01_Inputs!$C$20-01_Inputs!$C$21^2/2)*01_Inputs!$C$22+01_Inputs!$C$21*SQRT(01_Inputs!$C$22)*B163)</f>
        <v>42.1598050576441</v>
      </c>
      <c r="D163" s="78" t="n">
        <f aca="false">MAX(C163-05_Unit_Economics!$B$21,0)</f>
        <v>4.25219958314066</v>
      </c>
      <c r="E163" s="78" t="n">
        <f aca="false">D163*EXP(-01_Inputs!$C$20*01_Inputs!$C$22)</f>
        <v>4.06915921905169</v>
      </c>
      <c r="F163" s="80" t="n">
        <f aca="false">AVERAGE(E162:E163)</f>
        <v>17.1381997851983</v>
      </c>
    </row>
    <row r="164" customFormat="false" ht="15" hidden="false" customHeight="false" outlineLevel="0" collapsed="false">
      <c r="A164" s="76" t="n">
        <v>153</v>
      </c>
      <c r="B164" s="77" t="n">
        <v>0.233647</v>
      </c>
      <c r="C164" s="78" t="n">
        <f aca="false">05_Unit_Economics!$B$15*EXP((01_Inputs!$C$20-01_Inputs!$C$21^2/2)*01_Inputs!$C$22+01_Inputs!$C$21*SQRT(01_Inputs!$C$22)*B164)</f>
        <v>58.7319446305391</v>
      </c>
      <c r="D164" s="78" t="n">
        <f aca="false">MAX(C164-05_Unit_Economics!$B$21,0)</f>
        <v>20.8243391560356</v>
      </c>
      <c r="E164" s="78" t="n">
        <f aca="false">D164*EXP(-01_Inputs!$C$20*01_Inputs!$C$22)</f>
        <v>19.9279337671292</v>
      </c>
      <c r="F164" s="79"/>
    </row>
    <row r="165" customFormat="false" ht="15" hidden="false" customHeight="false" outlineLevel="0" collapsed="false">
      <c r="A165" s="76" t="n">
        <v>154</v>
      </c>
      <c r="B165" s="77" t="n">
        <v>-0.233647</v>
      </c>
      <c r="C165" s="78" t="n">
        <f aca="false">05_Unit_Economics!$B$15*EXP((01_Inputs!$C$20-01_Inputs!$C$21^2/2)*01_Inputs!$C$22+01_Inputs!$C$21*SQRT(01_Inputs!$C$22)*B165)</f>
        <v>49.8705615789819</v>
      </c>
      <c r="D165" s="78" t="n">
        <f aca="false">MAX(C165-05_Unit_Economics!$B$21,0)</f>
        <v>11.9629561044784</v>
      </c>
      <c r="E165" s="78" t="n">
        <f aca="false">D165*EXP(-01_Inputs!$C$20*01_Inputs!$C$22)</f>
        <v>11.4479981872569</v>
      </c>
      <c r="F165" s="80" t="n">
        <f aca="false">AVERAGE(E164:E165)</f>
        <v>15.6879659771931</v>
      </c>
    </row>
    <row r="166" customFormat="false" ht="15" hidden="false" customHeight="false" outlineLevel="0" collapsed="false">
      <c r="A166" s="76" t="n">
        <v>155</v>
      </c>
      <c r="B166" s="77" t="n">
        <v>1.265795</v>
      </c>
      <c r="C166" s="78" t="n">
        <f aca="false">05_Unit_Economics!$B$15*EXP((01_Inputs!$C$20-01_Inputs!$C$21^2/2)*01_Inputs!$C$22+01_Inputs!$C$21*SQRT(01_Inputs!$C$22)*B166)</f>
        <v>84.2876691054893</v>
      </c>
      <c r="D166" s="78" t="n">
        <f aca="false">MAX(C166-05_Unit_Economics!$B$21,0)</f>
        <v>46.3800636309859</v>
      </c>
      <c r="E166" s="78" t="n">
        <f aca="false">D166*EXP(-01_Inputs!$C$20*01_Inputs!$C$22)</f>
        <v>44.3835854395237</v>
      </c>
      <c r="F166" s="79"/>
    </row>
    <row r="167" customFormat="false" ht="15" hidden="false" customHeight="false" outlineLevel="0" collapsed="false">
      <c r="A167" s="76" t="n">
        <v>156</v>
      </c>
      <c r="B167" s="77" t="n">
        <v>-1.265795</v>
      </c>
      <c r="C167" s="78" t="n">
        <f aca="false">05_Unit_Economics!$B$15*EXP((01_Inputs!$C$20-01_Inputs!$C$21^2/2)*01_Inputs!$C$22+01_Inputs!$C$21*SQRT(01_Inputs!$C$22)*B167)</f>
        <v>34.7499829148781</v>
      </c>
      <c r="D167" s="78" t="n">
        <f aca="false">MAX(C167-05_Unit_Economics!$B$21,0)</f>
        <v>0</v>
      </c>
      <c r="E167" s="78" t="n">
        <f aca="false">D167*EXP(-01_Inputs!$C$20*01_Inputs!$C$22)</f>
        <v>0</v>
      </c>
      <c r="F167" s="80" t="n">
        <f aca="false">AVERAGE(E166:E167)</f>
        <v>22.1917927197618</v>
      </c>
    </row>
    <row r="168" customFormat="false" ht="15" hidden="false" customHeight="false" outlineLevel="0" collapsed="false">
      <c r="A168" s="76" t="n">
        <v>157</v>
      </c>
      <c r="B168" s="77" t="n">
        <v>1.182267</v>
      </c>
      <c r="C168" s="78" t="n">
        <f aca="false">05_Unit_Economics!$B$15*EXP((01_Inputs!$C$20-01_Inputs!$C$21^2/2)*01_Inputs!$C$22+01_Inputs!$C$21*SQRT(01_Inputs!$C$22)*B168)</f>
        <v>81.8592067221789</v>
      </c>
      <c r="D168" s="78" t="n">
        <f aca="false">MAX(C168-05_Unit_Economics!$B$21,0)</f>
        <v>43.9516012476755</v>
      </c>
      <c r="E168" s="78" t="n">
        <f aca="false">D168*EXP(-01_Inputs!$C$20*01_Inputs!$C$22)</f>
        <v>42.0596587512403</v>
      </c>
      <c r="F168" s="79"/>
    </row>
    <row r="169" customFormat="false" ht="15" hidden="false" customHeight="false" outlineLevel="0" collapsed="false">
      <c r="A169" s="76" t="n">
        <v>158</v>
      </c>
      <c r="B169" s="77" t="n">
        <v>-1.182267</v>
      </c>
      <c r="C169" s="78" t="n">
        <f aca="false">05_Unit_Economics!$B$15*EXP((01_Inputs!$C$20-01_Inputs!$C$21^2/2)*01_Inputs!$C$22+01_Inputs!$C$21*SQRT(01_Inputs!$C$22)*B169)</f>
        <v>35.7808874362946</v>
      </c>
      <c r="D169" s="78" t="n">
        <f aca="false">MAX(C169-05_Unit_Economics!$B$21,0)</f>
        <v>0</v>
      </c>
      <c r="E169" s="78" t="n">
        <f aca="false">D169*EXP(-01_Inputs!$C$20*01_Inputs!$C$22)</f>
        <v>0</v>
      </c>
      <c r="F169" s="80" t="n">
        <f aca="false">AVERAGE(E168:E169)</f>
        <v>21.0298293756202</v>
      </c>
    </row>
    <row r="170" customFormat="false" ht="15" hidden="false" customHeight="false" outlineLevel="0" collapsed="false">
      <c r="A170" s="76" t="n">
        <v>159</v>
      </c>
      <c r="B170" s="77" t="n">
        <v>0.7488</v>
      </c>
      <c r="C170" s="78" t="n">
        <f aca="false">05_Unit_Economics!$B$15*EXP((01_Inputs!$C$20-01_Inputs!$C$21^2/2)*01_Inputs!$C$22+01_Inputs!$C$21*SQRT(01_Inputs!$C$22)*B170)</f>
        <v>70.3362512104904</v>
      </c>
      <c r="D170" s="78" t="n">
        <f aca="false">MAX(C170-05_Unit_Economics!$B$21,0)</f>
        <v>32.4286457359869</v>
      </c>
      <c r="E170" s="78" t="n">
        <f aca="false">D170*EXP(-01_Inputs!$C$20*01_Inputs!$C$22)</f>
        <v>31.0327208725441</v>
      </c>
      <c r="F170" s="79"/>
    </row>
    <row r="171" customFormat="false" ht="15" hidden="false" customHeight="false" outlineLevel="0" collapsed="false">
      <c r="A171" s="76" t="n">
        <v>160</v>
      </c>
      <c r="B171" s="77" t="n">
        <v>-0.7488</v>
      </c>
      <c r="C171" s="78" t="n">
        <f aca="false">05_Unit_Economics!$B$15*EXP((01_Inputs!$C$20-01_Inputs!$C$21^2/2)*01_Inputs!$C$22+01_Inputs!$C$21*SQRT(01_Inputs!$C$22)*B171)</f>
        <v>41.6427519371946</v>
      </c>
      <c r="D171" s="78" t="n">
        <f aca="false">MAX(C171-05_Unit_Economics!$B$21,0)</f>
        <v>3.73514646269112</v>
      </c>
      <c r="E171" s="78" t="n">
        <f aca="false">D171*EXP(-01_Inputs!$C$20*01_Inputs!$C$22)</f>
        <v>3.57436318921372</v>
      </c>
      <c r="F171" s="80" t="n">
        <f aca="false">AVERAGE(E170:E171)</f>
        <v>17.3035420308789</v>
      </c>
    </row>
    <row r="172" customFormat="false" ht="15" hidden="false" customHeight="false" outlineLevel="0" collapsed="false">
      <c r="A172" s="76" t="n">
        <v>161</v>
      </c>
      <c r="B172" s="77" t="n">
        <v>-0.579949</v>
      </c>
      <c r="C172" s="78" t="n">
        <f aca="false">05_Unit_Economics!$B$15*EXP((01_Inputs!$C$20-01_Inputs!$C$21^2/2)*01_Inputs!$C$22+01_Inputs!$C$21*SQRT(01_Inputs!$C$22)*B172)</f>
        <v>44.1779228095207</v>
      </c>
      <c r="D172" s="78" t="n">
        <f aca="false">MAX(C172-05_Unit_Economics!$B$21,0)</f>
        <v>6.27031733501718</v>
      </c>
      <c r="E172" s="78" t="n">
        <f aca="false">D172*EXP(-01_Inputs!$C$20*01_Inputs!$C$22)</f>
        <v>6.00040498835654</v>
      </c>
      <c r="F172" s="79"/>
    </row>
    <row r="173" customFormat="false" ht="15" hidden="false" customHeight="false" outlineLevel="0" collapsed="false">
      <c r="A173" s="76" t="n">
        <v>162</v>
      </c>
      <c r="B173" s="77" t="n">
        <v>0.579949</v>
      </c>
      <c r="C173" s="78" t="n">
        <f aca="false">05_Unit_Economics!$B$15*EXP((01_Inputs!$C$20-01_Inputs!$C$21^2/2)*01_Inputs!$C$22+01_Inputs!$C$21*SQRT(01_Inputs!$C$22)*B173)</f>
        <v>66.2999723635588</v>
      </c>
      <c r="D173" s="78" t="n">
        <f aca="false">MAX(C173-05_Unit_Economics!$B$21,0)</f>
        <v>28.3923668890553</v>
      </c>
      <c r="E173" s="78" t="n">
        <f aca="false">D173*EXP(-01_Inputs!$C$20*01_Inputs!$C$22)</f>
        <v>27.1701878565082</v>
      </c>
      <c r="F173" s="80" t="n">
        <f aca="false">AVERAGE(E172:E173)</f>
        <v>16.5852964224324</v>
      </c>
    </row>
    <row r="174" customFormat="false" ht="15" hidden="false" customHeight="false" outlineLevel="0" collapsed="false">
      <c r="A174" s="76" t="n">
        <v>163</v>
      </c>
      <c r="B174" s="77" t="n">
        <v>0.352013</v>
      </c>
      <c r="C174" s="78" t="n">
        <f aca="false">05_Unit_Economics!$B$15*EXP((01_Inputs!$C$20-01_Inputs!$C$21^2/2)*01_Inputs!$C$22+01_Inputs!$C$21*SQRT(01_Inputs!$C$22)*B174)</f>
        <v>61.216201223117</v>
      </c>
      <c r="D174" s="78" t="n">
        <f aca="false">MAX(C174-05_Unit_Economics!$B$21,0)</f>
        <v>23.3085957486136</v>
      </c>
      <c r="E174" s="78" t="n">
        <f aca="false">D174*EXP(-01_Inputs!$C$20*01_Inputs!$C$22)</f>
        <v>22.3052529447752</v>
      </c>
      <c r="F174" s="79"/>
    </row>
    <row r="175" customFormat="false" ht="15" hidden="false" customHeight="false" outlineLevel="0" collapsed="false">
      <c r="A175" s="76" t="n">
        <v>164</v>
      </c>
      <c r="B175" s="77" t="n">
        <v>-0.352013</v>
      </c>
      <c r="C175" s="78" t="n">
        <f aca="false">05_Unit_Economics!$B$15*EXP((01_Inputs!$C$20-01_Inputs!$C$21^2/2)*01_Inputs!$C$22+01_Inputs!$C$21*SQRT(01_Inputs!$C$22)*B175)</f>
        <v>47.8467301601292</v>
      </c>
      <c r="D175" s="78" t="n">
        <f aca="false">MAX(C175-05_Unit_Economics!$B$21,0)</f>
        <v>9.93912468562574</v>
      </c>
      <c r="E175" s="78" t="n">
        <f aca="false">D175*EXP(-01_Inputs!$C$20*01_Inputs!$C$22)</f>
        <v>9.51128470172761</v>
      </c>
      <c r="F175" s="80" t="n">
        <f aca="false">AVERAGE(E174:E175)</f>
        <v>15.9082688232514</v>
      </c>
    </row>
    <row r="176" customFormat="false" ht="15" hidden="false" customHeight="false" outlineLevel="0" collapsed="false">
      <c r="A176" s="76" t="n">
        <v>165</v>
      </c>
      <c r="B176" s="77" t="n">
        <v>0.770711</v>
      </c>
      <c r="C176" s="78" t="n">
        <f aca="false">05_Unit_Economics!$B$15*EXP((01_Inputs!$C$20-01_Inputs!$C$21^2/2)*01_Inputs!$C$22+01_Inputs!$C$21*SQRT(01_Inputs!$C$22)*B176)</f>
        <v>70.8777229496423</v>
      </c>
      <c r="D176" s="78" t="n">
        <f aca="false">MAX(C176-05_Unit_Economics!$B$21,0)</f>
        <v>32.9701174751388</v>
      </c>
      <c r="E176" s="78" t="n">
        <f aca="false">D176*EXP(-01_Inputs!$C$20*01_Inputs!$C$22)</f>
        <v>31.5508843961854</v>
      </c>
      <c r="F176" s="79"/>
    </row>
    <row r="177" customFormat="false" ht="15" hidden="false" customHeight="false" outlineLevel="0" collapsed="false">
      <c r="A177" s="76" t="n">
        <v>166</v>
      </c>
      <c r="B177" s="77" t="n">
        <v>-0.770711</v>
      </c>
      <c r="C177" s="78" t="n">
        <f aca="false">05_Unit_Economics!$B$15*EXP((01_Inputs!$C$20-01_Inputs!$C$21^2/2)*01_Inputs!$C$22+01_Inputs!$C$21*SQRT(01_Inputs!$C$22)*B177)</f>
        <v>41.3246213261064</v>
      </c>
      <c r="D177" s="78" t="n">
        <f aca="false">MAX(C177-05_Unit_Economics!$B$21,0)</f>
        <v>3.41701585160298</v>
      </c>
      <c r="E177" s="78" t="n">
        <f aca="false">D177*EXP(-01_Inputs!$C$20*01_Inputs!$C$22)</f>
        <v>3.2699268419396</v>
      </c>
      <c r="F177" s="80" t="n">
        <f aca="false">AVERAGE(E176:E177)</f>
        <v>17.4104056190625</v>
      </c>
    </row>
    <row r="178" customFormat="false" ht="15" hidden="false" customHeight="false" outlineLevel="0" collapsed="false">
      <c r="A178" s="76" t="n">
        <v>167</v>
      </c>
      <c r="B178" s="77" t="n">
        <v>0.090209</v>
      </c>
      <c r="C178" s="78" t="n">
        <f aca="false">05_Unit_Economics!$B$15*EXP((01_Inputs!$C$20-01_Inputs!$C$21^2/2)*01_Inputs!$C$22+01_Inputs!$C$21*SQRT(01_Inputs!$C$22)*B178)</f>
        <v>55.8561971714591</v>
      </c>
      <c r="D178" s="78" t="n">
        <f aca="false">MAX(C178-05_Unit_Economics!$B$21,0)</f>
        <v>17.9485916969557</v>
      </c>
      <c r="E178" s="78" t="n">
        <f aca="false">D178*EXP(-01_Inputs!$C$20*01_Inputs!$C$22)</f>
        <v>17.1759758554696</v>
      </c>
      <c r="F178" s="79"/>
    </row>
    <row r="179" customFormat="false" ht="15" hidden="false" customHeight="false" outlineLevel="0" collapsed="false">
      <c r="A179" s="76" t="n">
        <v>168</v>
      </c>
      <c r="B179" s="77" t="n">
        <v>-0.090209</v>
      </c>
      <c r="C179" s="78" t="n">
        <f aca="false">05_Unit_Economics!$B$15*EXP((01_Inputs!$C$20-01_Inputs!$C$21^2/2)*01_Inputs!$C$22+01_Inputs!$C$21*SQRT(01_Inputs!$C$22)*B179)</f>
        <v>52.4381395382083</v>
      </c>
      <c r="D179" s="78" t="n">
        <f aca="false">MAX(C179-05_Unit_Economics!$B$21,0)</f>
        <v>14.5305340637049</v>
      </c>
      <c r="E179" s="78" t="n">
        <f aca="false">D179*EXP(-01_Inputs!$C$20*01_Inputs!$C$22)</f>
        <v>13.9050520764593</v>
      </c>
      <c r="F179" s="80" t="n">
        <f aca="false">AVERAGE(E178:E179)</f>
        <v>15.5405139659644</v>
      </c>
    </row>
    <row r="180" customFormat="false" ht="15" hidden="false" customHeight="false" outlineLevel="0" collapsed="false">
      <c r="A180" s="76" t="n">
        <v>169</v>
      </c>
      <c r="B180" s="77" t="n">
        <v>0.958004</v>
      </c>
      <c r="C180" s="78" t="n">
        <f aca="false">05_Unit_Economics!$B$15*EXP((01_Inputs!$C$20-01_Inputs!$C$21^2/2)*01_Inputs!$C$22+01_Inputs!$C$21*SQRT(01_Inputs!$C$22)*B180)</f>
        <v>75.6796068895005</v>
      </c>
      <c r="D180" s="78" t="n">
        <f aca="false">MAX(C180-05_Unit_Economics!$B$21,0)</f>
        <v>37.772001414997</v>
      </c>
      <c r="E180" s="78" t="n">
        <f aca="false">D180*EXP(-01_Inputs!$C$20*01_Inputs!$C$22)</f>
        <v>36.1460662357589</v>
      </c>
      <c r="F180" s="79"/>
    </row>
    <row r="181" customFormat="false" ht="15" hidden="false" customHeight="false" outlineLevel="0" collapsed="false">
      <c r="A181" s="76" t="n">
        <v>170</v>
      </c>
      <c r="B181" s="77" t="n">
        <v>-0.958004</v>
      </c>
      <c r="C181" s="78" t="n">
        <f aca="false">05_Unit_Economics!$B$15*EXP((01_Inputs!$C$20-01_Inputs!$C$21^2/2)*01_Inputs!$C$22+01_Inputs!$C$21*SQRT(01_Inputs!$C$22)*B181)</f>
        <v>38.7025670683949</v>
      </c>
      <c r="D181" s="78" t="n">
        <f aca="false">MAX(C181-05_Unit_Economics!$B$21,0)</f>
        <v>0.794961593891415</v>
      </c>
      <c r="E181" s="78" t="n">
        <f aca="false">D181*EXP(-01_Inputs!$C$20*01_Inputs!$C$22)</f>
        <v>0.760741643313471</v>
      </c>
      <c r="F181" s="80" t="n">
        <f aca="false">AVERAGE(E180:E181)</f>
        <v>18.4534039395362</v>
      </c>
    </row>
    <row r="182" customFormat="false" ht="15" hidden="false" customHeight="false" outlineLevel="0" collapsed="false">
      <c r="A182" s="76" t="n">
        <v>171</v>
      </c>
      <c r="B182" s="77" t="n">
        <v>0.666554</v>
      </c>
      <c r="C182" s="78" t="n">
        <f aca="false">05_Unit_Economics!$B$15*EXP((01_Inputs!$C$20-01_Inputs!$C$21^2/2)*01_Inputs!$C$22+01_Inputs!$C$21*SQRT(01_Inputs!$C$22)*B182)</f>
        <v>68.3404089249135</v>
      </c>
      <c r="D182" s="78" t="n">
        <f aca="false">MAX(C182-05_Unit_Economics!$B$21,0)</f>
        <v>30.43280345041</v>
      </c>
      <c r="E182" s="78" t="n">
        <f aca="false">D182*EXP(-01_Inputs!$C$20*01_Inputs!$C$22)</f>
        <v>29.1227916988692</v>
      </c>
      <c r="F182" s="79"/>
    </row>
    <row r="183" customFormat="false" ht="15" hidden="false" customHeight="false" outlineLevel="0" collapsed="false">
      <c r="A183" s="76" t="n">
        <v>172</v>
      </c>
      <c r="B183" s="77" t="n">
        <v>-0.666554</v>
      </c>
      <c r="C183" s="78" t="n">
        <f aca="false">05_Unit_Economics!$B$15*EXP((01_Inputs!$C$20-01_Inputs!$C$21^2/2)*01_Inputs!$C$22+01_Inputs!$C$21*SQRT(01_Inputs!$C$22)*B183)</f>
        <v>42.8589045255608</v>
      </c>
      <c r="D183" s="78" t="n">
        <f aca="false">MAX(C183-05_Unit_Economics!$B$21,0)</f>
        <v>4.95129905105738</v>
      </c>
      <c r="E183" s="78" t="n">
        <f aca="false">D183*EXP(-01_Inputs!$C$20*01_Inputs!$C$22)</f>
        <v>4.7381652215419</v>
      </c>
      <c r="F183" s="80" t="n">
        <f aca="false">AVERAGE(E182:E183)</f>
        <v>16.9304784602056</v>
      </c>
    </row>
    <row r="184" customFormat="false" ht="15" hidden="false" customHeight="false" outlineLevel="0" collapsed="false">
      <c r="A184" s="76" t="n">
        <v>173</v>
      </c>
      <c r="B184" s="77" t="n">
        <v>-1.047071</v>
      </c>
      <c r="C184" s="78" t="n">
        <f aca="false">05_Unit_Economics!$B$15*EXP((01_Inputs!$C$20-01_Inputs!$C$21^2/2)*01_Inputs!$C$22+01_Inputs!$C$21*SQRT(01_Inputs!$C$22)*B184)</f>
        <v>37.5146859015304</v>
      </c>
      <c r="D184" s="78" t="n">
        <f aca="false">MAX(C184-05_Unit_Economics!$B$21,0)</f>
        <v>0</v>
      </c>
      <c r="E184" s="78" t="n">
        <f aca="false">D184*EXP(-01_Inputs!$C$20*01_Inputs!$C$22)</f>
        <v>0</v>
      </c>
      <c r="F184" s="79"/>
    </row>
    <row r="185" customFormat="false" ht="15" hidden="false" customHeight="false" outlineLevel="0" collapsed="false">
      <c r="A185" s="76" t="n">
        <v>174</v>
      </c>
      <c r="B185" s="77" t="n">
        <v>1.047071</v>
      </c>
      <c r="C185" s="78" t="n">
        <f aca="false">05_Unit_Economics!$B$15*EXP((01_Inputs!$C$20-01_Inputs!$C$21^2/2)*01_Inputs!$C$22+01_Inputs!$C$21*SQRT(01_Inputs!$C$22)*B185)</f>
        <v>78.0759585469744</v>
      </c>
      <c r="D185" s="78" t="n">
        <f aca="false">MAX(C185-05_Unit_Economics!$B$21,0)</f>
        <v>40.168353072471</v>
      </c>
      <c r="E185" s="78" t="n">
        <f aca="false">D185*EXP(-01_Inputs!$C$20*01_Inputs!$C$22)</f>
        <v>38.4392644378757</v>
      </c>
      <c r="F185" s="80" t="n">
        <f aca="false">AVERAGE(E184:E185)</f>
        <v>19.2196322189379</v>
      </c>
    </row>
    <row r="186" customFormat="false" ht="15" hidden="false" customHeight="false" outlineLevel="0" collapsed="false">
      <c r="A186" s="76" t="n">
        <v>175</v>
      </c>
      <c r="B186" s="77" t="n">
        <v>0.674437</v>
      </c>
      <c r="C186" s="78" t="n">
        <f aca="false">05_Unit_Economics!$B$15*EXP((01_Inputs!$C$20-01_Inputs!$C$21^2/2)*01_Inputs!$C$22+01_Inputs!$C$21*SQRT(01_Inputs!$C$22)*B186)</f>
        <v>68.5292238853388</v>
      </c>
      <c r="D186" s="78" t="n">
        <f aca="false">MAX(C186-05_Unit_Economics!$B$21,0)</f>
        <v>30.6216184108353</v>
      </c>
      <c r="E186" s="78" t="n">
        <f aca="false">D186*EXP(-01_Inputs!$C$20*01_Inputs!$C$22)</f>
        <v>29.3034789224784</v>
      </c>
      <c r="F186" s="79"/>
    </row>
    <row r="187" customFormat="false" ht="15" hidden="false" customHeight="false" outlineLevel="0" collapsed="false">
      <c r="A187" s="76" t="n">
        <v>176</v>
      </c>
      <c r="B187" s="77" t="n">
        <v>-0.674437</v>
      </c>
      <c r="C187" s="78" t="n">
        <f aca="false">05_Unit_Economics!$B$15*EXP((01_Inputs!$C$20-01_Inputs!$C$21^2/2)*01_Inputs!$C$22+01_Inputs!$C$21*SQRT(01_Inputs!$C$22)*B187)</f>
        <v>42.7408176437452</v>
      </c>
      <c r="D187" s="78" t="n">
        <f aca="false">MAX(C187-05_Unit_Economics!$B$21,0)</f>
        <v>4.83321216924171</v>
      </c>
      <c r="E187" s="78" t="n">
        <f aca="false">D187*EXP(-01_Inputs!$C$20*01_Inputs!$C$22)</f>
        <v>4.62516151266275</v>
      </c>
      <c r="F187" s="80" t="n">
        <f aca="false">AVERAGE(E186:E187)</f>
        <v>16.9643202175706</v>
      </c>
    </row>
    <row r="188" customFormat="false" ht="15" hidden="false" customHeight="false" outlineLevel="0" collapsed="false">
      <c r="A188" s="76" t="n">
        <v>177</v>
      </c>
      <c r="B188" s="77" t="n">
        <v>1.581161</v>
      </c>
      <c r="C188" s="78" t="n">
        <f aca="false">05_Unit_Economics!$B$15*EXP((01_Inputs!$C$20-01_Inputs!$C$21^2/2)*01_Inputs!$C$22+01_Inputs!$C$21*SQRT(01_Inputs!$C$22)*B188)</f>
        <v>94.1240582118399</v>
      </c>
      <c r="D188" s="78" t="n">
        <f aca="false">MAX(C188-05_Unit_Economics!$B$21,0)</f>
        <v>56.2164527373364</v>
      </c>
      <c r="E188" s="78" t="n">
        <f aca="false">D188*EXP(-01_Inputs!$C$20*01_Inputs!$C$22)</f>
        <v>53.7965569220906</v>
      </c>
      <c r="F188" s="79"/>
    </row>
    <row r="189" customFormat="false" ht="15" hidden="false" customHeight="false" outlineLevel="0" collapsed="false">
      <c r="A189" s="76" t="n">
        <v>178</v>
      </c>
      <c r="B189" s="77" t="n">
        <v>-1.581161</v>
      </c>
      <c r="C189" s="78" t="n">
        <f aca="false">05_Unit_Economics!$B$15*EXP((01_Inputs!$C$20-01_Inputs!$C$21^2/2)*01_Inputs!$C$22+01_Inputs!$C$21*SQRT(01_Inputs!$C$22)*B189)</f>
        <v>31.1184527844998</v>
      </c>
      <c r="D189" s="78" t="n">
        <f aca="false">MAX(C189-05_Unit_Economics!$B$21,0)</f>
        <v>0</v>
      </c>
      <c r="E189" s="78" t="n">
        <f aca="false">D189*EXP(-01_Inputs!$C$20*01_Inputs!$C$22)</f>
        <v>0</v>
      </c>
      <c r="F189" s="80" t="n">
        <f aca="false">AVERAGE(E188:E189)</f>
        <v>26.8982784610453</v>
      </c>
    </row>
    <row r="190" customFormat="false" ht="15" hidden="false" customHeight="false" outlineLevel="0" collapsed="false">
      <c r="A190" s="76" t="n">
        <v>179</v>
      </c>
      <c r="B190" s="77" t="n">
        <v>1.770887</v>
      </c>
      <c r="C190" s="78" t="n">
        <f aca="false">05_Unit_Economics!$B$15*EXP((01_Inputs!$C$20-01_Inputs!$C$21^2/2)*01_Inputs!$C$22+01_Inputs!$C$21*SQRT(01_Inputs!$C$22)*B190)</f>
        <v>100.58647249189</v>
      </c>
      <c r="D190" s="78" t="n">
        <f aca="false">MAX(C190-05_Unit_Economics!$B$21,0)</f>
        <v>62.6788670173862</v>
      </c>
      <c r="E190" s="78" t="n">
        <f aca="false">D190*EXP(-01_Inputs!$C$20*01_Inputs!$C$22)</f>
        <v>59.9807898422145</v>
      </c>
      <c r="F190" s="79"/>
    </row>
    <row r="191" customFormat="false" ht="15" hidden="false" customHeight="false" outlineLevel="0" collapsed="false">
      <c r="A191" s="76" t="n">
        <v>180</v>
      </c>
      <c r="B191" s="77" t="n">
        <v>-1.770887</v>
      </c>
      <c r="C191" s="78" t="n">
        <f aca="false">05_Unit_Economics!$B$15*EXP((01_Inputs!$C$20-01_Inputs!$C$21^2/2)*01_Inputs!$C$22+01_Inputs!$C$21*SQRT(01_Inputs!$C$22)*B191)</f>
        <v>29.1191746642355</v>
      </c>
      <c r="D191" s="78" t="n">
        <f aca="false">MAX(C191-05_Unit_Economics!$B$21,0)</f>
        <v>0</v>
      </c>
      <c r="E191" s="78" t="n">
        <f aca="false">D191*EXP(-01_Inputs!$C$20*01_Inputs!$C$22)</f>
        <v>0</v>
      </c>
      <c r="F191" s="80" t="n">
        <f aca="false">AVERAGE(E190:E191)</f>
        <v>29.9903949211073</v>
      </c>
    </row>
    <row r="192" customFormat="false" ht="15" hidden="false" customHeight="false" outlineLevel="0" collapsed="false">
      <c r="A192" s="76" t="n">
        <v>181</v>
      </c>
      <c r="B192" s="77" t="n">
        <v>-1.068702</v>
      </c>
      <c r="C192" s="78" t="n">
        <f aca="false">05_Unit_Economics!$B$15*EXP((01_Inputs!$C$20-01_Inputs!$C$21^2/2)*01_Inputs!$C$22+01_Inputs!$C$21*SQRT(01_Inputs!$C$22)*B192)</f>
        <v>37.2317402627506</v>
      </c>
      <c r="D192" s="78" t="n">
        <f aca="false">MAX(C192-05_Unit_Economics!$B$21,0)</f>
        <v>0</v>
      </c>
      <c r="E192" s="78" t="n">
        <f aca="false">D192*EXP(-01_Inputs!$C$20*01_Inputs!$C$22)</f>
        <v>0</v>
      </c>
      <c r="F192" s="79"/>
    </row>
    <row r="193" customFormat="false" ht="15" hidden="false" customHeight="false" outlineLevel="0" collapsed="false">
      <c r="A193" s="76" t="n">
        <v>182</v>
      </c>
      <c r="B193" s="77" t="n">
        <v>1.068702</v>
      </c>
      <c r="C193" s="78" t="n">
        <f aca="false">05_Unit_Economics!$B$15*EXP((01_Inputs!$C$20-01_Inputs!$C$21^2/2)*01_Inputs!$C$22+01_Inputs!$C$21*SQRT(01_Inputs!$C$22)*B193)</f>
        <v>78.6693031451189</v>
      </c>
      <c r="D193" s="78" t="n">
        <f aca="false">MAX(C193-05_Unit_Economics!$B$21,0)</f>
        <v>40.7616976706154</v>
      </c>
      <c r="E193" s="78" t="n">
        <f aca="false">D193*EXP(-01_Inputs!$C$20*01_Inputs!$C$22)</f>
        <v>39.0070678992153</v>
      </c>
      <c r="F193" s="80" t="n">
        <f aca="false">AVERAGE(E192:E193)</f>
        <v>19.5035339496076</v>
      </c>
    </row>
    <row r="194" customFormat="false" ht="15" hidden="false" customHeight="false" outlineLevel="0" collapsed="false">
      <c r="A194" s="76" t="n">
        <v>183</v>
      </c>
      <c r="B194" s="77" t="n">
        <v>-0.878637</v>
      </c>
      <c r="C194" s="78" t="n">
        <f aca="false">05_Unit_Economics!$B$15*EXP((01_Inputs!$C$20-01_Inputs!$C$21^2/2)*01_Inputs!$C$22+01_Inputs!$C$21*SQRT(01_Inputs!$C$22)*B194)</f>
        <v>39.7927358918578</v>
      </c>
      <c r="D194" s="78" t="n">
        <f aca="false">MAX(C194-05_Unit_Economics!$B$21,0)</f>
        <v>1.8851304173543</v>
      </c>
      <c r="E194" s="78" t="n">
        <f aca="false">D194*EXP(-01_Inputs!$C$20*01_Inputs!$C$22)</f>
        <v>1.80398301324001</v>
      </c>
      <c r="F194" s="79"/>
    </row>
    <row r="195" customFormat="false" ht="15" hidden="false" customHeight="false" outlineLevel="0" collapsed="false">
      <c r="A195" s="76" t="n">
        <v>184</v>
      </c>
      <c r="B195" s="77" t="n">
        <v>0.878637</v>
      </c>
      <c r="C195" s="78" t="n">
        <f aca="false">05_Unit_Economics!$B$15*EXP((01_Inputs!$C$20-01_Inputs!$C$21^2/2)*01_Inputs!$C$22+01_Inputs!$C$21*SQRT(01_Inputs!$C$22)*B195)</f>
        <v>73.606275007343</v>
      </c>
      <c r="D195" s="78" t="n">
        <f aca="false">MAX(C195-05_Unit_Economics!$B$21,0)</f>
        <v>35.6986695328395</v>
      </c>
      <c r="E195" s="78" t="n">
        <f aca="false">D195*EXP(-01_Inputs!$C$20*01_Inputs!$C$22)</f>
        <v>34.1619830859733</v>
      </c>
      <c r="F195" s="80" t="n">
        <f aca="false">AVERAGE(E194:E195)</f>
        <v>17.9829830496067</v>
      </c>
    </row>
    <row r="196" customFormat="false" ht="15" hidden="false" customHeight="false" outlineLevel="0" collapsed="false">
      <c r="A196" s="76" t="n">
        <v>185</v>
      </c>
      <c r="B196" s="77" t="n">
        <v>-0.63656</v>
      </c>
      <c r="C196" s="78" t="n">
        <f aca="false">05_Unit_Economics!$B$15*EXP((01_Inputs!$C$20-01_Inputs!$C$21^2/2)*01_Inputs!$C$22+01_Inputs!$C$21*SQRT(01_Inputs!$C$22)*B196)</f>
        <v>43.3112029574114</v>
      </c>
      <c r="D196" s="78" t="n">
        <f aca="false">MAX(C196-05_Unit_Economics!$B$21,0)</f>
        <v>5.40359748290795</v>
      </c>
      <c r="E196" s="78" t="n">
        <f aca="false">D196*EXP(-01_Inputs!$C$20*01_Inputs!$C$22)</f>
        <v>5.17099399586015</v>
      </c>
      <c r="F196" s="79"/>
    </row>
    <row r="197" customFormat="false" ht="15" hidden="false" customHeight="false" outlineLevel="0" collapsed="false">
      <c r="A197" s="76" t="n">
        <v>186</v>
      </c>
      <c r="B197" s="77" t="n">
        <v>0.63656</v>
      </c>
      <c r="C197" s="78" t="n">
        <f aca="false">05_Unit_Economics!$B$15*EXP((01_Inputs!$C$20-01_Inputs!$C$21^2/2)*01_Inputs!$C$22+01_Inputs!$C$21*SQRT(01_Inputs!$C$22)*B197)</f>
        <v>67.6267307613409</v>
      </c>
      <c r="D197" s="78" t="n">
        <f aca="false">MAX(C197-05_Unit_Economics!$B$21,0)</f>
        <v>29.7191252868374</v>
      </c>
      <c r="E197" s="78" t="n">
        <f aca="false">D197*EXP(-01_Inputs!$C$20*01_Inputs!$C$22)</f>
        <v>28.4398345558763</v>
      </c>
      <c r="F197" s="80" t="n">
        <f aca="false">AVERAGE(E196:E197)</f>
        <v>16.8054142758682</v>
      </c>
    </row>
    <row r="198" customFormat="false" ht="15" hidden="false" customHeight="false" outlineLevel="0" collapsed="false">
      <c r="A198" s="76" t="n">
        <v>187</v>
      </c>
      <c r="B198" s="77" t="n">
        <v>-0.39589</v>
      </c>
      <c r="C198" s="78" t="n">
        <f aca="false">05_Unit_Economics!$B$15*EXP((01_Inputs!$C$20-01_Inputs!$C$21^2/2)*01_Inputs!$C$22+01_Inputs!$C$21*SQRT(01_Inputs!$C$22)*B198)</f>
        <v>47.1175635353459</v>
      </c>
      <c r="D198" s="78" t="n">
        <f aca="false">MAX(C198-05_Unit_Economics!$B$21,0)</f>
        <v>9.20995806084247</v>
      </c>
      <c r="E198" s="78" t="n">
        <f aca="false">D198*EXP(-01_Inputs!$C$20*01_Inputs!$C$22)</f>
        <v>8.81350581448399</v>
      </c>
      <c r="F198" s="79"/>
    </row>
    <row r="199" customFormat="false" ht="15" hidden="false" customHeight="false" outlineLevel="0" collapsed="false">
      <c r="A199" s="76" t="n">
        <v>188</v>
      </c>
      <c r="B199" s="77" t="n">
        <v>0.39589</v>
      </c>
      <c r="C199" s="78" t="n">
        <f aca="false">05_Unit_Economics!$B$15*EXP((01_Inputs!$C$20-01_Inputs!$C$21^2/2)*01_Inputs!$C$22+01_Inputs!$C$21*SQRT(01_Inputs!$C$22)*B199)</f>
        <v>62.163550947481</v>
      </c>
      <c r="D199" s="78" t="n">
        <f aca="false">MAX(C199-05_Unit_Economics!$B$21,0)</f>
        <v>24.2559454729776</v>
      </c>
      <c r="E199" s="78" t="n">
        <f aca="false">D199*EXP(-01_Inputs!$C$20*01_Inputs!$C$22)</f>
        <v>23.2118230126163</v>
      </c>
      <c r="F199" s="80" t="n">
        <f aca="false">AVERAGE(E198:E199)</f>
        <v>16.0126644135502</v>
      </c>
    </row>
    <row r="200" customFormat="false" ht="15" hidden="false" customHeight="false" outlineLevel="0" collapsed="false">
      <c r="A200" s="76" t="n">
        <v>189</v>
      </c>
      <c r="B200" s="77" t="n">
        <v>-0.227959</v>
      </c>
      <c r="C200" s="78" t="n">
        <f aca="false">05_Unit_Economics!$B$15*EXP((01_Inputs!$C$20-01_Inputs!$C$21^2/2)*01_Inputs!$C$22+01_Inputs!$C$21*SQRT(01_Inputs!$C$22)*B200)</f>
        <v>49.969942784202</v>
      </c>
      <c r="D200" s="78" t="n">
        <f aca="false">MAX(C200-05_Unit_Economics!$B$21,0)</f>
        <v>12.0623373096985</v>
      </c>
      <c r="E200" s="78" t="n">
        <f aca="false">D200*EXP(-01_Inputs!$C$20*01_Inputs!$C$22)</f>
        <v>11.5431014248908</v>
      </c>
      <c r="F200" s="79"/>
    </row>
    <row r="201" customFormat="false" ht="15" hidden="false" customHeight="false" outlineLevel="0" collapsed="false">
      <c r="A201" s="76" t="n">
        <v>190</v>
      </c>
      <c r="B201" s="77" t="n">
        <v>0.227959</v>
      </c>
      <c r="C201" s="78" t="n">
        <f aca="false">05_Unit_Economics!$B$15*EXP((01_Inputs!$C$20-01_Inputs!$C$21^2/2)*01_Inputs!$C$22+01_Inputs!$C$21*SQRT(01_Inputs!$C$22)*B201)</f>
        <v>58.6151373836805</v>
      </c>
      <c r="D201" s="78" t="n">
        <f aca="false">MAX(C201-05_Unit_Economics!$B$21,0)</f>
        <v>20.707531909177</v>
      </c>
      <c r="E201" s="78" t="n">
        <f aca="false">D201*EXP(-01_Inputs!$C$20*01_Inputs!$C$22)</f>
        <v>19.8161546099863</v>
      </c>
      <c r="F201" s="80" t="n">
        <f aca="false">AVERAGE(E200:E201)</f>
        <v>15.6796280174386</v>
      </c>
    </row>
    <row r="202" customFormat="false" ht="15" hidden="false" customHeight="false" outlineLevel="0" collapsed="false">
      <c r="A202" s="76" t="n">
        <v>191</v>
      </c>
      <c r="B202" s="77" t="n">
        <v>-1.005793</v>
      </c>
      <c r="C202" s="78" t="n">
        <f aca="false">05_Unit_Economics!$B$15*EXP((01_Inputs!$C$20-01_Inputs!$C$21^2/2)*01_Inputs!$C$22+01_Inputs!$C$21*SQRT(01_Inputs!$C$22)*B202)</f>
        <v>38.060605862342</v>
      </c>
      <c r="D202" s="78" t="n">
        <f aca="false">MAX(C202-05_Unit_Economics!$B$21,0)</f>
        <v>0.153000387838496</v>
      </c>
      <c r="E202" s="78" t="n">
        <f aca="false">D202*EXP(-01_Inputs!$C$20*01_Inputs!$C$22)</f>
        <v>0.14641432663696</v>
      </c>
      <c r="F202" s="79"/>
    </row>
    <row r="203" customFormat="false" ht="15" hidden="false" customHeight="false" outlineLevel="0" collapsed="false">
      <c r="A203" s="76" t="n">
        <v>192</v>
      </c>
      <c r="B203" s="77" t="n">
        <v>1.005793</v>
      </c>
      <c r="C203" s="78" t="n">
        <f aca="false">05_Unit_Economics!$B$15*EXP((01_Inputs!$C$20-01_Inputs!$C$21^2/2)*01_Inputs!$C$22+01_Inputs!$C$21*SQRT(01_Inputs!$C$22)*B203)</f>
        <v>76.9560808344532</v>
      </c>
      <c r="D203" s="78" t="n">
        <f aca="false">MAX(C203-05_Unit_Economics!$B$21,0)</f>
        <v>39.0484753599497</v>
      </c>
      <c r="E203" s="78" t="n">
        <f aca="false">D203*EXP(-01_Inputs!$C$20*01_Inputs!$C$22)</f>
        <v>37.3675930289927</v>
      </c>
      <c r="F203" s="80" t="n">
        <f aca="false">AVERAGE(E202:E203)</f>
        <v>18.7570036778148</v>
      </c>
    </row>
    <row r="204" customFormat="false" ht="15" hidden="false" customHeight="false" outlineLevel="0" collapsed="false">
      <c r="A204" s="76" t="n">
        <v>193</v>
      </c>
      <c r="B204" s="77" t="n">
        <v>0.123911</v>
      </c>
      <c r="C204" s="78" t="n">
        <f aca="false">05_Unit_Economics!$B$15*EXP((01_Inputs!$C$20-01_Inputs!$C$21^2/2)*01_Inputs!$C$22+01_Inputs!$C$21*SQRT(01_Inputs!$C$22)*B204)</f>
        <v>56.5189613152885</v>
      </c>
      <c r="D204" s="78" t="n">
        <f aca="false">MAX(C204-05_Unit_Economics!$B$21,0)</f>
        <v>18.611355840785</v>
      </c>
      <c r="E204" s="78" t="n">
        <f aca="false">D204*EXP(-01_Inputs!$C$20*01_Inputs!$C$22)</f>
        <v>17.8102106257783</v>
      </c>
      <c r="F204" s="79"/>
    </row>
    <row r="205" customFormat="false" ht="15" hidden="false" customHeight="false" outlineLevel="0" collapsed="false">
      <c r="A205" s="76" t="n">
        <v>194</v>
      </c>
      <c r="B205" s="77" t="n">
        <v>-0.123911</v>
      </c>
      <c r="C205" s="78" t="n">
        <f aca="false">05_Unit_Economics!$B$15*EXP((01_Inputs!$C$20-01_Inputs!$C$21^2/2)*01_Inputs!$C$22+01_Inputs!$C$21*SQRT(01_Inputs!$C$22)*B205)</f>
        <v>51.8232287570075</v>
      </c>
      <c r="D205" s="78" t="n">
        <f aca="false">MAX(C205-05_Unit_Economics!$B$21,0)</f>
        <v>13.915623282504</v>
      </c>
      <c r="E205" s="78" t="n">
        <f aca="false">D205*EXP(-01_Inputs!$C$20*01_Inputs!$C$22)</f>
        <v>13.3166107708963</v>
      </c>
      <c r="F205" s="80" t="n">
        <f aca="false">AVERAGE(E204:E205)</f>
        <v>15.5634106983373</v>
      </c>
    </row>
    <row r="206" customFormat="false" ht="15" hidden="false" customHeight="false" outlineLevel="0" collapsed="false">
      <c r="A206" s="76" t="n">
        <v>195</v>
      </c>
      <c r="B206" s="77" t="n">
        <v>-0.20261</v>
      </c>
      <c r="C206" s="78" t="n">
        <f aca="false">05_Unit_Economics!$B$15*EXP((01_Inputs!$C$20-01_Inputs!$C$21^2/2)*01_Inputs!$C$22+01_Inputs!$C$21*SQRT(01_Inputs!$C$22)*B206)</f>
        <v>50.415256134427</v>
      </c>
      <c r="D206" s="78" t="n">
        <f aca="false">MAX(C206-05_Unit_Economics!$B$21,0)</f>
        <v>12.5076506599236</v>
      </c>
      <c r="E206" s="78" t="n">
        <f aca="false">D206*EXP(-01_Inputs!$C$20*01_Inputs!$C$22)</f>
        <v>11.9692457977042</v>
      </c>
      <c r="F206" s="79"/>
    </row>
    <row r="207" customFormat="false" ht="15" hidden="false" customHeight="false" outlineLevel="0" collapsed="false">
      <c r="A207" s="76" t="n">
        <v>196</v>
      </c>
      <c r="B207" s="77" t="n">
        <v>0.20261</v>
      </c>
      <c r="C207" s="78" t="n">
        <f aca="false">05_Unit_Economics!$B$15*EXP((01_Inputs!$C$20-01_Inputs!$C$21^2/2)*01_Inputs!$C$22+01_Inputs!$C$21*SQRT(01_Inputs!$C$22)*B207)</f>
        <v>58.0973952317289</v>
      </c>
      <c r="D207" s="78" t="n">
        <f aca="false">MAX(C207-05_Unit_Economics!$B$21,0)</f>
        <v>20.1897897572254</v>
      </c>
      <c r="E207" s="78" t="n">
        <f aca="false">D207*EXP(-01_Inputs!$C$20*01_Inputs!$C$22)</f>
        <v>19.3206992087257</v>
      </c>
      <c r="F207" s="80" t="n">
        <f aca="false">AVERAGE(E206:E207)</f>
        <v>15.6449725032149</v>
      </c>
    </row>
    <row r="208" customFormat="false" ht="15" hidden="false" customHeight="false" outlineLevel="0" collapsed="false">
      <c r="A208" s="76" t="n">
        <v>197</v>
      </c>
      <c r="B208" s="77" t="n">
        <v>-0.925711</v>
      </c>
      <c r="C208" s="78" t="n">
        <f aca="false">05_Unit_Economics!$B$15*EXP((01_Inputs!$C$20-01_Inputs!$C$21^2/2)*01_Inputs!$C$22+01_Inputs!$C$21*SQRT(01_Inputs!$C$22)*B208)</f>
        <v>39.1424861885304</v>
      </c>
      <c r="D208" s="78" t="n">
        <f aca="false">MAX(C208-05_Unit_Economics!$B$21,0)</f>
        <v>1.23488071402693</v>
      </c>
      <c r="E208" s="78" t="n">
        <f aca="false">D208*EXP(-01_Inputs!$C$20*01_Inputs!$C$22)</f>
        <v>1.18172398629521</v>
      </c>
      <c r="F208" s="79"/>
    </row>
    <row r="209" customFormat="false" ht="15" hidden="false" customHeight="false" outlineLevel="0" collapsed="false">
      <c r="A209" s="76" t="n">
        <v>198</v>
      </c>
      <c r="B209" s="77" t="n">
        <v>0.925711</v>
      </c>
      <c r="C209" s="78" t="n">
        <f aca="false">05_Unit_Economics!$B$15*EXP((01_Inputs!$C$20-01_Inputs!$C$21^2/2)*01_Inputs!$C$22+01_Inputs!$C$21*SQRT(01_Inputs!$C$22)*B209)</f>
        <v>74.8290501334816</v>
      </c>
      <c r="D209" s="78" t="n">
        <f aca="false">MAX(C209-05_Unit_Economics!$B$21,0)</f>
        <v>36.9214446589781</v>
      </c>
      <c r="E209" s="78" t="n">
        <f aca="false">D209*EXP(-01_Inputs!$C$20*01_Inputs!$C$22)</f>
        <v>35.3321225820312</v>
      </c>
      <c r="F209" s="80" t="n">
        <f aca="false">AVERAGE(E208:E209)</f>
        <v>18.2569232841632</v>
      </c>
    </row>
    <row r="210" customFormat="false" ht="15" hidden="false" customHeight="false" outlineLevel="0" collapsed="false">
      <c r="A210" s="76" t="n">
        <v>199</v>
      </c>
      <c r="B210" s="77" t="n">
        <v>-0.108512</v>
      </c>
      <c r="C210" s="78" t="n">
        <f aca="false">05_Unit_Economics!$B$15*EXP((01_Inputs!$C$20-01_Inputs!$C$21^2/2)*01_Inputs!$C$22+01_Inputs!$C$21*SQRT(01_Inputs!$C$22)*B210)</f>
        <v>52.1032918649959</v>
      </c>
      <c r="D210" s="78" t="n">
        <f aca="false">MAX(C210-05_Unit_Economics!$B$21,0)</f>
        <v>14.1956863904925</v>
      </c>
      <c r="E210" s="78" t="n">
        <f aca="false">D210*EXP(-01_Inputs!$C$20*01_Inputs!$C$22)</f>
        <v>13.584618270428</v>
      </c>
      <c r="F210" s="79"/>
    </row>
    <row r="211" customFormat="false" ht="15" hidden="false" customHeight="false" outlineLevel="0" collapsed="false">
      <c r="A211" s="76" t="n">
        <v>200</v>
      </c>
      <c r="B211" s="77" t="n">
        <v>0.108512</v>
      </c>
      <c r="C211" s="78" t="n">
        <f aca="false">05_Unit_Economics!$B$15*EXP((01_Inputs!$C$20-01_Inputs!$C$21^2/2)*01_Inputs!$C$22+01_Inputs!$C$21*SQRT(01_Inputs!$C$22)*B211)</f>
        <v>56.2151633132879</v>
      </c>
      <c r="D211" s="78" t="n">
        <f aca="false">MAX(C211-05_Unit_Economics!$B$21,0)</f>
        <v>18.3075578387844</v>
      </c>
      <c r="E211" s="78" t="n">
        <f aca="false">D211*EXP(-01_Inputs!$C$20*01_Inputs!$C$22)</f>
        <v>17.5194899254915</v>
      </c>
      <c r="F211" s="80" t="n">
        <f aca="false">AVERAGE(E210:E211)</f>
        <v>15.5520540979597</v>
      </c>
    </row>
    <row r="212" customFormat="false" ht="15" hidden="false" customHeight="false" outlineLevel="0" collapsed="false">
      <c r="A212" s="76" t="n">
        <v>201</v>
      </c>
      <c r="B212" s="77" t="n">
        <v>0.168945</v>
      </c>
      <c r="C212" s="78" t="n">
        <f aca="false">05_Unit_Economics!$B$15*EXP((01_Inputs!$C$20-01_Inputs!$C$21^2/2)*01_Inputs!$C$22+01_Inputs!$C$21*SQRT(01_Inputs!$C$22)*B212)</f>
        <v>57.4168652785428</v>
      </c>
      <c r="D212" s="78" t="n">
        <f aca="false">MAX(C212-05_Unit_Economics!$B$21,0)</f>
        <v>19.5092598040393</v>
      </c>
      <c r="E212" s="78" t="n">
        <f aca="false">D212*EXP(-01_Inputs!$C$20*01_Inputs!$C$22)</f>
        <v>18.6694633768452</v>
      </c>
      <c r="F212" s="79"/>
    </row>
    <row r="213" customFormat="false" ht="15" hidden="false" customHeight="false" outlineLevel="0" collapsed="false">
      <c r="A213" s="76" t="n">
        <v>202</v>
      </c>
      <c r="B213" s="77" t="n">
        <v>-0.168945</v>
      </c>
      <c r="C213" s="78" t="n">
        <f aca="false">05_Unit_Economics!$B$15*EXP((01_Inputs!$C$20-01_Inputs!$C$21^2/2)*01_Inputs!$C$22+01_Inputs!$C$21*SQRT(01_Inputs!$C$22)*B213)</f>
        <v>51.0127999350262</v>
      </c>
      <c r="D213" s="78" t="n">
        <f aca="false">MAX(C213-05_Unit_Economics!$B$21,0)</f>
        <v>13.1051944605227</v>
      </c>
      <c r="E213" s="78" t="n">
        <f aca="false">D213*EXP(-01_Inputs!$C$20*01_Inputs!$C$22)</f>
        <v>12.541067702451</v>
      </c>
      <c r="F213" s="80" t="n">
        <f aca="false">AVERAGE(E212:E213)</f>
        <v>15.6052655396481</v>
      </c>
    </row>
    <row r="214" customFormat="false" ht="15" hidden="false" customHeight="false" outlineLevel="0" collapsed="false">
      <c r="A214" s="76" t="n">
        <v>203</v>
      </c>
      <c r="B214" s="77" t="n">
        <v>-2.135295</v>
      </c>
      <c r="C214" s="78" t="n">
        <f aca="false">05_Unit_Economics!$B$15*EXP((01_Inputs!$C$20-01_Inputs!$C$21^2/2)*01_Inputs!$C$22+01_Inputs!$C$21*SQRT(01_Inputs!$C$22)*B214)</f>
        <v>25.6323206446521</v>
      </c>
      <c r="D214" s="78" t="n">
        <f aca="false">MAX(C214-05_Unit_Economics!$B$21,0)</f>
        <v>0</v>
      </c>
      <c r="E214" s="78" t="n">
        <f aca="false">D214*EXP(-01_Inputs!$C$20*01_Inputs!$C$22)</f>
        <v>0</v>
      </c>
      <c r="F214" s="79"/>
    </row>
    <row r="215" customFormat="false" ht="15" hidden="false" customHeight="false" outlineLevel="0" collapsed="false">
      <c r="A215" s="76" t="n">
        <v>204</v>
      </c>
      <c r="B215" s="77" t="n">
        <v>2.135295</v>
      </c>
      <c r="C215" s="78" t="n">
        <f aca="false">05_Unit_Economics!$B$15*EXP((01_Inputs!$C$20-01_Inputs!$C$21^2/2)*01_Inputs!$C$22+01_Inputs!$C$21*SQRT(01_Inputs!$C$22)*B215)</f>
        <v>114.269601334819</v>
      </c>
      <c r="D215" s="78" t="n">
        <f aca="false">MAX(C215-05_Unit_Economics!$B$21,0)</f>
        <v>76.3619958603159</v>
      </c>
      <c r="E215" s="78" t="n">
        <f aca="false">D215*EXP(-01_Inputs!$C$20*01_Inputs!$C$22)</f>
        <v>73.0749141390697</v>
      </c>
      <c r="F215" s="80" t="n">
        <f aca="false">AVERAGE(E214:E215)</f>
        <v>36.5374570695348</v>
      </c>
    </row>
    <row r="216" customFormat="false" ht="15" hidden="false" customHeight="false" outlineLevel="0" collapsed="false">
      <c r="A216" s="76" t="n">
        <v>205</v>
      </c>
      <c r="B216" s="77" t="n">
        <v>0.408994</v>
      </c>
      <c r="C216" s="78" t="n">
        <f aca="false">05_Unit_Economics!$B$15*EXP((01_Inputs!$C$20-01_Inputs!$C$21^2/2)*01_Inputs!$C$22+01_Inputs!$C$21*SQRT(01_Inputs!$C$22)*B216)</f>
        <v>62.4493126654003</v>
      </c>
      <c r="D216" s="78" t="n">
        <f aca="false">MAX(C216-05_Unit_Economics!$B$21,0)</f>
        <v>24.5417071908968</v>
      </c>
      <c r="E216" s="78" t="n">
        <f aca="false">D216*EXP(-01_Inputs!$C$20*01_Inputs!$C$22)</f>
        <v>23.4852838194734</v>
      </c>
      <c r="F216" s="79"/>
    </row>
    <row r="217" customFormat="false" ht="15" hidden="false" customHeight="false" outlineLevel="0" collapsed="false">
      <c r="A217" s="76" t="n">
        <v>206</v>
      </c>
      <c r="B217" s="77" t="n">
        <v>-0.408994</v>
      </c>
      <c r="C217" s="78" t="n">
        <f aca="false">05_Unit_Economics!$B$15*EXP((01_Inputs!$C$20-01_Inputs!$C$21^2/2)*01_Inputs!$C$22+01_Inputs!$C$21*SQRT(01_Inputs!$C$22)*B217)</f>
        <v>46.9019583457073</v>
      </c>
      <c r="D217" s="78" t="n">
        <f aca="false">MAX(C217-05_Unit_Economics!$B$21,0)</f>
        <v>8.9943528712038</v>
      </c>
      <c r="E217" s="78" t="n">
        <f aca="false">D217*EXP(-01_Inputs!$C$20*01_Inputs!$C$22)</f>
        <v>8.60718157500754</v>
      </c>
      <c r="F217" s="80" t="n">
        <f aca="false">AVERAGE(E216:E217)</f>
        <v>16.0462326972405</v>
      </c>
    </row>
    <row r="218" customFormat="false" ht="15" hidden="false" customHeight="false" outlineLevel="0" collapsed="false">
      <c r="A218" s="76" t="n">
        <v>207</v>
      </c>
      <c r="B218" s="77" t="n">
        <v>0.43904</v>
      </c>
      <c r="C218" s="78" t="n">
        <f aca="false">05_Unit_Economics!$B$15*EXP((01_Inputs!$C$20-01_Inputs!$C$21^2/2)*01_Inputs!$C$22+01_Inputs!$C$21*SQRT(01_Inputs!$C$22)*B218)</f>
        <v>63.109501102045</v>
      </c>
      <c r="D218" s="78" t="n">
        <f aca="false">MAX(C218-05_Unit_Economics!$B$21,0)</f>
        <v>25.2018956275416</v>
      </c>
      <c r="E218" s="78" t="n">
        <f aca="false">D218*EXP(-01_Inputs!$C$20*01_Inputs!$C$22)</f>
        <v>24.1170537565986</v>
      </c>
      <c r="F218" s="79"/>
    </row>
    <row r="219" customFormat="false" ht="15" hidden="false" customHeight="false" outlineLevel="0" collapsed="false">
      <c r="A219" s="76" t="n">
        <v>208</v>
      </c>
      <c r="B219" s="77" t="n">
        <v>-0.43904</v>
      </c>
      <c r="C219" s="78" t="n">
        <f aca="false">05_Unit_Economics!$B$15*EXP((01_Inputs!$C$20-01_Inputs!$C$21^2/2)*01_Inputs!$C$22+01_Inputs!$C$21*SQRT(01_Inputs!$C$22)*B219)</f>
        <v>46.4113169998699</v>
      </c>
      <c r="D219" s="78" t="n">
        <f aca="false">MAX(C219-05_Unit_Economics!$B$21,0)</f>
        <v>8.50371152536643</v>
      </c>
      <c r="E219" s="78" t="n">
        <f aca="false">D219*EXP(-01_Inputs!$C$20*01_Inputs!$C$22)</f>
        <v>8.13766039740857</v>
      </c>
      <c r="F219" s="80" t="n">
        <f aca="false">AVERAGE(E218:E219)</f>
        <v>16.1273570770036</v>
      </c>
    </row>
    <row r="220" customFormat="false" ht="15" hidden="false" customHeight="false" outlineLevel="0" collapsed="false">
      <c r="A220" s="76" t="n">
        <v>209</v>
      </c>
      <c r="B220" s="77" t="n">
        <v>-0.837306</v>
      </c>
      <c r="C220" s="78" t="n">
        <f aca="false">05_Unit_Economics!$B$15*EXP((01_Inputs!$C$20-01_Inputs!$C$21^2/2)*01_Inputs!$C$22+01_Inputs!$C$21*SQRT(01_Inputs!$C$22)*B220)</f>
        <v>40.3725553197055</v>
      </c>
      <c r="D220" s="78" t="n">
        <f aca="false">MAX(C220-05_Unit_Economics!$B$21,0)</f>
        <v>2.46494984520206</v>
      </c>
      <c r="E220" s="78" t="n">
        <f aca="false">D220*EXP(-01_Inputs!$C$20*01_Inputs!$C$22)</f>
        <v>2.35884350933868</v>
      </c>
      <c r="F220" s="79"/>
    </row>
    <row r="221" customFormat="false" ht="15" hidden="false" customHeight="false" outlineLevel="0" collapsed="false">
      <c r="A221" s="76" t="n">
        <v>210</v>
      </c>
      <c r="B221" s="77" t="n">
        <v>0.837306</v>
      </c>
      <c r="C221" s="78" t="n">
        <f aca="false">05_Unit_Economics!$B$15*EXP((01_Inputs!$C$20-01_Inputs!$C$21^2/2)*01_Inputs!$C$22+01_Inputs!$C$21*SQRT(01_Inputs!$C$22)*B221)</f>
        <v>72.5491621265061</v>
      </c>
      <c r="D221" s="78" t="n">
        <f aca="false">MAX(C221-05_Unit_Economics!$B$21,0)</f>
        <v>34.6415566520026</v>
      </c>
      <c r="E221" s="78" t="n">
        <f aca="false">D221*EXP(-01_Inputs!$C$20*01_Inputs!$C$22)</f>
        <v>33.1503747311606</v>
      </c>
      <c r="F221" s="80" t="n">
        <f aca="false">AVERAGE(E220:E221)</f>
        <v>17.7546091202497</v>
      </c>
    </row>
    <row r="222" customFormat="false" ht="15" hidden="false" customHeight="false" outlineLevel="0" collapsed="false">
      <c r="A222" s="76" t="n">
        <v>211</v>
      </c>
      <c r="B222" s="77" t="n">
        <v>-0.749381</v>
      </c>
      <c r="C222" s="78" t="n">
        <f aca="false">05_Unit_Economics!$B$15*EXP((01_Inputs!$C$20-01_Inputs!$C$21^2/2)*01_Inputs!$C$22+01_Inputs!$C$21*SQRT(01_Inputs!$C$22)*B222)</f>
        <v>41.6342847445192</v>
      </c>
      <c r="D222" s="78" t="n">
        <f aca="false">MAX(C222-05_Unit_Economics!$B$21,0)</f>
        <v>3.72667927001568</v>
      </c>
      <c r="E222" s="78" t="n">
        <f aca="false">D222*EXP(-01_Inputs!$C$20*01_Inputs!$C$22)</f>
        <v>3.56626047567427</v>
      </c>
      <c r="F222" s="79"/>
    </row>
    <row r="223" customFormat="false" ht="15" hidden="false" customHeight="false" outlineLevel="0" collapsed="false">
      <c r="A223" s="76" t="n">
        <v>212</v>
      </c>
      <c r="B223" s="77" t="n">
        <v>0.749381</v>
      </c>
      <c r="C223" s="78" t="n">
        <f aca="false">05_Unit_Economics!$B$15*EXP((01_Inputs!$C$20-01_Inputs!$C$21^2/2)*01_Inputs!$C$22+01_Inputs!$C$21*SQRT(01_Inputs!$C$22)*B223)</f>
        <v>70.3505555415176</v>
      </c>
      <c r="D223" s="78" t="n">
        <f aca="false">MAX(C223-05_Unit_Economics!$B$21,0)</f>
        <v>32.4429500670141</v>
      </c>
      <c r="E223" s="78" t="n">
        <f aca="false">D223*EXP(-01_Inputs!$C$20*01_Inputs!$C$22)</f>
        <v>31.0464094587296</v>
      </c>
      <c r="F223" s="80" t="n">
        <f aca="false">AVERAGE(E222:E223)</f>
        <v>17.3063349672019</v>
      </c>
    </row>
    <row r="224" customFormat="false" ht="15" hidden="false" customHeight="false" outlineLevel="0" collapsed="false">
      <c r="A224" s="76" t="n">
        <v>213</v>
      </c>
      <c r="B224" s="77" t="n">
        <v>0.049269</v>
      </c>
      <c r="C224" s="78" t="n">
        <f aca="false">05_Unit_Economics!$B$15*EXP((01_Inputs!$C$20-01_Inputs!$C$21^2/2)*01_Inputs!$C$22+01_Inputs!$C$21*SQRT(01_Inputs!$C$22)*B224)</f>
        <v>55.0615406354841</v>
      </c>
      <c r="D224" s="78" t="n">
        <f aca="false">MAX(C224-05_Unit_Economics!$B$21,0)</f>
        <v>17.1539351609806</v>
      </c>
      <c r="E224" s="78" t="n">
        <f aca="false">D224*EXP(-01_Inputs!$C$20*01_Inputs!$C$22)</f>
        <v>16.4155261385364</v>
      </c>
      <c r="F224" s="79"/>
    </row>
    <row r="225" customFormat="false" ht="15" hidden="false" customHeight="false" outlineLevel="0" collapsed="false">
      <c r="A225" s="76" t="n">
        <v>214</v>
      </c>
      <c r="B225" s="77" t="n">
        <v>-0.049269</v>
      </c>
      <c r="C225" s="78" t="n">
        <f aca="false">05_Unit_Economics!$B$15*EXP((01_Inputs!$C$20-01_Inputs!$C$21^2/2)*01_Inputs!$C$22+01_Inputs!$C$21*SQRT(01_Inputs!$C$22)*B225)</f>
        <v>53.1949347502108</v>
      </c>
      <c r="D225" s="78" t="n">
        <f aca="false">MAX(C225-05_Unit_Economics!$B$21,0)</f>
        <v>15.2873292757073</v>
      </c>
      <c r="E225" s="78" t="n">
        <f aca="false">D225*EXP(-01_Inputs!$C$20*01_Inputs!$C$22)</f>
        <v>14.6292702495816</v>
      </c>
      <c r="F225" s="80" t="n">
        <f aca="false">AVERAGE(E224:E225)</f>
        <v>15.522398194059</v>
      </c>
    </row>
    <row r="226" customFormat="false" ht="15" hidden="false" customHeight="false" outlineLevel="0" collapsed="false">
      <c r="A226" s="76" t="n">
        <v>215</v>
      </c>
      <c r="B226" s="77" t="n">
        <v>0.204325</v>
      </c>
      <c r="C226" s="78" t="n">
        <f aca="false">05_Unit_Economics!$B$15*EXP((01_Inputs!$C$20-01_Inputs!$C$21^2/2)*01_Inputs!$C$22+01_Inputs!$C$21*SQRT(01_Inputs!$C$22)*B226)</f>
        <v>58.1322786615587</v>
      </c>
      <c r="D226" s="78" t="n">
        <f aca="false">MAX(C226-05_Unit_Economics!$B$21,0)</f>
        <v>20.2246731870553</v>
      </c>
      <c r="E226" s="78" t="n">
        <f aca="false">D226*EXP(-01_Inputs!$C$20*01_Inputs!$C$22)</f>
        <v>19.3540810449516</v>
      </c>
      <c r="F226" s="79"/>
    </row>
    <row r="227" customFormat="false" ht="15" hidden="false" customHeight="false" outlineLevel="0" collapsed="false">
      <c r="A227" s="76" t="n">
        <v>216</v>
      </c>
      <c r="B227" s="77" t="n">
        <v>-0.204325</v>
      </c>
      <c r="C227" s="78" t="n">
        <f aca="false">05_Unit_Economics!$B$15*EXP((01_Inputs!$C$20-01_Inputs!$C$21^2/2)*01_Inputs!$C$22+01_Inputs!$C$21*SQRT(01_Inputs!$C$22)*B227)</f>
        <v>50.3850034574254</v>
      </c>
      <c r="D227" s="78" t="n">
        <f aca="false">MAX(C227-05_Unit_Economics!$B$21,0)</f>
        <v>12.4773979829219</v>
      </c>
      <c r="E227" s="78" t="n">
        <f aca="false">D227*EXP(-01_Inputs!$C$20*01_Inputs!$C$22)</f>
        <v>11.9402953787233</v>
      </c>
      <c r="F227" s="80" t="n">
        <f aca="false">AVERAGE(E226:E227)</f>
        <v>15.6471882118374</v>
      </c>
    </row>
    <row r="228" customFormat="false" ht="15" hidden="false" customHeight="false" outlineLevel="0" collapsed="false">
      <c r="A228" s="76" t="n">
        <v>217</v>
      </c>
      <c r="B228" s="77" t="n">
        <v>0.089059</v>
      </c>
      <c r="C228" s="78" t="n">
        <f aca="false">05_Unit_Economics!$B$15*EXP((01_Inputs!$C$20-01_Inputs!$C$21^2/2)*01_Inputs!$C$22+01_Inputs!$C$21*SQRT(01_Inputs!$C$22)*B228)</f>
        <v>55.8337195760172</v>
      </c>
      <c r="D228" s="78" t="n">
        <f aca="false">MAX(C228-05_Unit_Economics!$B$21,0)</f>
        <v>17.9261141015137</v>
      </c>
      <c r="E228" s="78" t="n">
        <f aca="false">D228*EXP(-01_Inputs!$C$20*01_Inputs!$C$22)</f>
        <v>17.1544658315569</v>
      </c>
      <c r="F228" s="79"/>
    </row>
    <row r="229" customFormat="false" ht="15" hidden="false" customHeight="false" outlineLevel="0" collapsed="false">
      <c r="A229" s="76" t="n">
        <v>218</v>
      </c>
      <c r="B229" s="77" t="n">
        <v>-0.089059</v>
      </c>
      <c r="C229" s="78" t="n">
        <f aca="false">05_Unit_Economics!$B$15*EXP((01_Inputs!$C$20-01_Inputs!$C$21^2/2)*01_Inputs!$C$22+01_Inputs!$C$21*SQRT(01_Inputs!$C$22)*B229)</f>
        <v>52.4592501375956</v>
      </c>
      <c r="D229" s="78" t="n">
        <f aca="false">MAX(C229-05_Unit_Economics!$B$21,0)</f>
        <v>14.5516446630921</v>
      </c>
      <c r="E229" s="78" t="n">
        <f aca="false">D229*EXP(-01_Inputs!$C$20*01_Inputs!$C$22)</f>
        <v>13.9252539480875</v>
      </c>
      <c r="F229" s="80" t="n">
        <f aca="false">AVERAGE(E228:E229)</f>
        <v>15.5398598898222</v>
      </c>
    </row>
    <row r="230" customFormat="false" ht="15" hidden="false" customHeight="false" outlineLevel="0" collapsed="false">
      <c r="A230" s="76" t="n">
        <v>219</v>
      </c>
      <c r="B230" s="77" t="n">
        <v>-0.52484</v>
      </c>
      <c r="C230" s="78" t="n">
        <f aca="false">05_Unit_Economics!$B$15*EXP((01_Inputs!$C$20-01_Inputs!$C$21^2/2)*01_Inputs!$C$22+01_Inputs!$C$21*SQRT(01_Inputs!$C$22)*B230)</f>
        <v>45.0383041192367</v>
      </c>
      <c r="D230" s="78" t="n">
        <f aca="false">MAX(C230-05_Unit_Economics!$B$21,0)</f>
        <v>7.13069864473322</v>
      </c>
      <c r="E230" s="78" t="n">
        <f aca="false">D230*EXP(-01_Inputs!$C$20*01_Inputs!$C$22)</f>
        <v>6.82375028762514</v>
      </c>
      <c r="F230" s="79"/>
    </row>
    <row r="231" customFormat="false" ht="15" hidden="false" customHeight="false" outlineLevel="0" collapsed="false">
      <c r="A231" s="76" t="n">
        <v>220</v>
      </c>
      <c r="B231" s="77" t="n">
        <v>0.52484</v>
      </c>
      <c r="C231" s="78" t="n">
        <f aca="false">05_Unit_Economics!$B$15*EXP((01_Inputs!$C$20-01_Inputs!$C$21^2/2)*01_Inputs!$C$22+01_Inputs!$C$21*SQRT(01_Inputs!$C$22)*B231)</f>
        <v>65.0334225195576</v>
      </c>
      <c r="D231" s="78" t="n">
        <f aca="false">MAX(C231-05_Unit_Economics!$B$21,0)</f>
        <v>27.1258170450542</v>
      </c>
      <c r="E231" s="78" t="n">
        <f aca="false">D231*EXP(-01_Inputs!$C$20*01_Inputs!$C$22)</f>
        <v>25.9581579709544</v>
      </c>
      <c r="F231" s="80" t="n">
        <f aca="false">AVERAGE(E230:E231)</f>
        <v>16.3909541292898</v>
      </c>
    </row>
    <row r="232" customFormat="false" ht="15" hidden="false" customHeight="false" outlineLevel="0" collapsed="false">
      <c r="A232" s="76" t="n">
        <v>221</v>
      </c>
      <c r="B232" s="77" t="n">
        <v>-0.332672</v>
      </c>
      <c r="C232" s="78" t="n">
        <f aca="false">05_Unit_Economics!$B$15*EXP((01_Inputs!$C$20-01_Inputs!$C$21^2/2)*01_Inputs!$C$22+01_Inputs!$C$21*SQRT(01_Inputs!$C$22)*B232)</f>
        <v>48.1717201674615</v>
      </c>
      <c r="D232" s="78" t="n">
        <f aca="false">MAX(C232-05_Unit_Economics!$B$21,0)</f>
        <v>10.264114692958</v>
      </c>
      <c r="E232" s="78" t="n">
        <f aca="false">D232*EXP(-01_Inputs!$C$20*01_Inputs!$C$22)</f>
        <v>9.82228517538343</v>
      </c>
      <c r="F232" s="79"/>
    </row>
    <row r="233" customFormat="false" ht="15" hidden="false" customHeight="false" outlineLevel="0" collapsed="false">
      <c r="A233" s="76" t="n">
        <v>222</v>
      </c>
      <c r="B233" s="77" t="n">
        <v>0.332672</v>
      </c>
      <c r="C233" s="78" t="n">
        <f aca="false">05_Unit_Economics!$B$15*EXP((01_Inputs!$C$20-01_Inputs!$C$21^2/2)*01_Inputs!$C$22+01_Inputs!$C$21*SQRT(01_Inputs!$C$22)*B233)</f>
        <v>60.8032067604905</v>
      </c>
      <c r="D233" s="78" t="n">
        <f aca="false">MAX(C233-05_Unit_Economics!$B$21,0)</f>
        <v>22.895601285987</v>
      </c>
      <c r="E233" s="78" t="n">
        <f aca="false">D233*EXP(-01_Inputs!$C$20*01_Inputs!$C$22)</f>
        <v>21.9100362593503</v>
      </c>
      <c r="F233" s="80" t="n">
        <f aca="false">AVERAGE(E232:E233)</f>
        <v>15.8661607173669</v>
      </c>
    </row>
    <row r="234" customFormat="false" ht="15" hidden="false" customHeight="false" outlineLevel="0" collapsed="false">
      <c r="A234" s="76" t="n">
        <v>223</v>
      </c>
      <c r="B234" s="77" t="n">
        <v>-0.795208</v>
      </c>
      <c r="C234" s="78" t="n">
        <f aca="false">05_Unit_Economics!$B$15*EXP((01_Inputs!$C$20-01_Inputs!$C$21^2/2)*01_Inputs!$C$22+01_Inputs!$C$21*SQRT(01_Inputs!$C$22)*B234)</f>
        <v>40.9718206978331</v>
      </c>
      <c r="D234" s="78" t="n">
        <f aca="false">MAX(C234-05_Unit_Economics!$B$21,0)</f>
        <v>3.06421522332958</v>
      </c>
      <c r="E234" s="78" t="n">
        <f aca="false">D234*EXP(-01_Inputs!$C$20*01_Inputs!$C$22)</f>
        <v>2.9323128845144</v>
      </c>
      <c r="F234" s="79"/>
    </row>
    <row r="235" customFormat="false" ht="15" hidden="false" customHeight="false" outlineLevel="0" collapsed="false">
      <c r="A235" s="76" t="n">
        <v>224</v>
      </c>
      <c r="B235" s="77" t="n">
        <v>0.795208</v>
      </c>
      <c r="C235" s="78" t="n">
        <f aca="false">05_Unit_Economics!$B$15*EXP((01_Inputs!$C$20-01_Inputs!$C$21^2/2)*01_Inputs!$C$22+01_Inputs!$C$21*SQRT(01_Inputs!$C$22)*B235)</f>
        <v>71.4880376674489</v>
      </c>
      <c r="D235" s="78" t="n">
        <f aca="false">MAX(C235-05_Unit_Economics!$B$21,0)</f>
        <v>33.5804321929454</v>
      </c>
      <c r="E235" s="78" t="n">
        <f aca="false">D235*EXP(-01_Inputs!$C$20*01_Inputs!$C$22)</f>
        <v>32.1349274806944</v>
      </c>
      <c r="F235" s="80" t="n">
        <f aca="false">AVERAGE(E234:E235)</f>
        <v>17.5336201826044</v>
      </c>
    </row>
    <row r="236" customFormat="false" ht="15" hidden="false" customHeight="false" outlineLevel="0" collapsed="false">
      <c r="A236" s="76" t="n">
        <v>225</v>
      </c>
      <c r="B236" s="77" t="n">
        <v>0.42769</v>
      </c>
      <c r="C236" s="78" t="n">
        <f aca="false">05_Unit_Economics!$B$15*EXP((01_Inputs!$C$20-01_Inputs!$C$21^2/2)*01_Inputs!$C$22+01_Inputs!$C$21*SQRT(01_Inputs!$C$22)*B236)</f>
        <v>62.8592959080193</v>
      </c>
      <c r="D236" s="78" t="n">
        <f aca="false">MAX(C236-05_Unit_Economics!$B$21,0)</f>
        <v>24.9516904335159</v>
      </c>
      <c r="E236" s="78" t="n">
        <f aca="false">D236*EXP(-01_Inputs!$C$20*01_Inputs!$C$22)</f>
        <v>23.8776189059954</v>
      </c>
      <c r="F236" s="79"/>
    </row>
    <row r="237" customFormat="false" ht="15" hidden="false" customHeight="false" outlineLevel="0" collapsed="false">
      <c r="A237" s="76" t="n">
        <v>226</v>
      </c>
      <c r="B237" s="77" t="n">
        <v>-0.42769</v>
      </c>
      <c r="C237" s="78" t="n">
        <f aca="false">05_Unit_Economics!$B$15*EXP((01_Inputs!$C$20-01_Inputs!$C$21^2/2)*01_Inputs!$C$22+01_Inputs!$C$21*SQRT(01_Inputs!$C$22)*B237)</f>
        <v>46.5960526448879</v>
      </c>
      <c r="D237" s="78" t="n">
        <f aca="false">MAX(C237-05_Unit_Economics!$B$21,0)</f>
        <v>8.68844717038439</v>
      </c>
      <c r="E237" s="78" t="n">
        <f aca="false">D237*EXP(-01_Inputs!$C$20*01_Inputs!$C$22)</f>
        <v>8.31444390399483</v>
      </c>
      <c r="F237" s="80" t="n">
        <f aca="false">AVERAGE(E236:E237)</f>
        <v>16.0960314049951</v>
      </c>
    </row>
    <row r="238" customFormat="false" ht="15" hidden="false" customHeight="false" outlineLevel="0" collapsed="false">
      <c r="A238" s="76" t="n">
        <v>227</v>
      </c>
      <c r="B238" s="77" t="n">
        <v>2.298723</v>
      </c>
      <c r="C238" s="78" t="n">
        <f aca="false">05_Unit_Economics!$B$15*EXP((01_Inputs!$C$20-01_Inputs!$C$21^2/2)*01_Inputs!$C$22+01_Inputs!$C$21*SQRT(01_Inputs!$C$22)*B238)</f>
        <v>120.996350060497</v>
      </c>
      <c r="D238" s="78" t="n">
        <f aca="false">MAX(C238-05_Unit_Economics!$B$21,0)</f>
        <v>83.0887445859938</v>
      </c>
      <c r="E238" s="78" t="n">
        <f aca="false">D238*EXP(-01_Inputs!$C$20*01_Inputs!$C$22)</f>
        <v>79.5121029530339</v>
      </c>
      <c r="F238" s="79"/>
    </row>
    <row r="239" customFormat="false" ht="15" hidden="false" customHeight="false" outlineLevel="0" collapsed="false">
      <c r="A239" s="76" t="n">
        <v>228</v>
      </c>
      <c r="B239" s="77" t="n">
        <v>-2.298723</v>
      </c>
      <c r="C239" s="78" t="n">
        <f aca="false">05_Unit_Economics!$B$15*EXP((01_Inputs!$C$20-01_Inputs!$C$21^2/2)*01_Inputs!$C$22+01_Inputs!$C$21*SQRT(01_Inputs!$C$22)*B239)</f>
        <v>24.2073009630966</v>
      </c>
      <c r="D239" s="78" t="n">
        <f aca="false">MAX(C239-05_Unit_Economics!$B$21,0)</f>
        <v>0</v>
      </c>
      <c r="E239" s="78" t="n">
        <f aca="false">D239*EXP(-01_Inputs!$C$20*01_Inputs!$C$22)</f>
        <v>0</v>
      </c>
      <c r="F239" s="80" t="n">
        <f aca="false">AVERAGE(E238:E239)</f>
        <v>39.756051476517</v>
      </c>
    </row>
    <row r="240" customFormat="false" ht="15" hidden="false" customHeight="false" outlineLevel="0" collapsed="false">
      <c r="A240" s="76" t="n">
        <v>229</v>
      </c>
      <c r="B240" s="77" t="n">
        <v>0.043369</v>
      </c>
      <c r="C240" s="78" t="n">
        <f aca="false">05_Unit_Economics!$B$15*EXP((01_Inputs!$C$20-01_Inputs!$C$21^2/2)*01_Inputs!$C$22+01_Inputs!$C$21*SQRT(01_Inputs!$C$22)*B240)</f>
        <v>54.947955870704</v>
      </c>
      <c r="D240" s="78" t="n">
        <f aca="false">MAX(C240-05_Unit_Economics!$B$21,0)</f>
        <v>17.0403503962005</v>
      </c>
      <c r="E240" s="78" t="n">
        <f aca="false">D240*EXP(-01_Inputs!$C$20*01_Inputs!$C$22)</f>
        <v>16.3068307483715</v>
      </c>
      <c r="F240" s="79"/>
    </row>
    <row r="241" customFormat="false" ht="15" hidden="false" customHeight="false" outlineLevel="0" collapsed="false">
      <c r="A241" s="76" t="n">
        <v>230</v>
      </c>
      <c r="B241" s="77" t="n">
        <v>-0.043369</v>
      </c>
      <c r="C241" s="78" t="n">
        <f aca="false">05_Unit_Economics!$B$15*EXP((01_Inputs!$C$20-01_Inputs!$C$21^2/2)*01_Inputs!$C$22+01_Inputs!$C$21*SQRT(01_Inputs!$C$22)*B241)</f>
        <v>53.3048957861647</v>
      </c>
      <c r="D241" s="78" t="n">
        <f aca="false">MAX(C241-05_Unit_Economics!$B$21,0)</f>
        <v>15.3972903116612</v>
      </c>
      <c r="E241" s="78" t="n">
        <f aca="false">D241*EXP(-01_Inputs!$C$20*01_Inputs!$C$22)</f>
        <v>14.7344978981056</v>
      </c>
      <c r="F241" s="80" t="n">
        <f aca="false">AVERAGE(E240:E241)</f>
        <v>15.5206643232385</v>
      </c>
    </row>
    <row r="242" customFormat="false" ht="15" hidden="false" customHeight="false" outlineLevel="0" collapsed="false">
      <c r="A242" s="76" t="n">
        <v>231</v>
      </c>
      <c r="B242" s="77" t="n">
        <v>-0.723711</v>
      </c>
      <c r="C242" s="78" t="n">
        <f aca="false">05_Unit_Economics!$B$15*EXP((01_Inputs!$C$20-01_Inputs!$C$21^2/2)*01_Inputs!$C$22+01_Inputs!$C$21*SQRT(01_Inputs!$C$22)*B242)</f>
        <v>42.0100334051556</v>
      </c>
      <c r="D242" s="78" t="n">
        <f aca="false">MAX(C242-05_Unit_Economics!$B$21,0)</f>
        <v>4.10242793065213</v>
      </c>
      <c r="E242" s="78" t="n">
        <f aca="false">D242*EXP(-01_Inputs!$C$20*01_Inputs!$C$22)</f>
        <v>3.92583464348552</v>
      </c>
      <c r="F242" s="79"/>
    </row>
    <row r="243" customFormat="false" ht="15" hidden="false" customHeight="false" outlineLevel="0" collapsed="false">
      <c r="A243" s="76" t="n">
        <v>232</v>
      </c>
      <c r="B243" s="77" t="n">
        <v>0.723711</v>
      </c>
      <c r="C243" s="78" t="n">
        <f aca="false">05_Unit_Economics!$B$15*EXP((01_Inputs!$C$20-01_Inputs!$C$21^2/2)*01_Inputs!$C$22+01_Inputs!$C$21*SQRT(01_Inputs!$C$22)*B243)</f>
        <v>69.7213218828623</v>
      </c>
      <c r="D243" s="78" t="n">
        <f aca="false">MAX(C243-05_Unit_Economics!$B$21,0)</f>
        <v>31.8137164083588</v>
      </c>
      <c r="E243" s="78" t="n">
        <f aca="false">D243*EXP(-01_Inputs!$C$20*01_Inputs!$C$22)</f>
        <v>30.4442618189042</v>
      </c>
      <c r="F243" s="80" t="n">
        <f aca="false">AVERAGE(E242:E243)</f>
        <v>17.1850482311949</v>
      </c>
    </row>
    <row r="244" customFormat="false" ht="15" hidden="false" customHeight="false" outlineLevel="0" collapsed="false">
      <c r="A244" s="76" t="n">
        <v>233</v>
      </c>
      <c r="B244" s="77" t="n">
        <v>-1.055821</v>
      </c>
      <c r="C244" s="78" t="n">
        <f aca="false">05_Unit_Economics!$B$15*EXP((01_Inputs!$C$20-01_Inputs!$C$21^2/2)*01_Inputs!$C$22+01_Inputs!$C$21*SQRT(01_Inputs!$C$22)*B244)</f>
        <v>37.399972919867</v>
      </c>
      <c r="D244" s="78" t="n">
        <f aca="false">MAX(C244-05_Unit_Economics!$B$21,0)</f>
        <v>0</v>
      </c>
      <c r="E244" s="78" t="n">
        <f aca="false">D244*EXP(-01_Inputs!$C$20*01_Inputs!$C$22)</f>
        <v>0</v>
      </c>
      <c r="F244" s="79"/>
    </row>
    <row r="245" customFormat="false" ht="15" hidden="false" customHeight="false" outlineLevel="0" collapsed="false">
      <c r="A245" s="76" t="n">
        <v>234</v>
      </c>
      <c r="B245" s="77" t="n">
        <v>1.055821</v>
      </c>
      <c r="C245" s="78" t="n">
        <f aca="false">05_Unit_Economics!$B$15*EXP((01_Inputs!$C$20-01_Inputs!$C$21^2/2)*01_Inputs!$C$22+01_Inputs!$C$21*SQRT(01_Inputs!$C$22)*B245)</f>
        <v>78.31543267762</v>
      </c>
      <c r="D245" s="78" t="n">
        <f aca="false">MAX(C245-05_Unit_Economics!$B$21,0)</f>
        <v>40.4078272031165</v>
      </c>
      <c r="E245" s="78" t="n">
        <f aca="false">D245*EXP(-01_Inputs!$C$20*01_Inputs!$C$22)</f>
        <v>38.6684301549094</v>
      </c>
      <c r="F245" s="80" t="n">
        <f aca="false">AVERAGE(E244:E245)</f>
        <v>19.3342150774547</v>
      </c>
    </row>
    <row r="246" customFormat="false" ht="15" hidden="false" customHeight="false" outlineLevel="0" collapsed="false">
      <c r="A246" s="76" t="n">
        <v>235</v>
      </c>
      <c r="B246" s="77" t="n">
        <v>-0.80567</v>
      </c>
      <c r="C246" s="78" t="n">
        <f aca="false">05_Unit_Economics!$B$15*EXP((01_Inputs!$C$20-01_Inputs!$C$21^2/2)*01_Inputs!$C$22+01_Inputs!$C$21*SQRT(01_Inputs!$C$22)*B246)</f>
        <v>40.8220685230766</v>
      </c>
      <c r="D246" s="78" t="n">
        <f aca="false">MAX(C246-05_Unit_Economics!$B$21,0)</f>
        <v>2.91446304857313</v>
      </c>
      <c r="E246" s="78" t="n">
        <f aca="false">D246*EXP(-01_Inputs!$C$20*01_Inputs!$C$22)</f>
        <v>2.78900694824101</v>
      </c>
      <c r="F246" s="79"/>
    </row>
    <row r="247" customFormat="false" ht="15" hidden="false" customHeight="false" outlineLevel="0" collapsed="false">
      <c r="A247" s="76" t="n">
        <v>236</v>
      </c>
      <c r="B247" s="77" t="n">
        <v>0.80567</v>
      </c>
      <c r="C247" s="78" t="n">
        <f aca="false">05_Unit_Economics!$B$15*EXP((01_Inputs!$C$20-01_Inputs!$C$21^2/2)*01_Inputs!$C$22+01_Inputs!$C$21*SQRT(01_Inputs!$C$22)*B247)</f>
        <v>71.7502852579579</v>
      </c>
      <c r="D247" s="78" t="n">
        <f aca="false">MAX(C247-05_Unit_Economics!$B$21,0)</f>
        <v>33.8426797834545</v>
      </c>
      <c r="E247" s="78" t="n">
        <f aca="false">D247*EXP(-01_Inputs!$C$20*01_Inputs!$C$22)</f>
        <v>32.3858863502698</v>
      </c>
      <c r="F247" s="80" t="n">
        <f aca="false">AVERAGE(E246:E247)</f>
        <v>17.5874466492554</v>
      </c>
    </row>
    <row r="248" customFormat="false" ht="15" hidden="false" customHeight="false" outlineLevel="0" collapsed="false">
      <c r="A248" s="76" t="n">
        <v>237</v>
      </c>
      <c r="B248" s="77" t="n">
        <v>2.66779</v>
      </c>
      <c r="C248" s="78" t="n">
        <f aca="false">05_Unit_Economics!$B$15*EXP((01_Inputs!$C$20-01_Inputs!$C$21^2/2)*01_Inputs!$C$22+01_Inputs!$C$21*SQRT(01_Inputs!$C$22)*B248)</f>
        <v>137.680231089081</v>
      </c>
      <c r="D248" s="78" t="n">
        <f aca="false">MAX(C248-05_Unit_Economics!$B$21,0)</f>
        <v>99.772625614578</v>
      </c>
      <c r="E248" s="78" t="n">
        <f aca="false">D248*EXP(-01_Inputs!$C$20*01_Inputs!$C$22)</f>
        <v>95.477808929347</v>
      </c>
      <c r="F248" s="79"/>
    </row>
    <row r="249" customFormat="false" ht="15" hidden="false" customHeight="false" outlineLevel="0" collapsed="false">
      <c r="A249" s="76" t="n">
        <v>238</v>
      </c>
      <c r="B249" s="77" t="n">
        <v>-2.66779</v>
      </c>
      <c r="C249" s="78" t="n">
        <f aca="false">05_Unit_Economics!$B$15*EXP((01_Inputs!$C$20-01_Inputs!$C$21^2/2)*01_Inputs!$C$22+01_Inputs!$C$21*SQRT(01_Inputs!$C$22)*B249)</f>
        <v>21.2738970452159</v>
      </c>
      <c r="D249" s="78" t="n">
        <f aca="false">MAX(C249-05_Unit_Economics!$B$21,0)</f>
        <v>0</v>
      </c>
      <c r="E249" s="78" t="n">
        <f aca="false">D249*EXP(-01_Inputs!$C$20*01_Inputs!$C$22)</f>
        <v>0</v>
      </c>
      <c r="F249" s="80" t="n">
        <f aca="false">AVERAGE(E248:E249)</f>
        <v>47.7389044646735</v>
      </c>
    </row>
    <row r="250" customFormat="false" ht="15" hidden="false" customHeight="false" outlineLevel="0" collapsed="false">
      <c r="A250" s="76" t="n">
        <v>239</v>
      </c>
      <c r="B250" s="77" t="n">
        <v>-0.501429</v>
      </c>
      <c r="C250" s="78" t="n">
        <f aca="false">05_Unit_Economics!$B$15*EXP((01_Inputs!$C$20-01_Inputs!$C$21^2/2)*01_Inputs!$C$22+01_Inputs!$C$21*SQRT(01_Inputs!$C$22)*B250)</f>
        <v>45.4088572827463</v>
      </c>
      <c r="D250" s="78" t="n">
        <f aca="false">MAX(C250-05_Unit_Economics!$B$21,0)</f>
        <v>7.50125180824279</v>
      </c>
      <c r="E250" s="78" t="n">
        <f aca="false">D250*EXP(-01_Inputs!$C$20*01_Inputs!$C$22)</f>
        <v>7.17835260389979</v>
      </c>
      <c r="F250" s="79"/>
    </row>
    <row r="251" customFormat="false" ht="15" hidden="false" customHeight="false" outlineLevel="0" collapsed="false">
      <c r="A251" s="76" t="n">
        <v>240</v>
      </c>
      <c r="B251" s="77" t="n">
        <v>0.501429</v>
      </c>
      <c r="C251" s="78" t="n">
        <f aca="false">05_Unit_Economics!$B$15*EXP((01_Inputs!$C$20-01_Inputs!$C$21^2/2)*01_Inputs!$C$22+01_Inputs!$C$21*SQRT(01_Inputs!$C$22)*B251)</f>
        <v>64.5027256051115</v>
      </c>
      <c r="D251" s="78" t="n">
        <f aca="false">MAX(C251-05_Unit_Economics!$B$21,0)</f>
        <v>26.5951201306081</v>
      </c>
      <c r="E251" s="78" t="n">
        <f aca="false">D251*EXP(-01_Inputs!$C$20*01_Inputs!$C$22)</f>
        <v>25.4503054584565</v>
      </c>
      <c r="F251" s="80" t="n">
        <f aca="false">AVERAGE(E250:E251)</f>
        <v>16.3143290311781</v>
      </c>
    </row>
    <row r="252" customFormat="false" ht="15" hidden="false" customHeight="false" outlineLevel="0" collapsed="false">
      <c r="A252" s="76" t="n">
        <v>241</v>
      </c>
      <c r="B252" s="77" t="n">
        <v>0.959136</v>
      </c>
      <c r="C252" s="78" t="n">
        <f aca="false">05_Unit_Economics!$B$15*EXP((01_Inputs!$C$20-01_Inputs!$C$21^2/2)*01_Inputs!$C$22+01_Inputs!$C$21*SQRT(01_Inputs!$C$22)*B252)</f>
        <v>75.7095970904166</v>
      </c>
      <c r="D252" s="78" t="n">
        <f aca="false">MAX(C252-05_Unit_Economics!$B$21,0)</f>
        <v>37.8019916159131</v>
      </c>
      <c r="E252" s="78" t="n">
        <f aca="false">D252*EXP(-01_Inputs!$C$20*01_Inputs!$C$22)</f>
        <v>36.174765477211</v>
      </c>
      <c r="F252" s="79"/>
    </row>
    <row r="253" customFormat="false" ht="15" hidden="false" customHeight="false" outlineLevel="0" collapsed="false">
      <c r="A253" s="76" t="n">
        <v>242</v>
      </c>
      <c r="B253" s="77" t="n">
        <v>-0.959136</v>
      </c>
      <c r="C253" s="78" t="n">
        <f aca="false">05_Unit_Economics!$B$15*EXP((01_Inputs!$C$20-01_Inputs!$C$21^2/2)*01_Inputs!$C$22+01_Inputs!$C$21*SQRT(01_Inputs!$C$22)*B253)</f>
        <v>38.6872361485782</v>
      </c>
      <c r="D253" s="78" t="n">
        <f aca="false">MAX(C253-05_Unit_Economics!$B$21,0)</f>
        <v>0.779630674074682</v>
      </c>
      <c r="E253" s="78" t="n">
        <f aca="false">D253*EXP(-01_Inputs!$C$20*01_Inputs!$C$22)</f>
        <v>0.746070658923145</v>
      </c>
      <c r="F253" s="80" t="n">
        <f aca="false">AVERAGE(E252:E253)</f>
        <v>18.4604180680671</v>
      </c>
    </row>
    <row r="254" customFormat="false" ht="15" hidden="false" customHeight="false" outlineLevel="0" collapsed="false">
      <c r="A254" s="76" t="n">
        <v>243</v>
      </c>
      <c r="B254" s="77" t="n">
        <v>0.010666</v>
      </c>
      <c r="C254" s="78" t="n">
        <f aca="false">05_Unit_Economics!$B$15*EXP((01_Inputs!$C$20-01_Inputs!$C$21^2/2)*01_Inputs!$C$22+01_Inputs!$C$21*SQRT(01_Inputs!$C$22)*B254)</f>
        <v>54.3226045490234</v>
      </c>
      <c r="D254" s="78" t="n">
        <f aca="false">MAX(C254-05_Unit_Economics!$B$21,0)</f>
        <v>16.4149990745199</v>
      </c>
      <c r="E254" s="78" t="n">
        <f aca="false">D254*EXP(-01_Inputs!$C$20*01_Inputs!$C$22)</f>
        <v>15.7083983262783</v>
      </c>
      <c r="F254" s="79"/>
    </row>
    <row r="255" customFormat="false" ht="15" hidden="false" customHeight="false" outlineLevel="0" collapsed="false">
      <c r="A255" s="76" t="n">
        <v>244</v>
      </c>
      <c r="B255" s="77" t="n">
        <v>-0.010666</v>
      </c>
      <c r="C255" s="78" t="n">
        <f aca="false">05_Unit_Economics!$B$15*EXP((01_Inputs!$C$20-01_Inputs!$C$21^2/2)*01_Inputs!$C$22+01_Inputs!$C$21*SQRT(01_Inputs!$C$22)*B255)</f>
        <v>53.9185314413152</v>
      </c>
      <c r="D255" s="78" t="n">
        <f aca="false">MAX(C255-05_Unit_Economics!$B$21,0)</f>
        <v>16.0109259668117</v>
      </c>
      <c r="E255" s="78" t="n">
        <f aca="false">D255*EXP(-01_Inputs!$C$20*01_Inputs!$C$22)</f>
        <v>15.3217189667485</v>
      </c>
      <c r="F255" s="80" t="n">
        <f aca="false">AVERAGE(E254:E255)</f>
        <v>15.5150586465134</v>
      </c>
    </row>
    <row r="256" customFormat="false" ht="15" hidden="false" customHeight="false" outlineLevel="0" collapsed="false">
      <c r="A256" s="76" t="n">
        <v>245</v>
      </c>
      <c r="B256" s="77" t="n">
        <v>-2.139803</v>
      </c>
      <c r="C256" s="78" t="n">
        <f aca="false">05_Unit_Economics!$B$15*EXP((01_Inputs!$C$20-01_Inputs!$C$21^2/2)*01_Inputs!$C$22+01_Inputs!$C$21*SQRT(01_Inputs!$C$22)*B256)</f>
        <v>25.5919098575923</v>
      </c>
      <c r="D256" s="78" t="n">
        <f aca="false">MAX(C256-05_Unit_Economics!$B$21,0)</f>
        <v>0</v>
      </c>
      <c r="E256" s="78" t="n">
        <f aca="false">D256*EXP(-01_Inputs!$C$20*01_Inputs!$C$22)</f>
        <v>0</v>
      </c>
      <c r="F256" s="79"/>
    </row>
    <row r="257" customFormat="false" ht="15" hidden="false" customHeight="false" outlineLevel="0" collapsed="false">
      <c r="A257" s="76" t="n">
        <v>246</v>
      </c>
      <c r="B257" s="77" t="n">
        <v>2.139803</v>
      </c>
      <c r="C257" s="78" t="n">
        <f aca="false">05_Unit_Economics!$B$15*EXP((01_Inputs!$C$20-01_Inputs!$C$21^2/2)*01_Inputs!$C$22+01_Inputs!$C$21*SQRT(01_Inputs!$C$22)*B257)</f>
        <v>114.450038221033</v>
      </c>
      <c r="D257" s="78" t="n">
        <f aca="false">MAX(C257-05_Unit_Economics!$B$21,0)</f>
        <v>76.542432746529</v>
      </c>
      <c r="E257" s="78" t="n">
        <f aca="false">D257*EXP(-01_Inputs!$C$20*01_Inputs!$C$22)</f>
        <v>73.2475839314055</v>
      </c>
      <c r="F257" s="80" t="n">
        <f aca="false">AVERAGE(E256:E257)</f>
        <v>36.6237919657027</v>
      </c>
    </row>
    <row r="258" customFormat="false" ht="15" hidden="false" customHeight="false" outlineLevel="0" collapsed="false">
      <c r="A258" s="76" t="n">
        <v>247</v>
      </c>
      <c r="B258" s="77" t="n">
        <v>-0.25976</v>
      </c>
      <c r="C258" s="78" t="n">
        <f aca="false">05_Unit_Economics!$B$15*EXP((01_Inputs!$C$20-01_Inputs!$C$21^2/2)*01_Inputs!$C$22+01_Inputs!$C$21*SQRT(01_Inputs!$C$22)*B258)</f>
        <v>49.4168436351221</v>
      </c>
      <c r="D258" s="78" t="n">
        <f aca="false">MAX(C258-05_Unit_Economics!$B$21,0)</f>
        <v>11.5092381606187</v>
      </c>
      <c r="E258" s="78" t="n">
        <f aca="false">D258*EXP(-01_Inputs!$C$20*01_Inputs!$C$22)</f>
        <v>11.0138110053038</v>
      </c>
      <c r="F258" s="79"/>
    </row>
    <row r="259" customFormat="false" ht="15" hidden="false" customHeight="false" outlineLevel="0" collapsed="false">
      <c r="A259" s="76" t="n">
        <v>248</v>
      </c>
      <c r="B259" s="77" t="n">
        <v>0.25976</v>
      </c>
      <c r="C259" s="78" t="n">
        <f aca="false">05_Unit_Economics!$B$15*EXP((01_Inputs!$C$20-01_Inputs!$C$21^2/2)*01_Inputs!$C$22+01_Inputs!$C$21*SQRT(01_Inputs!$C$22)*B259)</f>
        <v>59.2711886452603</v>
      </c>
      <c r="D259" s="78" t="n">
        <f aca="false">MAX(C259-05_Unit_Economics!$B$21,0)</f>
        <v>21.3635831707568</v>
      </c>
      <c r="E259" s="78" t="n">
        <f aca="false">D259*EXP(-01_Inputs!$C$20*01_Inputs!$C$22)</f>
        <v>20.4439654610603</v>
      </c>
      <c r="F259" s="80" t="n">
        <f aca="false">AVERAGE(E258:E259)</f>
        <v>15.7288882331821</v>
      </c>
    </row>
    <row r="260" customFormat="false" ht="15" hidden="false" customHeight="false" outlineLevel="0" collapsed="false">
      <c r="A260" s="76" t="n">
        <v>249</v>
      </c>
      <c r="B260" s="77" t="n">
        <v>-1.390274</v>
      </c>
      <c r="C260" s="78" t="n">
        <f aca="false">05_Unit_Economics!$B$15*EXP((01_Inputs!$C$20-01_Inputs!$C$21^2/2)*01_Inputs!$C$22+01_Inputs!$C$21*SQRT(01_Inputs!$C$22)*B260)</f>
        <v>33.2685142056944</v>
      </c>
      <c r="D260" s="78" t="n">
        <f aca="false">MAX(C260-05_Unit_Economics!$B$21,0)</f>
        <v>0</v>
      </c>
      <c r="E260" s="78" t="n">
        <f aca="false">D260*EXP(-01_Inputs!$C$20*01_Inputs!$C$22)</f>
        <v>0</v>
      </c>
      <c r="F260" s="79"/>
    </row>
    <row r="261" customFormat="false" ht="15" hidden="false" customHeight="false" outlineLevel="0" collapsed="false">
      <c r="A261" s="76" t="n">
        <v>250</v>
      </c>
      <c r="B261" s="77" t="n">
        <v>1.390274</v>
      </c>
      <c r="C261" s="78" t="n">
        <f aca="false">05_Unit_Economics!$B$15*EXP((01_Inputs!$C$20-01_Inputs!$C$21^2/2)*01_Inputs!$C$22+01_Inputs!$C$21*SQRT(01_Inputs!$C$22)*B261)</f>
        <v>88.0410541703516</v>
      </c>
      <c r="D261" s="78" t="n">
        <f aca="false">MAX(C261-05_Unit_Economics!$B$21,0)</f>
        <v>50.1334486958481</v>
      </c>
      <c r="E261" s="78" t="n">
        <f aca="false">D261*EXP(-01_Inputs!$C$20*01_Inputs!$C$22)</f>
        <v>47.9754021312638</v>
      </c>
      <c r="F261" s="80" t="n">
        <f aca="false">AVERAGE(E260:E261)</f>
        <v>23.9877010656319</v>
      </c>
    </row>
    <row r="262" customFormat="false" ht="15" hidden="false" customHeight="false" outlineLevel="0" collapsed="false">
      <c r="A262" s="76" t="n">
        <v>251</v>
      </c>
      <c r="B262" s="77" t="n">
        <v>0.572572</v>
      </c>
      <c r="C262" s="78" t="n">
        <f aca="false">05_Unit_Economics!$B$15*EXP((01_Inputs!$C$20-01_Inputs!$C$21^2/2)*01_Inputs!$C$22+01_Inputs!$C$21*SQRT(01_Inputs!$C$22)*B262)</f>
        <v>66.1290099530888</v>
      </c>
      <c r="D262" s="78" t="n">
        <f aca="false">MAX(C262-05_Unit_Economics!$B$21,0)</f>
        <v>28.2214044785853</v>
      </c>
      <c r="E262" s="78" t="n">
        <f aca="false">D262*EXP(-01_Inputs!$C$20*01_Inputs!$C$22)</f>
        <v>27.0065847012298</v>
      </c>
      <c r="F262" s="79"/>
    </row>
    <row r="263" customFormat="false" ht="15" hidden="false" customHeight="false" outlineLevel="0" collapsed="false">
      <c r="A263" s="76" t="n">
        <v>252</v>
      </c>
      <c r="B263" s="77" t="n">
        <v>-0.572572</v>
      </c>
      <c r="C263" s="78" t="n">
        <f aca="false">05_Unit_Economics!$B$15*EXP((01_Inputs!$C$20-01_Inputs!$C$21^2/2)*01_Inputs!$C$22+01_Inputs!$C$21*SQRT(01_Inputs!$C$22)*B263)</f>
        <v>44.2921353794416</v>
      </c>
      <c r="D263" s="78" t="n">
        <f aca="false">MAX(C263-05_Unit_Economics!$B$21,0)</f>
        <v>6.38452990493817</v>
      </c>
      <c r="E263" s="78" t="n">
        <f aca="false">D263*EXP(-01_Inputs!$C$20*01_Inputs!$C$22)</f>
        <v>6.1097011591356</v>
      </c>
      <c r="F263" s="80" t="n">
        <f aca="false">AVERAGE(E262:E263)</f>
        <v>16.5581429301827</v>
      </c>
    </row>
    <row r="264" customFormat="false" ht="15" hidden="false" customHeight="false" outlineLevel="0" collapsed="false">
      <c r="A264" s="76" t="n">
        <v>253</v>
      </c>
      <c r="B264" s="77" t="n">
        <v>0.470267</v>
      </c>
      <c r="C264" s="78" t="n">
        <f aca="false">05_Unit_Economics!$B$15*EXP((01_Inputs!$C$20-01_Inputs!$C$21^2/2)*01_Inputs!$C$22+01_Inputs!$C$21*SQRT(01_Inputs!$C$22)*B264)</f>
        <v>63.8030363143603</v>
      </c>
      <c r="D264" s="78" t="n">
        <f aca="false">MAX(C264-05_Unit_Economics!$B$21,0)</f>
        <v>25.8954308398568</v>
      </c>
      <c r="E264" s="78" t="n">
        <f aca="false">D264*EXP(-01_Inputs!$C$20*01_Inputs!$C$22)</f>
        <v>24.7807350226705</v>
      </c>
      <c r="F264" s="79"/>
    </row>
    <row r="265" customFormat="false" ht="15" hidden="false" customHeight="false" outlineLevel="0" collapsed="false">
      <c r="A265" s="76" t="n">
        <v>254</v>
      </c>
      <c r="B265" s="77" t="n">
        <v>-0.470267</v>
      </c>
      <c r="C265" s="78" t="n">
        <f aca="false">05_Unit_Economics!$B$15*EXP((01_Inputs!$C$20-01_Inputs!$C$21^2/2)*01_Inputs!$C$22+01_Inputs!$C$21*SQRT(01_Inputs!$C$22)*B265)</f>
        <v>45.9068287427477</v>
      </c>
      <c r="D265" s="78" t="n">
        <f aca="false">MAX(C265-05_Unit_Economics!$B$21,0)</f>
        <v>7.99922326824427</v>
      </c>
      <c r="E265" s="78" t="n">
        <f aca="false">D265*EXP(-01_Inputs!$C$20*01_Inputs!$C$22)</f>
        <v>7.65488836325683</v>
      </c>
      <c r="F265" s="80" t="n">
        <f aca="false">AVERAGE(E264:E265)</f>
        <v>16.2178116929637</v>
      </c>
    </row>
    <row r="266" customFormat="false" ht="15" hidden="false" customHeight="false" outlineLevel="0" collapsed="false">
      <c r="A266" s="76" t="n">
        <v>255</v>
      </c>
      <c r="B266" s="77" t="n">
        <v>0.963549</v>
      </c>
      <c r="C266" s="78" t="n">
        <f aca="false">05_Unit_Economics!$B$15*EXP((01_Inputs!$C$20-01_Inputs!$C$21^2/2)*01_Inputs!$C$22+01_Inputs!$C$21*SQRT(01_Inputs!$C$22)*B266)</f>
        <v>75.8266247028366</v>
      </c>
      <c r="D266" s="78" t="n">
        <f aca="false">MAX(C266-05_Unit_Economics!$B$21,0)</f>
        <v>37.9190192283331</v>
      </c>
      <c r="E266" s="78" t="n">
        <f aca="false">D266*EXP(-01_Inputs!$C$20*01_Inputs!$C$22)</f>
        <v>36.2867555140499</v>
      </c>
      <c r="F266" s="79"/>
    </row>
    <row r="267" customFormat="false" ht="15" hidden="false" customHeight="false" outlineLevel="0" collapsed="false">
      <c r="A267" s="76" t="n">
        <v>256</v>
      </c>
      <c r="B267" s="77" t="n">
        <v>-0.963549</v>
      </c>
      <c r="C267" s="78" t="n">
        <f aca="false">05_Unit_Economics!$B$15*EXP((01_Inputs!$C$20-01_Inputs!$C$21^2/2)*01_Inputs!$C$22+01_Inputs!$C$21*SQRT(01_Inputs!$C$22)*B267)</f>
        <v>38.6275279010419</v>
      </c>
      <c r="D267" s="78" t="n">
        <f aca="false">MAX(C267-05_Unit_Economics!$B$21,0)</f>
        <v>0.719922426538432</v>
      </c>
      <c r="E267" s="78" t="n">
        <f aca="false">D267*EXP(-01_Inputs!$C$20*01_Inputs!$C$22)</f>
        <v>0.688932615149551</v>
      </c>
      <c r="F267" s="80" t="n">
        <f aca="false">AVERAGE(E266:E267)</f>
        <v>18.4878440645997</v>
      </c>
    </row>
    <row r="268" customFormat="false" ht="15" hidden="false" customHeight="false" outlineLevel="0" collapsed="false">
      <c r="A268" s="76" t="n">
        <v>257</v>
      </c>
      <c r="B268" s="77" t="n">
        <v>-0.03106</v>
      </c>
      <c r="C268" s="78" t="n">
        <f aca="false">05_Unit_Economics!$B$15*EXP((01_Inputs!$C$20-01_Inputs!$C$21^2/2)*01_Inputs!$C$22+01_Inputs!$C$21*SQRT(01_Inputs!$C$22)*B268)</f>
        <v>53.5350366576896</v>
      </c>
      <c r="D268" s="78" t="n">
        <f aca="false">MAX(C268-05_Unit_Economics!$B$21,0)</f>
        <v>15.6274311831861</v>
      </c>
      <c r="E268" s="78" t="n">
        <f aca="false">D268*EXP(-01_Inputs!$C$20*01_Inputs!$C$22)</f>
        <v>14.9547321158876</v>
      </c>
      <c r="F268" s="79"/>
    </row>
    <row r="269" customFormat="false" ht="15" hidden="false" customHeight="false" outlineLevel="0" collapsed="false">
      <c r="A269" s="76" t="n">
        <v>258</v>
      </c>
      <c r="B269" s="77" t="n">
        <v>0.03106</v>
      </c>
      <c r="C269" s="78" t="n">
        <f aca="false">05_Unit_Economics!$B$15*EXP((01_Inputs!$C$20-01_Inputs!$C$21^2/2)*01_Inputs!$C$22+01_Inputs!$C$21*SQRT(01_Inputs!$C$22)*B269)</f>
        <v>54.7117410244631</v>
      </c>
      <c r="D269" s="78" t="n">
        <f aca="false">MAX(C269-05_Unit_Economics!$B$21,0)</f>
        <v>16.8041355499597</v>
      </c>
      <c r="E269" s="78" t="n">
        <f aca="false">D269*EXP(-01_Inputs!$C$20*01_Inputs!$C$22)</f>
        <v>16.0807840164474</v>
      </c>
      <c r="F269" s="80" t="n">
        <f aca="false">AVERAGE(E268:E269)</f>
        <v>15.5177580661675</v>
      </c>
    </row>
    <row r="270" customFormat="false" ht="15" hidden="false" customHeight="false" outlineLevel="0" collapsed="false">
      <c r="A270" s="76" t="n">
        <v>259</v>
      </c>
      <c r="B270" s="77" t="n">
        <v>1.218575</v>
      </c>
      <c r="C270" s="78" t="n">
        <f aca="false">05_Unit_Economics!$B$15*EXP((01_Inputs!$C$20-01_Inputs!$C$21^2/2)*01_Inputs!$C$22+01_Inputs!$C$21*SQRT(01_Inputs!$C$22)*B270)</f>
        <v>82.9060948837521</v>
      </c>
      <c r="D270" s="78" t="n">
        <f aca="false">MAX(C270-05_Unit_Economics!$B$21,0)</f>
        <v>44.9984894092486</v>
      </c>
      <c r="E270" s="78" t="n">
        <f aca="false">D270*EXP(-01_Inputs!$C$20*01_Inputs!$C$22)</f>
        <v>43.0614825204894</v>
      </c>
      <c r="F270" s="79"/>
    </row>
    <row r="271" customFormat="false" ht="15" hidden="false" customHeight="false" outlineLevel="0" collapsed="false">
      <c r="A271" s="76" t="n">
        <v>260</v>
      </c>
      <c r="B271" s="77" t="n">
        <v>-1.218575</v>
      </c>
      <c r="C271" s="78" t="n">
        <f aca="false">05_Unit_Economics!$B$15*EXP((01_Inputs!$C$20-01_Inputs!$C$21^2/2)*01_Inputs!$C$22+01_Inputs!$C$21*SQRT(01_Inputs!$C$22)*B271)</f>
        <v>35.3290679709083</v>
      </c>
      <c r="D271" s="78" t="n">
        <f aca="false">MAX(C271-05_Unit_Economics!$B$21,0)</f>
        <v>0</v>
      </c>
      <c r="E271" s="78" t="n">
        <f aca="false">D271*EXP(-01_Inputs!$C$20*01_Inputs!$C$22)</f>
        <v>0</v>
      </c>
      <c r="F271" s="80" t="n">
        <f aca="false">AVERAGE(E270:E271)</f>
        <v>21.5307412602447</v>
      </c>
    </row>
    <row r="272" customFormat="false" ht="15" hidden="false" customHeight="false" outlineLevel="0" collapsed="false">
      <c r="A272" s="76" t="n">
        <v>261</v>
      </c>
      <c r="B272" s="77" t="n">
        <v>1.754546</v>
      </c>
      <c r="C272" s="78" t="n">
        <f aca="false">05_Unit_Economics!$B$15*EXP((01_Inputs!$C$20-01_Inputs!$C$21^2/2)*01_Inputs!$C$22+01_Inputs!$C$21*SQRT(01_Inputs!$C$22)*B272)</f>
        <v>100.012825258806</v>
      </c>
      <c r="D272" s="78" t="n">
        <f aca="false">MAX(C272-05_Unit_Economics!$B$21,0)</f>
        <v>62.105219784303</v>
      </c>
      <c r="E272" s="78" t="n">
        <f aca="false">D272*EXP(-01_Inputs!$C$20*01_Inputs!$C$22)</f>
        <v>59.4318358523221</v>
      </c>
      <c r="F272" s="79"/>
    </row>
    <row r="273" customFormat="false" ht="15" hidden="false" customHeight="false" outlineLevel="0" collapsed="false">
      <c r="A273" s="76" t="n">
        <v>262</v>
      </c>
      <c r="B273" s="77" t="n">
        <v>-1.754546</v>
      </c>
      <c r="C273" s="78" t="n">
        <f aca="false">05_Unit_Economics!$B$15*EXP((01_Inputs!$C$20-01_Inputs!$C$21^2/2)*01_Inputs!$C$22+01_Inputs!$C$21*SQRT(01_Inputs!$C$22)*B273)</f>
        <v>29.2861945832567</v>
      </c>
      <c r="D273" s="78" t="n">
        <f aca="false">MAX(C273-05_Unit_Economics!$B$21,0)</f>
        <v>0</v>
      </c>
      <c r="E273" s="78" t="n">
        <f aca="false">D273*EXP(-01_Inputs!$C$20*01_Inputs!$C$22)</f>
        <v>0</v>
      </c>
      <c r="F273" s="80" t="n">
        <f aca="false">AVERAGE(E272:E273)</f>
        <v>29.715917926161</v>
      </c>
    </row>
    <row r="274" customFormat="false" ht="15" hidden="false" customHeight="false" outlineLevel="0" collapsed="false">
      <c r="A274" s="76" t="n">
        <v>263</v>
      </c>
      <c r="B274" s="77" t="n">
        <v>-0.486043</v>
      </c>
      <c r="C274" s="78" t="n">
        <f aca="false">05_Unit_Economics!$B$15*EXP((01_Inputs!$C$20-01_Inputs!$C$21^2/2)*01_Inputs!$C$22+01_Inputs!$C$21*SQRT(01_Inputs!$C$22)*B274)</f>
        <v>45.6540481161481</v>
      </c>
      <c r="D274" s="78" t="n">
        <f aca="false">MAX(C274-05_Unit_Economics!$B$21,0)</f>
        <v>7.74644264164461</v>
      </c>
      <c r="E274" s="78" t="n">
        <f aca="false">D274*EXP(-01_Inputs!$C$20*01_Inputs!$C$22)</f>
        <v>7.41298894225978</v>
      </c>
      <c r="F274" s="79"/>
    </row>
    <row r="275" customFormat="false" ht="15" hidden="false" customHeight="false" outlineLevel="0" collapsed="false">
      <c r="A275" s="76" t="n">
        <v>264</v>
      </c>
      <c r="B275" s="77" t="n">
        <v>0.486043</v>
      </c>
      <c r="C275" s="78" t="n">
        <f aca="false">05_Unit_Economics!$B$15*EXP((01_Inputs!$C$20-01_Inputs!$C$21^2/2)*01_Inputs!$C$22+01_Inputs!$C$21*SQRT(01_Inputs!$C$22)*B275)</f>
        <v>64.1563055678879</v>
      </c>
      <c r="D275" s="78" t="n">
        <f aca="false">MAX(C275-05_Unit_Economics!$B$21,0)</f>
        <v>26.2487000933844</v>
      </c>
      <c r="E275" s="78" t="n">
        <f aca="false">D275*EXP(-01_Inputs!$C$20*01_Inputs!$C$22)</f>
        <v>25.1187974328873</v>
      </c>
      <c r="F275" s="80" t="n">
        <f aca="false">AVERAGE(E274:E275)</f>
        <v>16.2658931875736</v>
      </c>
    </row>
    <row r="276" customFormat="false" ht="15" hidden="false" customHeight="false" outlineLevel="0" collapsed="false">
      <c r="A276" s="76" t="n">
        <v>265</v>
      </c>
      <c r="B276" s="77" t="n">
        <v>-0.58715</v>
      </c>
      <c r="C276" s="78" t="n">
        <f aca="false">05_Unit_Economics!$B$15*EXP((01_Inputs!$C$20-01_Inputs!$C$21^2/2)*01_Inputs!$C$22+01_Inputs!$C$21*SQRT(01_Inputs!$C$22)*B276)</f>
        <v>44.066719176671</v>
      </c>
      <c r="D276" s="78" t="n">
        <f aca="false">MAX(C276-05_Unit_Economics!$B$21,0)</f>
        <v>6.15911370216754</v>
      </c>
      <c r="E276" s="78" t="n">
        <f aca="false">D276*EXP(-01_Inputs!$C$20*01_Inputs!$C$22)</f>
        <v>5.89398823181569</v>
      </c>
      <c r="F276" s="79"/>
    </row>
    <row r="277" customFormat="false" ht="15" hidden="false" customHeight="false" outlineLevel="0" collapsed="false">
      <c r="A277" s="76" t="n">
        <v>266</v>
      </c>
      <c r="B277" s="77" t="n">
        <v>0.58715</v>
      </c>
      <c r="C277" s="78" t="n">
        <f aca="false">05_Unit_Economics!$B$15*EXP((01_Inputs!$C$20-01_Inputs!$C$21^2/2)*01_Inputs!$C$22+01_Inputs!$C$21*SQRT(01_Inputs!$C$22)*B277)</f>
        <v>66.4672822500765</v>
      </c>
      <c r="D277" s="78" t="n">
        <f aca="false">MAX(C277-05_Unit_Economics!$B$21,0)</f>
        <v>28.5596767755731</v>
      </c>
      <c r="E277" s="78" t="n">
        <f aca="false">D277*EXP(-01_Inputs!$C$20*01_Inputs!$C$22)</f>
        <v>27.3302957145357</v>
      </c>
      <c r="F277" s="80" t="n">
        <f aca="false">AVERAGE(E276:E277)</f>
        <v>16.6121419731757</v>
      </c>
    </row>
    <row r="278" customFormat="false" ht="15" hidden="false" customHeight="false" outlineLevel="0" collapsed="false">
      <c r="A278" s="76" t="n">
        <v>267</v>
      </c>
      <c r="B278" s="77" t="n">
        <v>0.761191</v>
      </c>
      <c r="C278" s="78" t="n">
        <f aca="false">05_Unit_Economics!$B$15*EXP((01_Inputs!$C$20-01_Inputs!$C$21^2/2)*01_Inputs!$C$22+01_Inputs!$C$21*SQRT(01_Inputs!$C$22)*B278)</f>
        <v>70.6419513903243</v>
      </c>
      <c r="D278" s="78" t="n">
        <f aca="false">MAX(C278-05_Unit_Economics!$B$21,0)</f>
        <v>32.7343459158208</v>
      </c>
      <c r="E278" s="78" t="n">
        <f aca="false">D278*EXP(-01_Inputs!$C$20*01_Inputs!$C$22)</f>
        <v>31.3252618694364</v>
      </c>
      <c r="F278" s="79"/>
    </row>
    <row r="279" customFormat="false" ht="15" hidden="false" customHeight="false" outlineLevel="0" collapsed="false">
      <c r="A279" s="76" t="n">
        <v>268</v>
      </c>
      <c r="B279" s="77" t="n">
        <v>-0.761191</v>
      </c>
      <c r="C279" s="78" t="n">
        <f aca="false">05_Unit_Economics!$B$15*EXP((01_Inputs!$C$20-01_Inputs!$C$21^2/2)*01_Inputs!$C$22+01_Inputs!$C$21*SQRT(01_Inputs!$C$22)*B279)</f>
        <v>41.462544616963</v>
      </c>
      <c r="D279" s="78" t="n">
        <f aca="false">MAX(C279-05_Unit_Economics!$B$21,0)</f>
        <v>3.55493914245955</v>
      </c>
      <c r="E279" s="78" t="n">
        <f aca="false">D279*EXP(-01_Inputs!$C$20*01_Inputs!$C$22)</f>
        <v>3.4019130809525</v>
      </c>
      <c r="F279" s="80" t="n">
        <f aca="false">AVERAGE(E278:E279)</f>
        <v>17.3635874751944</v>
      </c>
    </row>
    <row r="280" customFormat="false" ht="15" hidden="false" customHeight="false" outlineLevel="0" collapsed="false">
      <c r="A280" s="76" t="n">
        <v>269</v>
      </c>
      <c r="B280" s="77" t="n">
        <v>-0.199164</v>
      </c>
      <c r="C280" s="78" t="n">
        <f aca="false">05_Unit_Economics!$B$15*EXP((01_Inputs!$C$20-01_Inputs!$C$21^2/2)*01_Inputs!$C$22+01_Inputs!$C$21*SQRT(01_Inputs!$C$22)*B280)</f>
        <v>50.4760986585594</v>
      </c>
      <c r="D280" s="78" t="n">
        <f aca="false">MAX(C280-05_Unit_Economics!$B$21,0)</f>
        <v>12.568493184056</v>
      </c>
      <c r="E280" s="78" t="n">
        <f aca="false">D280*EXP(-01_Inputs!$C$20*01_Inputs!$C$22)</f>
        <v>12.0274692919554</v>
      </c>
      <c r="F280" s="79"/>
    </row>
    <row r="281" customFormat="false" ht="15" hidden="false" customHeight="false" outlineLevel="0" collapsed="false">
      <c r="A281" s="76" t="n">
        <v>270</v>
      </c>
      <c r="B281" s="77" t="n">
        <v>0.199164</v>
      </c>
      <c r="C281" s="78" t="n">
        <f aca="false">05_Unit_Economics!$B$15*EXP((01_Inputs!$C$20-01_Inputs!$C$21^2/2)*01_Inputs!$C$22+01_Inputs!$C$21*SQRT(01_Inputs!$C$22)*B281)</f>
        <v>58.0273662028349</v>
      </c>
      <c r="D281" s="78" t="n">
        <f aca="false">MAX(C281-05_Unit_Economics!$B$21,0)</f>
        <v>20.1197607283315</v>
      </c>
      <c r="E281" s="78" t="n">
        <f aca="false">D281*EXP(-01_Inputs!$C$20*01_Inputs!$C$22)</f>
        <v>19.2536846523876</v>
      </c>
      <c r="F281" s="80" t="n">
        <f aca="false">AVERAGE(E280:E281)</f>
        <v>15.6405769721715</v>
      </c>
    </row>
    <row r="282" customFormat="false" ht="15" hidden="false" customHeight="false" outlineLevel="0" collapsed="false">
      <c r="A282" s="76" t="n">
        <v>271</v>
      </c>
      <c r="B282" s="77" t="n">
        <v>-0.546192</v>
      </c>
      <c r="C282" s="78" t="n">
        <f aca="false">05_Unit_Economics!$B$15*EXP((01_Inputs!$C$20-01_Inputs!$C$21^2/2)*01_Inputs!$C$22+01_Inputs!$C$21*SQRT(01_Inputs!$C$22)*B282)</f>
        <v>44.7029784035864</v>
      </c>
      <c r="D282" s="78" t="n">
        <f aca="false">MAX(C282-05_Unit_Economics!$B$21,0)</f>
        <v>6.79537292908293</v>
      </c>
      <c r="E282" s="78" t="n">
        <f aca="false">D282*EXP(-01_Inputs!$C$20*01_Inputs!$C$22)</f>
        <v>6.50285901699112</v>
      </c>
      <c r="F282" s="79"/>
    </row>
    <row r="283" customFormat="false" ht="15" hidden="false" customHeight="false" outlineLevel="0" collapsed="false">
      <c r="A283" s="76" t="n">
        <v>272</v>
      </c>
      <c r="B283" s="77" t="n">
        <v>0.546192</v>
      </c>
      <c r="C283" s="78" t="n">
        <f aca="false">05_Unit_Economics!$B$15*EXP((01_Inputs!$C$20-01_Inputs!$C$21^2/2)*01_Inputs!$C$22+01_Inputs!$C$21*SQRT(01_Inputs!$C$22)*B283)</f>
        <v>65.5212508416591</v>
      </c>
      <c r="D283" s="78" t="n">
        <f aca="false">MAX(C283-05_Unit_Economics!$B$21,0)</f>
        <v>27.6136453671556</v>
      </c>
      <c r="E283" s="78" t="n">
        <f aca="false">D283*EXP(-01_Inputs!$C$20*01_Inputs!$C$22)</f>
        <v>26.4249872143568</v>
      </c>
      <c r="F283" s="80" t="n">
        <f aca="false">AVERAGE(E282:E283)</f>
        <v>16.463923115674</v>
      </c>
    </row>
    <row r="284" customFormat="false" ht="15" hidden="false" customHeight="false" outlineLevel="0" collapsed="false">
      <c r="A284" s="76" t="n">
        <v>273</v>
      </c>
      <c r="B284" s="77" t="n">
        <v>0.201057</v>
      </c>
      <c r="C284" s="78" t="n">
        <f aca="false">05_Unit_Economics!$B$15*EXP((01_Inputs!$C$20-01_Inputs!$C$21^2/2)*01_Inputs!$C$22+01_Inputs!$C$21*SQRT(01_Inputs!$C$22)*B284)</f>
        <v>58.065824973335</v>
      </c>
      <c r="D284" s="78" t="n">
        <f aca="false">MAX(C284-05_Unit_Economics!$B$21,0)</f>
        <v>20.1582194988315</v>
      </c>
      <c r="E284" s="78" t="n">
        <f aca="false">D284*EXP(-01_Inputs!$C$20*01_Inputs!$C$22)</f>
        <v>19.2904879250171</v>
      </c>
      <c r="F284" s="79"/>
    </row>
    <row r="285" customFormat="false" ht="15" hidden="false" customHeight="false" outlineLevel="0" collapsed="false">
      <c r="A285" s="76" t="n">
        <v>274</v>
      </c>
      <c r="B285" s="77" t="n">
        <v>-0.201057</v>
      </c>
      <c r="C285" s="78" t="n">
        <f aca="false">05_Unit_Economics!$B$15*EXP((01_Inputs!$C$20-01_Inputs!$C$21^2/2)*01_Inputs!$C$22+01_Inputs!$C$21*SQRT(01_Inputs!$C$22)*B285)</f>
        <v>50.4426667957565</v>
      </c>
      <c r="D285" s="78" t="n">
        <f aca="false">MAX(C285-05_Unit_Economics!$B$21,0)</f>
        <v>12.535061321253</v>
      </c>
      <c r="E285" s="78" t="n">
        <f aca="false">D285*EXP(-01_Inputs!$C$20*01_Inputs!$C$22)</f>
        <v>11.9954765385404</v>
      </c>
      <c r="F285" s="80" t="n">
        <f aca="false">AVERAGE(E284:E285)</f>
        <v>15.6429822317788</v>
      </c>
    </row>
    <row r="286" customFormat="false" ht="15" hidden="false" customHeight="false" outlineLevel="0" collapsed="false">
      <c r="A286" s="76" t="n">
        <v>275</v>
      </c>
      <c r="B286" s="77" t="n">
        <v>-1.055478</v>
      </c>
      <c r="C286" s="78" t="n">
        <f aca="false">05_Unit_Economics!$B$15*EXP((01_Inputs!$C$20-01_Inputs!$C$21^2/2)*01_Inputs!$C$22+01_Inputs!$C$21*SQRT(01_Inputs!$C$22)*B286)</f>
        <v>37.404463056131</v>
      </c>
      <c r="D286" s="78" t="n">
        <f aca="false">MAX(C286-05_Unit_Economics!$B$21,0)</f>
        <v>0</v>
      </c>
      <c r="E286" s="78" t="n">
        <f aca="false">D286*EXP(-01_Inputs!$C$20*01_Inputs!$C$22)</f>
        <v>0</v>
      </c>
      <c r="F286" s="79"/>
    </row>
    <row r="287" customFormat="false" ht="15" hidden="false" customHeight="false" outlineLevel="0" collapsed="false">
      <c r="A287" s="76" t="n">
        <v>276</v>
      </c>
      <c r="B287" s="77" t="n">
        <v>1.055478</v>
      </c>
      <c r="C287" s="78" t="n">
        <f aca="false">05_Unit_Economics!$B$15*EXP((01_Inputs!$C$20-01_Inputs!$C$21^2/2)*01_Inputs!$C$22+01_Inputs!$C$21*SQRT(01_Inputs!$C$22)*B287)</f>
        <v>78.3060314742456</v>
      </c>
      <c r="D287" s="78" t="n">
        <f aca="false">MAX(C287-05_Unit_Economics!$B$21,0)</f>
        <v>40.3984259997421</v>
      </c>
      <c r="E287" s="78" t="n">
        <f aca="false">D287*EXP(-01_Inputs!$C$20*01_Inputs!$C$22)</f>
        <v>38.6594336361352</v>
      </c>
      <c r="F287" s="80" t="n">
        <f aca="false">AVERAGE(E286:E287)</f>
        <v>19.3297168180676</v>
      </c>
    </row>
    <row r="288" customFormat="false" ht="15" hidden="false" customHeight="false" outlineLevel="0" collapsed="false">
      <c r="A288" s="76" t="n">
        <v>277</v>
      </c>
      <c r="B288" s="77" t="n">
        <v>0.258996</v>
      </c>
      <c r="C288" s="78" t="n">
        <f aca="false">05_Unit_Economics!$B$15*EXP((01_Inputs!$C$20-01_Inputs!$C$21^2/2)*01_Inputs!$C$22+01_Inputs!$C$21*SQRT(01_Inputs!$C$22)*B288)</f>
        <v>59.2553416482545</v>
      </c>
      <c r="D288" s="78" t="n">
        <f aca="false">MAX(C288-05_Unit_Economics!$B$21,0)</f>
        <v>21.347736173751</v>
      </c>
      <c r="E288" s="78" t="n">
        <f aca="false">D288*EXP(-01_Inputs!$C$20*01_Inputs!$C$22)</f>
        <v>20.4288006145615</v>
      </c>
      <c r="F288" s="79"/>
    </row>
    <row r="289" customFormat="false" ht="15" hidden="false" customHeight="false" outlineLevel="0" collapsed="false">
      <c r="A289" s="76" t="n">
        <v>278</v>
      </c>
      <c r="B289" s="77" t="n">
        <v>-0.258996</v>
      </c>
      <c r="C289" s="78" t="n">
        <f aca="false">05_Unit_Economics!$B$15*EXP((01_Inputs!$C$20-01_Inputs!$C$21^2/2)*01_Inputs!$C$22+01_Inputs!$C$21*SQRT(01_Inputs!$C$22)*B289)</f>
        <v>49.430059465988</v>
      </c>
      <c r="D289" s="78" t="n">
        <f aca="false">MAX(C289-05_Unit_Economics!$B$21,0)</f>
        <v>11.5224539914845</v>
      </c>
      <c r="E289" s="78" t="n">
        <f aca="false">D289*EXP(-01_Inputs!$C$20*01_Inputs!$C$22)</f>
        <v>11.0264579469522</v>
      </c>
      <c r="F289" s="80" t="n">
        <f aca="false">AVERAGE(E288:E289)</f>
        <v>15.7276292807569</v>
      </c>
    </row>
    <row r="290" customFormat="false" ht="15" hidden="false" customHeight="false" outlineLevel="0" collapsed="false">
      <c r="A290" s="76" t="n">
        <v>279</v>
      </c>
      <c r="B290" s="77" t="n">
        <v>0.733794</v>
      </c>
      <c r="C290" s="78" t="n">
        <f aca="false">05_Unit_Economics!$B$15*EXP((01_Inputs!$C$20-01_Inputs!$C$21^2/2)*01_Inputs!$C$22+01_Inputs!$C$21*SQRT(01_Inputs!$C$22)*B290)</f>
        <v>69.9678065864607</v>
      </c>
      <c r="D290" s="78" t="n">
        <f aca="false">MAX(C290-05_Unit_Economics!$B$21,0)</f>
        <v>32.0602011119572</v>
      </c>
      <c r="E290" s="78" t="n">
        <f aca="false">D290*EXP(-01_Inputs!$C$20*01_Inputs!$C$22)</f>
        <v>30.6801363314692</v>
      </c>
      <c r="F290" s="79"/>
    </row>
    <row r="291" customFormat="false" ht="15" hidden="false" customHeight="false" outlineLevel="0" collapsed="false">
      <c r="A291" s="76" t="n">
        <v>280</v>
      </c>
      <c r="B291" s="77" t="n">
        <v>-0.733794</v>
      </c>
      <c r="C291" s="78" t="n">
        <f aca="false">05_Unit_Economics!$B$15*EXP((01_Inputs!$C$20-01_Inputs!$C$21^2/2)*01_Inputs!$C$22+01_Inputs!$C$21*SQRT(01_Inputs!$C$22)*B291)</f>
        <v>41.8620391898556</v>
      </c>
      <c r="D291" s="78" t="n">
        <f aca="false">MAX(C291-05_Unit_Economics!$B$21,0)</f>
        <v>3.95443371535212</v>
      </c>
      <c r="E291" s="78" t="n">
        <f aca="false">D291*EXP(-01_Inputs!$C$20*01_Inputs!$C$22)</f>
        <v>3.78421099347105</v>
      </c>
      <c r="F291" s="80" t="n">
        <f aca="false">AVERAGE(E290:E291)</f>
        <v>17.2321736624701</v>
      </c>
    </row>
    <row r="292" customFormat="false" ht="15" hidden="false" customHeight="false" outlineLevel="0" collapsed="false">
      <c r="A292" s="76" t="n">
        <v>281</v>
      </c>
      <c r="B292" s="77" t="n">
        <v>0.36725</v>
      </c>
      <c r="C292" s="78" t="n">
        <f aca="false">05_Unit_Economics!$B$15*EXP((01_Inputs!$C$20-01_Inputs!$C$21^2/2)*01_Inputs!$C$22+01_Inputs!$C$21*SQRT(01_Inputs!$C$22)*B292)</f>
        <v>61.5435362182176</v>
      </c>
      <c r="D292" s="78" t="n">
        <f aca="false">MAX(C292-05_Unit_Economics!$B$21,0)</f>
        <v>23.6359307437142</v>
      </c>
      <c r="E292" s="78" t="n">
        <f aca="false">D292*EXP(-01_Inputs!$C$20*01_Inputs!$C$22)</f>
        <v>22.6184974637561</v>
      </c>
      <c r="F292" s="79"/>
    </row>
    <row r="293" customFormat="false" ht="15" hidden="false" customHeight="false" outlineLevel="0" collapsed="false">
      <c r="A293" s="76" t="n">
        <v>282</v>
      </c>
      <c r="B293" s="77" t="n">
        <v>-0.36725</v>
      </c>
      <c r="C293" s="78" t="n">
        <f aca="false">05_Unit_Economics!$B$15*EXP((01_Inputs!$C$20-01_Inputs!$C$21^2/2)*01_Inputs!$C$22+01_Inputs!$C$21*SQRT(01_Inputs!$C$22)*B293)</f>
        <v>47.5922451216515</v>
      </c>
      <c r="D293" s="78" t="n">
        <f aca="false">MAX(C293-05_Unit_Economics!$B$21,0)</f>
        <v>9.68463964714805</v>
      </c>
      <c r="E293" s="78" t="n">
        <f aca="false">D293*EXP(-01_Inputs!$C$20*01_Inputs!$C$22)</f>
        <v>9.2677542370387</v>
      </c>
      <c r="F293" s="80" t="n">
        <f aca="false">AVERAGE(E292:E293)</f>
        <v>15.9431258503974</v>
      </c>
    </row>
    <row r="294" customFormat="false" ht="15" hidden="false" customHeight="false" outlineLevel="0" collapsed="false">
      <c r="A294" s="76" t="n">
        <v>283</v>
      </c>
      <c r="B294" s="77" t="n">
        <v>0.371061</v>
      </c>
      <c r="C294" s="78" t="n">
        <f aca="false">05_Unit_Economics!$B$15*EXP((01_Inputs!$C$20-01_Inputs!$C$21^2/2)*01_Inputs!$C$22+01_Inputs!$C$21*SQRT(01_Inputs!$C$22)*B294)</f>
        <v>61.6256808361226</v>
      </c>
      <c r="D294" s="78" t="n">
        <f aca="false">MAX(C294-05_Unit_Economics!$B$21,0)</f>
        <v>23.7180753616191</v>
      </c>
      <c r="E294" s="78" t="n">
        <f aca="false">D294*EXP(-01_Inputs!$C$20*01_Inputs!$C$22)</f>
        <v>22.6971060809454</v>
      </c>
      <c r="F294" s="79"/>
    </row>
    <row r="295" customFormat="false" ht="15" hidden="false" customHeight="false" outlineLevel="0" collapsed="false">
      <c r="A295" s="76" t="n">
        <v>284</v>
      </c>
      <c r="B295" s="77" t="n">
        <v>-0.371061</v>
      </c>
      <c r="C295" s="78" t="n">
        <f aca="false">05_Unit_Economics!$B$15*EXP((01_Inputs!$C$20-01_Inputs!$C$21^2/2)*01_Inputs!$C$22+01_Inputs!$C$21*SQRT(01_Inputs!$C$22)*B295)</f>
        <v>47.5288065236886</v>
      </c>
      <c r="D295" s="78" t="n">
        <f aca="false">MAX(C295-05_Unit_Economics!$B$21,0)</f>
        <v>9.62120104918509</v>
      </c>
      <c r="E295" s="78" t="n">
        <f aca="false">D295*EXP(-01_Inputs!$C$20*01_Inputs!$C$22)</f>
        <v>9.2070464196615</v>
      </c>
      <c r="F295" s="80" t="n">
        <f aca="false">AVERAGE(E294:E295)</f>
        <v>15.9520762503034</v>
      </c>
    </row>
    <row r="296" customFormat="false" ht="15" hidden="false" customHeight="false" outlineLevel="0" collapsed="false">
      <c r="A296" s="76" t="n">
        <v>285</v>
      </c>
      <c r="B296" s="77" t="n">
        <v>-0.547834</v>
      </c>
      <c r="C296" s="78" t="n">
        <f aca="false">05_Unit_Economics!$B$15*EXP((01_Inputs!$C$20-01_Inputs!$C$21^2/2)*01_Inputs!$C$22+01_Inputs!$C$21*SQRT(01_Inputs!$C$22)*B296)</f>
        <v>44.6772949827357</v>
      </c>
      <c r="D296" s="78" t="n">
        <f aca="false">MAX(C296-05_Unit_Economics!$B$21,0)</f>
        <v>6.76968950823226</v>
      </c>
      <c r="E296" s="78" t="n">
        <f aca="false">D296*EXP(-01_Inputs!$C$20*01_Inputs!$C$22)</f>
        <v>6.47828116576663</v>
      </c>
      <c r="F296" s="79"/>
    </row>
    <row r="297" customFormat="false" ht="15" hidden="false" customHeight="false" outlineLevel="0" collapsed="false">
      <c r="A297" s="76" t="n">
        <v>286</v>
      </c>
      <c r="B297" s="77" t="n">
        <v>0.547834</v>
      </c>
      <c r="C297" s="78" t="n">
        <f aca="false">05_Unit_Economics!$B$15*EXP((01_Inputs!$C$20-01_Inputs!$C$21^2/2)*01_Inputs!$C$22+01_Inputs!$C$21*SQRT(01_Inputs!$C$22)*B297)</f>
        <v>65.5589167267732</v>
      </c>
      <c r="D297" s="78" t="n">
        <f aca="false">MAX(C297-05_Unit_Economics!$B$21,0)</f>
        <v>27.6513112522697</v>
      </c>
      <c r="E297" s="78" t="n">
        <f aca="false">D297*EXP(-01_Inputs!$C$20*01_Inputs!$C$22)</f>
        <v>26.4610317321785</v>
      </c>
      <c r="F297" s="80" t="n">
        <f aca="false">AVERAGE(E296:E297)</f>
        <v>16.4696564489725</v>
      </c>
    </row>
    <row r="298" customFormat="false" ht="15" hidden="false" customHeight="false" outlineLevel="0" collapsed="false">
      <c r="A298" s="76" t="n">
        <v>287</v>
      </c>
      <c r="B298" s="77" t="n">
        <v>0.910039</v>
      </c>
      <c r="C298" s="78" t="n">
        <f aca="false">05_Unit_Economics!$B$15*EXP((01_Inputs!$C$20-01_Inputs!$C$21^2/2)*01_Inputs!$C$22+01_Inputs!$C$21*SQRT(01_Inputs!$C$22)*B298)</f>
        <v>74.4197214787609</v>
      </c>
      <c r="D298" s="78" t="n">
        <f aca="false">MAX(C298-05_Unit_Economics!$B$21,0)</f>
        <v>36.5121160042574</v>
      </c>
      <c r="E298" s="78" t="n">
        <f aca="false">D298*EXP(-01_Inputs!$C$20*01_Inputs!$C$22)</f>
        <v>34.9404139059891</v>
      </c>
      <c r="F298" s="79"/>
    </row>
    <row r="299" customFormat="false" ht="15" hidden="false" customHeight="false" outlineLevel="0" collapsed="false">
      <c r="A299" s="76" t="n">
        <v>288</v>
      </c>
      <c r="B299" s="77" t="n">
        <v>-0.910039</v>
      </c>
      <c r="C299" s="78" t="n">
        <f aca="false">05_Unit_Economics!$B$15*EXP((01_Inputs!$C$20-01_Inputs!$C$21^2/2)*01_Inputs!$C$22+01_Inputs!$C$21*SQRT(01_Inputs!$C$22)*B299)</f>
        <v>39.3577804800919</v>
      </c>
      <c r="D299" s="78" t="n">
        <f aca="false">MAX(C299-05_Unit_Economics!$B$21,0)</f>
        <v>1.45017500558843</v>
      </c>
      <c r="E299" s="78" t="n">
        <f aca="false">D299*EXP(-01_Inputs!$C$20*01_Inputs!$C$22)</f>
        <v>1.38775071062635</v>
      </c>
      <c r="F299" s="80" t="n">
        <f aca="false">AVERAGE(E298:E299)</f>
        <v>18.1640823083077</v>
      </c>
    </row>
    <row r="300" customFormat="false" ht="15" hidden="false" customHeight="false" outlineLevel="0" collapsed="false">
      <c r="A300" s="76" t="n">
        <v>289</v>
      </c>
      <c r="B300" s="77" t="n">
        <v>-0.011555</v>
      </c>
      <c r="C300" s="78" t="n">
        <f aca="false">05_Unit_Economics!$B$15*EXP((01_Inputs!$C$20-01_Inputs!$C$21^2/2)*01_Inputs!$C$22+01_Inputs!$C$21*SQRT(01_Inputs!$C$22)*B300)</f>
        <v>53.9017573000296</v>
      </c>
      <c r="D300" s="78" t="n">
        <f aca="false">MAX(C300-05_Unit_Economics!$B$21,0)</f>
        <v>15.9941518255261</v>
      </c>
      <c r="E300" s="78" t="n">
        <f aca="false">D300*EXP(-01_Inputs!$C$20*01_Inputs!$C$22)</f>
        <v>15.305666885862</v>
      </c>
      <c r="F300" s="79"/>
    </row>
    <row r="301" customFormat="false" ht="15" hidden="false" customHeight="false" outlineLevel="0" collapsed="false">
      <c r="A301" s="76" t="n">
        <v>290</v>
      </c>
      <c r="B301" s="77" t="n">
        <v>0.011555</v>
      </c>
      <c r="C301" s="78" t="n">
        <f aca="false">05_Unit_Economics!$B$15*EXP((01_Inputs!$C$20-01_Inputs!$C$21^2/2)*01_Inputs!$C$22+01_Inputs!$C$21*SQRT(01_Inputs!$C$22)*B301)</f>
        <v>54.3395096573047</v>
      </c>
      <c r="D301" s="78" t="n">
        <f aca="false">MAX(C301-05_Unit_Economics!$B$21,0)</f>
        <v>16.4319041828012</v>
      </c>
      <c r="E301" s="78" t="n">
        <f aca="false">D301*EXP(-01_Inputs!$C$20*01_Inputs!$C$22)</f>
        <v>15.7245757365495</v>
      </c>
      <c r="F301" s="80" t="n">
        <f aca="false">AVERAGE(E300:E301)</f>
        <v>15.5151213112058</v>
      </c>
    </row>
    <row r="302" customFormat="false" ht="15" hidden="false" customHeight="false" outlineLevel="0" collapsed="false">
      <c r="A302" s="76" t="n">
        <v>291</v>
      </c>
      <c r="B302" s="77" t="n">
        <v>-0.985998</v>
      </c>
      <c r="C302" s="78" t="n">
        <f aca="false">05_Unit_Economics!$B$15*EXP((01_Inputs!$C$20-01_Inputs!$C$21^2/2)*01_Inputs!$C$22+01_Inputs!$C$21*SQRT(01_Inputs!$C$22)*B302)</f>
        <v>38.3252148350159</v>
      </c>
      <c r="D302" s="78" t="n">
        <f aca="false">MAX(C302-05_Unit_Economics!$B$21,0)</f>
        <v>0.417609360512401</v>
      </c>
      <c r="E302" s="78" t="n">
        <f aca="false">D302*EXP(-01_Inputs!$C$20*01_Inputs!$C$22)</f>
        <v>0.39963293022013</v>
      </c>
      <c r="F302" s="79"/>
    </row>
    <row r="303" customFormat="false" ht="15" hidden="false" customHeight="false" outlineLevel="0" collapsed="false">
      <c r="A303" s="76" t="n">
        <v>292</v>
      </c>
      <c r="B303" s="77" t="n">
        <v>0.985998</v>
      </c>
      <c r="C303" s="78" t="n">
        <f aca="false">05_Unit_Economics!$B$15*EXP((01_Inputs!$C$20-01_Inputs!$C$21^2/2)*01_Inputs!$C$22+01_Inputs!$C$21*SQRT(01_Inputs!$C$22)*B303)</f>
        <v>76.4247525802406</v>
      </c>
      <c r="D303" s="78" t="n">
        <f aca="false">MAX(C303-05_Unit_Economics!$B$21,0)</f>
        <v>38.5171471057371</v>
      </c>
      <c r="E303" s="78" t="n">
        <f aca="false">D303*EXP(-01_Inputs!$C$20*01_Inputs!$C$22)</f>
        <v>36.8591363534066</v>
      </c>
      <c r="F303" s="80" t="n">
        <f aca="false">AVERAGE(E302:E303)</f>
        <v>18.6293846418134</v>
      </c>
    </row>
    <row r="304" customFormat="false" ht="15" hidden="false" customHeight="false" outlineLevel="0" collapsed="false">
      <c r="A304" s="76" t="n">
        <v>293</v>
      </c>
      <c r="B304" s="77" t="n">
        <v>0.010125</v>
      </c>
      <c r="C304" s="78" t="n">
        <f aca="false">05_Unit_Economics!$B$15*EXP((01_Inputs!$C$20-01_Inputs!$C$21^2/2)*01_Inputs!$C$22+01_Inputs!$C$21*SQRT(01_Inputs!$C$22)*B304)</f>
        <v>54.3123195376162</v>
      </c>
      <c r="D304" s="78" t="n">
        <f aca="false">MAX(C304-05_Unit_Economics!$B$21,0)</f>
        <v>16.4047140631128</v>
      </c>
      <c r="E304" s="78" t="n">
        <f aca="false">D304*EXP(-01_Inputs!$C$20*01_Inputs!$C$22)</f>
        <v>15.6985560439095</v>
      </c>
      <c r="F304" s="79"/>
    </row>
    <row r="305" customFormat="false" ht="15" hidden="false" customHeight="false" outlineLevel="0" collapsed="false">
      <c r="A305" s="76" t="n">
        <v>294</v>
      </c>
      <c r="B305" s="77" t="n">
        <v>-0.010125</v>
      </c>
      <c r="C305" s="78" t="n">
        <f aca="false">05_Unit_Economics!$B$15*EXP((01_Inputs!$C$20-01_Inputs!$C$21^2/2)*01_Inputs!$C$22+01_Inputs!$C$21*SQRT(01_Inputs!$C$22)*B305)</f>
        <v>53.9287418818866</v>
      </c>
      <c r="D305" s="78" t="n">
        <f aca="false">MAX(C305-05_Unit_Economics!$B$21,0)</f>
        <v>16.0211364073831</v>
      </c>
      <c r="E305" s="78" t="n">
        <f aca="false">D305*EXP(-01_Inputs!$C$20*01_Inputs!$C$22)</f>
        <v>15.3314898882608</v>
      </c>
      <c r="F305" s="80" t="n">
        <f aca="false">AVERAGE(E304:E305)</f>
        <v>15.5150229660851</v>
      </c>
    </row>
    <row r="306" customFormat="false" ht="15" hidden="false" customHeight="false" outlineLevel="0" collapsed="false">
      <c r="A306" s="76" t="n">
        <v>295</v>
      </c>
      <c r="B306" s="77" t="n">
        <v>-2.123626</v>
      </c>
      <c r="C306" s="78" t="n">
        <f aca="false">05_Unit_Economics!$B$15*EXP((01_Inputs!$C$20-01_Inputs!$C$21^2/2)*01_Inputs!$C$22+01_Inputs!$C$21*SQRT(01_Inputs!$C$22)*B306)</f>
        <v>25.7372209555014</v>
      </c>
      <c r="D306" s="78" t="n">
        <f aca="false">MAX(C306-05_Unit_Economics!$B$21,0)</f>
        <v>0</v>
      </c>
      <c r="E306" s="78" t="n">
        <f aca="false">D306*EXP(-01_Inputs!$C$20*01_Inputs!$C$22)</f>
        <v>0</v>
      </c>
      <c r="F306" s="79"/>
    </row>
    <row r="307" customFormat="false" ht="15" hidden="false" customHeight="false" outlineLevel="0" collapsed="false">
      <c r="A307" s="76" t="n">
        <v>296</v>
      </c>
      <c r="B307" s="77" t="n">
        <v>2.123626</v>
      </c>
      <c r="C307" s="78" t="n">
        <f aca="false">05_Unit_Economics!$B$15*EXP((01_Inputs!$C$20-01_Inputs!$C$21^2/2)*01_Inputs!$C$22+01_Inputs!$C$21*SQRT(01_Inputs!$C$22)*B307)</f>
        <v>113.803858870962</v>
      </c>
      <c r="D307" s="78" t="n">
        <f aca="false">MAX(C307-05_Unit_Economics!$B$21,0)</f>
        <v>75.8962533964589</v>
      </c>
      <c r="E307" s="78" t="n">
        <f aca="false">D307*EXP(-01_Inputs!$C$20*01_Inputs!$C$22)</f>
        <v>72.6292200451185</v>
      </c>
      <c r="F307" s="80" t="n">
        <f aca="false">AVERAGE(E306:E307)</f>
        <v>36.3146100225593</v>
      </c>
    </row>
    <row r="308" customFormat="false" ht="15" hidden="false" customHeight="false" outlineLevel="0" collapsed="false">
      <c r="A308" s="76" t="n">
        <v>297</v>
      </c>
      <c r="B308" s="77" t="n">
        <v>-0.289924</v>
      </c>
      <c r="C308" s="78" t="n">
        <f aca="false">05_Unit_Economics!$B$15*EXP((01_Inputs!$C$20-01_Inputs!$C$21^2/2)*01_Inputs!$C$22+01_Inputs!$C$21*SQRT(01_Inputs!$C$22)*B308)</f>
        <v>48.8978745525175</v>
      </c>
      <c r="D308" s="78" t="n">
        <f aca="false">MAX(C308-05_Unit_Economics!$B$21,0)</f>
        <v>10.990269078014</v>
      </c>
      <c r="E308" s="78" t="n">
        <f aca="false">D308*EXP(-01_Inputs!$C$20*01_Inputs!$C$22)</f>
        <v>10.5171814878991</v>
      </c>
      <c r="F308" s="79"/>
    </row>
    <row r="309" customFormat="false" ht="15" hidden="false" customHeight="false" outlineLevel="0" collapsed="false">
      <c r="A309" s="76" t="n">
        <v>298</v>
      </c>
      <c r="B309" s="77" t="n">
        <v>0.289924</v>
      </c>
      <c r="C309" s="78" t="n">
        <f aca="false">05_Unit_Economics!$B$15*EXP((01_Inputs!$C$20-01_Inputs!$C$21^2/2)*01_Inputs!$C$22+01_Inputs!$C$21*SQRT(01_Inputs!$C$22)*B309)</f>
        <v>59.9002530918771</v>
      </c>
      <c r="D309" s="78" t="n">
        <f aca="false">MAX(C309-05_Unit_Economics!$B$21,0)</f>
        <v>21.9926476173736</v>
      </c>
      <c r="E309" s="78" t="n">
        <f aca="false">D309*EXP(-01_Inputs!$C$20*01_Inputs!$C$22)</f>
        <v>21.0459511727559</v>
      </c>
      <c r="F309" s="80" t="n">
        <f aca="false">AVERAGE(E308:E309)</f>
        <v>15.7815663303275</v>
      </c>
    </row>
    <row r="310" customFormat="false" ht="15" hidden="false" customHeight="false" outlineLevel="0" collapsed="false">
      <c r="A310" s="76" t="n">
        <v>299</v>
      </c>
      <c r="B310" s="77" t="n">
        <v>-1.3684</v>
      </c>
      <c r="C310" s="78" t="n">
        <f aca="false">05_Unit_Economics!$B$15*EXP((01_Inputs!$C$20-01_Inputs!$C$21^2/2)*01_Inputs!$C$22+01_Inputs!$C$21*SQRT(01_Inputs!$C$22)*B310)</f>
        <v>33.5241920969537</v>
      </c>
      <c r="D310" s="78" t="n">
        <f aca="false">MAX(C310-05_Unit_Economics!$B$21,0)</f>
        <v>0</v>
      </c>
      <c r="E310" s="78" t="n">
        <f aca="false">D310*EXP(-01_Inputs!$C$20*01_Inputs!$C$22)</f>
        <v>0</v>
      </c>
      <c r="F310" s="79"/>
    </row>
    <row r="311" customFormat="false" ht="15" hidden="false" customHeight="false" outlineLevel="0" collapsed="false">
      <c r="A311" s="76" t="n">
        <v>300</v>
      </c>
      <c r="B311" s="77" t="n">
        <v>1.3684</v>
      </c>
      <c r="C311" s="78" t="n">
        <f aca="false">05_Unit_Economics!$B$15*EXP((01_Inputs!$C$20-01_Inputs!$C$21^2/2)*01_Inputs!$C$22+01_Inputs!$C$21*SQRT(01_Inputs!$C$22)*B311)</f>
        <v>87.3695942583747</v>
      </c>
      <c r="D311" s="78" t="n">
        <f aca="false">MAX(C311-05_Unit_Economics!$B$21,0)</f>
        <v>49.4619887838712</v>
      </c>
      <c r="E311" s="78" t="n">
        <f aca="false">D311*EXP(-01_Inputs!$C$20*01_Inputs!$C$22)</f>
        <v>47.332845911213</v>
      </c>
      <c r="F311" s="80" t="n">
        <f aca="false">AVERAGE(E310:E311)</f>
        <v>23.6664229556065</v>
      </c>
    </row>
    <row r="312" customFormat="false" ht="15" hidden="false" customHeight="false" outlineLevel="0" collapsed="false">
      <c r="A312" s="76" t="n">
        <v>301</v>
      </c>
      <c r="B312" s="77" t="n">
        <v>-0.999468</v>
      </c>
      <c r="C312" s="78" t="n">
        <f aca="false">05_Unit_Economics!$B$15*EXP((01_Inputs!$C$20-01_Inputs!$C$21^2/2)*01_Inputs!$C$22+01_Inputs!$C$21*SQRT(01_Inputs!$C$22)*B312)</f>
        <v>38.1449558590246</v>
      </c>
      <c r="D312" s="78" t="n">
        <f aca="false">MAX(C312-05_Unit_Economics!$B$21,0)</f>
        <v>0.237350384521079</v>
      </c>
      <c r="E312" s="78" t="n">
        <f aca="false">D312*EXP(-01_Inputs!$C$20*01_Inputs!$C$22)</f>
        <v>0.227133389775196</v>
      </c>
      <c r="F312" s="79"/>
    </row>
    <row r="313" customFormat="false" ht="15" hidden="false" customHeight="false" outlineLevel="0" collapsed="false">
      <c r="A313" s="76" t="n">
        <v>302</v>
      </c>
      <c r="B313" s="77" t="n">
        <v>0.999468</v>
      </c>
      <c r="C313" s="78" t="n">
        <f aca="false">05_Unit_Economics!$B$15*EXP((01_Inputs!$C$20-01_Inputs!$C$21^2/2)*01_Inputs!$C$22+01_Inputs!$C$21*SQRT(01_Inputs!$C$22)*B313)</f>
        <v>76.7859077403466</v>
      </c>
      <c r="D313" s="78" t="n">
        <f aca="false">MAX(C313-05_Unit_Economics!$B$21,0)</f>
        <v>38.8783022658431</v>
      </c>
      <c r="E313" s="78" t="n">
        <f aca="false">D313*EXP(-01_Inputs!$C$20*01_Inputs!$C$22)</f>
        <v>37.2047452131319</v>
      </c>
      <c r="F313" s="80" t="n">
        <f aca="false">AVERAGE(E312:E313)</f>
        <v>18.7159393014535</v>
      </c>
    </row>
    <row r="314" customFormat="false" ht="15" hidden="false" customHeight="false" outlineLevel="0" collapsed="false">
      <c r="A314" s="76" t="n">
        <v>303</v>
      </c>
      <c r="B314" s="77" t="n">
        <v>2.318596</v>
      </c>
      <c r="C314" s="78" t="n">
        <f aca="false">05_Unit_Economics!$B$15*EXP((01_Inputs!$C$20-01_Inputs!$C$21^2/2)*01_Inputs!$C$22+01_Inputs!$C$21*SQRT(01_Inputs!$C$22)*B314)</f>
        <v>121.840879903097</v>
      </c>
      <c r="D314" s="78" t="n">
        <f aca="false">MAX(C314-05_Unit_Economics!$B$21,0)</f>
        <v>83.9332744285932</v>
      </c>
      <c r="E314" s="78" t="n">
        <f aca="false">D314*EXP(-01_Inputs!$C$20*01_Inputs!$C$22)</f>
        <v>80.3202791281135</v>
      </c>
      <c r="F314" s="79"/>
    </row>
    <row r="315" customFormat="false" ht="15" hidden="false" customHeight="false" outlineLevel="0" collapsed="false">
      <c r="A315" s="76" t="n">
        <v>304</v>
      </c>
      <c r="B315" s="77" t="n">
        <v>-2.318596</v>
      </c>
      <c r="C315" s="78" t="n">
        <f aca="false">05_Unit_Economics!$B$15*EXP((01_Inputs!$C$20-01_Inputs!$C$21^2/2)*01_Inputs!$C$22+01_Inputs!$C$21*SQRT(01_Inputs!$C$22)*B315)</f>
        <v>24.0395100862712</v>
      </c>
      <c r="D315" s="78" t="n">
        <f aca="false">MAX(C315-05_Unit_Economics!$B$21,0)</f>
        <v>0</v>
      </c>
      <c r="E315" s="78" t="n">
        <f aca="false">D315*EXP(-01_Inputs!$C$20*01_Inputs!$C$22)</f>
        <v>0</v>
      </c>
      <c r="F315" s="80" t="n">
        <f aca="false">AVERAGE(E314:E315)</f>
        <v>40.1601395640567</v>
      </c>
    </row>
    <row r="316" customFormat="false" ht="15" hidden="false" customHeight="false" outlineLevel="0" collapsed="false">
      <c r="A316" s="76" t="n">
        <v>305</v>
      </c>
      <c r="B316" s="77" t="n">
        <v>-0.887346</v>
      </c>
      <c r="C316" s="78" t="n">
        <f aca="false">05_Unit_Economics!$B$15*EXP((01_Inputs!$C$20-01_Inputs!$C$21^2/2)*01_Inputs!$C$22+01_Inputs!$C$21*SQRT(01_Inputs!$C$22)*B316)</f>
        <v>39.6716263377639</v>
      </c>
      <c r="D316" s="78" t="n">
        <f aca="false">MAX(C316-05_Unit_Economics!$B$21,0)</f>
        <v>1.76402086326045</v>
      </c>
      <c r="E316" s="78" t="n">
        <f aca="false">D316*EXP(-01_Inputs!$C$20*01_Inputs!$C$22)</f>
        <v>1.68808674616211</v>
      </c>
      <c r="F316" s="79"/>
    </row>
    <row r="317" customFormat="false" ht="15" hidden="false" customHeight="false" outlineLevel="0" collapsed="false">
      <c r="A317" s="76" t="n">
        <v>306</v>
      </c>
      <c r="B317" s="77" t="n">
        <v>0.887346</v>
      </c>
      <c r="C317" s="78" t="n">
        <f aca="false">05_Unit_Economics!$B$15*EXP((01_Inputs!$C$20-01_Inputs!$C$21^2/2)*01_Inputs!$C$22+01_Inputs!$C$21*SQRT(01_Inputs!$C$22)*B317)</f>
        <v>73.830980268195</v>
      </c>
      <c r="D317" s="78" t="n">
        <f aca="false">MAX(C317-05_Unit_Economics!$B$21,0)</f>
        <v>35.9233747936915</v>
      </c>
      <c r="E317" s="78" t="n">
        <f aca="false">D317*EXP(-01_Inputs!$C$20*01_Inputs!$C$22)</f>
        <v>34.3770156746106</v>
      </c>
      <c r="F317" s="80" t="n">
        <f aca="false">AVERAGE(E316:E317)</f>
        <v>18.0325512103863</v>
      </c>
    </row>
    <row r="318" customFormat="false" ht="15" hidden="false" customHeight="false" outlineLevel="0" collapsed="false">
      <c r="A318" s="76" t="n">
        <v>307</v>
      </c>
      <c r="B318" s="77" t="n">
        <v>-1.369967</v>
      </c>
      <c r="C318" s="78" t="n">
        <f aca="false">05_Unit_Economics!$B$15*EXP((01_Inputs!$C$20-01_Inputs!$C$21^2/2)*01_Inputs!$C$22+01_Inputs!$C$21*SQRT(01_Inputs!$C$22)*B318)</f>
        <v>33.5058107948714</v>
      </c>
      <c r="D318" s="78" t="n">
        <f aca="false">MAX(C318-05_Unit_Economics!$B$21,0)</f>
        <v>0</v>
      </c>
      <c r="E318" s="78" t="n">
        <f aca="false">D318*EXP(-01_Inputs!$C$20*01_Inputs!$C$22)</f>
        <v>0</v>
      </c>
      <c r="F318" s="79"/>
    </row>
    <row r="319" customFormat="false" ht="15" hidden="false" customHeight="false" outlineLevel="0" collapsed="false">
      <c r="A319" s="76" t="n">
        <v>308</v>
      </c>
      <c r="B319" s="77" t="n">
        <v>1.369967</v>
      </c>
      <c r="C319" s="78" t="n">
        <f aca="false">05_Unit_Economics!$B$15*EXP((01_Inputs!$C$20-01_Inputs!$C$21^2/2)*01_Inputs!$C$22+01_Inputs!$C$21*SQRT(01_Inputs!$C$22)*B319)</f>
        <v>87.4175252550218</v>
      </c>
      <c r="D319" s="78" t="n">
        <f aca="false">MAX(C319-05_Unit_Economics!$B$21,0)</f>
        <v>49.5099197805183</v>
      </c>
      <c r="E319" s="78" t="n">
        <f aca="false">D319*EXP(-01_Inputs!$C$20*01_Inputs!$C$22)</f>
        <v>47.3787136681401</v>
      </c>
      <c r="F319" s="80" t="n">
        <f aca="false">AVERAGE(E318:E319)</f>
        <v>23.68935683407</v>
      </c>
    </row>
    <row r="320" customFormat="false" ht="15" hidden="false" customHeight="false" outlineLevel="0" collapsed="false">
      <c r="A320" s="76" t="n">
        <v>309</v>
      </c>
      <c r="B320" s="77" t="n">
        <v>0.036226</v>
      </c>
      <c r="C320" s="78" t="n">
        <f aca="false">05_Unit_Economics!$B$15*EXP((01_Inputs!$C$20-01_Inputs!$C$21^2/2)*01_Inputs!$C$22+01_Inputs!$C$21*SQRT(01_Inputs!$C$22)*B320)</f>
        <v>54.8107548098473</v>
      </c>
      <c r="D320" s="78" t="n">
        <f aca="false">MAX(C320-05_Unit_Economics!$B$21,0)</f>
        <v>16.9031493353438</v>
      </c>
      <c r="E320" s="78" t="n">
        <f aca="false">D320*EXP(-01_Inputs!$C$20*01_Inputs!$C$22)</f>
        <v>16.1755356502152</v>
      </c>
      <c r="F320" s="79"/>
    </row>
    <row r="321" customFormat="false" ht="15" hidden="false" customHeight="false" outlineLevel="0" collapsed="false">
      <c r="A321" s="76" t="n">
        <v>310</v>
      </c>
      <c r="B321" s="77" t="n">
        <v>-0.036226</v>
      </c>
      <c r="C321" s="78" t="n">
        <f aca="false">05_Unit_Economics!$B$15*EXP((01_Inputs!$C$20-01_Inputs!$C$21^2/2)*01_Inputs!$C$22+01_Inputs!$C$21*SQRT(01_Inputs!$C$22)*B321)</f>
        <v>53.4383274142474</v>
      </c>
      <c r="D321" s="78" t="n">
        <f aca="false">MAX(C321-05_Unit_Economics!$B$21,0)</f>
        <v>15.5307219397439</v>
      </c>
      <c r="E321" s="78" t="n">
        <f aca="false">D321*EXP(-01_Inputs!$C$20*01_Inputs!$C$22)</f>
        <v>14.8621858226514</v>
      </c>
      <c r="F321" s="80" t="n">
        <f aca="false">AVERAGE(E320:E321)</f>
        <v>15.5188607364333</v>
      </c>
    </row>
    <row r="322" customFormat="false" ht="15" hidden="false" customHeight="false" outlineLevel="0" collapsed="false">
      <c r="A322" s="76" t="n">
        <v>311</v>
      </c>
      <c r="B322" s="77" t="n">
        <v>1.22401</v>
      </c>
      <c r="C322" s="78" t="n">
        <f aca="false">05_Unit_Economics!$B$15*EXP((01_Inputs!$C$20-01_Inputs!$C$21^2/2)*01_Inputs!$C$22+01_Inputs!$C$21*SQRT(01_Inputs!$C$22)*B322)</f>
        <v>83.0639530980372</v>
      </c>
      <c r="D322" s="78" t="n">
        <f aca="false">MAX(C322-05_Unit_Economics!$B$21,0)</f>
        <v>45.1563476235337</v>
      </c>
      <c r="E322" s="78" t="n">
        <f aca="false">D322*EXP(-01_Inputs!$C$20*01_Inputs!$C$22)</f>
        <v>43.2125455633692</v>
      </c>
      <c r="F322" s="79"/>
    </row>
    <row r="323" customFormat="false" ht="15" hidden="false" customHeight="false" outlineLevel="0" collapsed="false">
      <c r="A323" s="76" t="n">
        <v>312</v>
      </c>
      <c r="B323" s="77" t="n">
        <v>-1.22401</v>
      </c>
      <c r="C323" s="78" t="n">
        <f aca="false">05_Unit_Economics!$B$15*EXP((01_Inputs!$C$20-01_Inputs!$C$21^2/2)*01_Inputs!$C$22+01_Inputs!$C$21*SQRT(01_Inputs!$C$22)*B323)</f>
        <v>35.2619271309382</v>
      </c>
      <c r="D323" s="78" t="n">
        <f aca="false">MAX(C323-05_Unit_Economics!$B$21,0)</f>
        <v>0</v>
      </c>
      <c r="E323" s="78" t="n">
        <f aca="false">D323*EXP(-01_Inputs!$C$20*01_Inputs!$C$22)</f>
        <v>0</v>
      </c>
      <c r="F323" s="80" t="n">
        <f aca="false">AVERAGE(E322:E323)</f>
        <v>21.6062727816846</v>
      </c>
    </row>
    <row r="324" customFormat="false" ht="15" hidden="false" customHeight="false" outlineLevel="0" collapsed="false">
      <c r="A324" s="76" t="n">
        <v>313</v>
      </c>
      <c r="B324" s="77" t="n">
        <v>-0.43825</v>
      </c>
      <c r="C324" s="78" t="n">
        <f aca="false">05_Unit_Economics!$B$15*EXP((01_Inputs!$C$20-01_Inputs!$C$21^2/2)*01_Inputs!$C$22+01_Inputs!$C$21*SQRT(01_Inputs!$C$22)*B324)</f>
        <v>46.4241515033087</v>
      </c>
      <c r="D324" s="78" t="n">
        <f aca="false">MAX(C324-05_Unit_Economics!$B$21,0)</f>
        <v>8.51654602880524</v>
      </c>
      <c r="E324" s="78" t="n">
        <f aca="false">D324*EXP(-01_Inputs!$C$20*01_Inputs!$C$22)</f>
        <v>8.14994242626653</v>
      </c>
      <c r="F324" s="79"/>
    </row>
    <row r="325" customFormat="false" ht="15" hidden="false" customHeight="false" outlineLevel="0" collapsed="false">
      <c r="A325" s="76" t="n">
        <v>314</v>
      </c>
      <c r="B325" s="77" t="n">
        <v>0.43825</v>
      </c>
      <c r="C325" s="78" t="n">
        <f aca="false">05_Unit_Economics!$B$15*EXP((01_Inputs!$C$20-01_Inputs!$C$21^2/2)*01_Inputs!$C$22+01_Inputs!$C$21*SQRT(01_Inputs!$C$22)*B325)</f>
        <v>63.0920537371997</v>
      </c>
      <c r="D325" s="78" t="n">
        <f aca="false">MAX(C325-05_Unit_Economics!$B$21,0)</f>
        <v>25.1844482626962</v>
      </c>
      <c r="E325" s="78" t="n">
        <f aca="false">D325*EXP(-01_Inputs!$C$20*01_Inputs!$C$22)</f>
        <v>24.1003574317623</v>
      </c>
      <c r="F325" s="80" t="n">
        <f aca="false">AVERAGE(E324:E325)</f>
        <v>16.1251499290144</v>
      </c>
    </row>
    <row r="326" customFormat="false" ht="15" hidden="false" customHeight="false" outlineLevel="0" collapsed="false">
      <c r="A326" s="76" t="n">
        <v>315</v>
      </c>
      <c r="B326" s="77" t="n">
        <v>0.357316</v>
      </c>
      <c r="C326" s="78" t="n">
        <f aca="false">05_Unit_Economics!$B$15*EXP((01_Inputs!$C$20-01_Inputs!$C$21^2/2)*01_Inputs!$C$22+01_Inputs!$C$21*SQRT(01_Inputs!$C$22)*B326)</f>
        <v>61.32992706117</v>
      </c>
      <c r="D326" s="78" t="n">
        <f aca="false">MAX(C326-05_Unit_Economics!$B$21,0)</f>
        <v>23.4223215866665</v>
      </c>
      <c r="E326" s="78" t="n">
        <f aca="false">D326*EXP(-01_Inputs!$C$20*01_Inputs!$C$22)</f>
        <v>22.4140833355669</v>
      </c>
      <c r="F326" s="79"/>
    </row>
    <row r="327" customFormat="false" ht="15" hidden="false" customHeight="false" outlineLevel="0" collapsed="false">
      <c r="A327" s="76" t="n">
        <v>316</v>
      </c>
      <c r="B327" s="77" t="n">
        <v>-0.357316</v>
      </c>
      <c r="C327" s="78" t="n">
        <f aca="false">05_Unit_Economics!$B$15*EXP((01_Inputs!$C$20-01_Inputs!$C$21^2/2)*01_Inputs!$C$22+01_Inputs!$C$21*SQRT(01_Inputs!$C$22)*B327)</f>
        <v>47.7580065997681</v>
      </c>
      <c r="D327" s="78" t="n">
        <f aca="false">MAX(C327-05_Unit_Economics!$B$21,0)</f>
        <v>9.85040112526462</v>
      </c>
      <c r="E327" s="78" t="n">
        <f aca="false">D327*EXP(-01_Inputs!$C$20*01_Inputs!$C$22)</f>
        <v>9.42638033951893</v>
      </c>
      <c r="F327" s="80" t="n">
        <f aca="false">AVERAGE(E326:E327)</f>
        <v>15.9202318375429</v>
      </c>
    </row>
    <row r="328" customFormat="false" ht="15" hidden="false" customHeight="false" outlineLevel="0" collapsed="false">
      <c r="A328" s="76" t="n">
        <v>317</v>
      </c>
      <c r="B328" s="77" t="n">
        <v>0.85616</v>
      </c>
      <c r="C328" s="78" t="n">
        <f aca="false">05_Unit_Economics!$B$15*EXP((01_Inputs!$C$20-01_Inputs!$C$21^2/2)*01_Inputs!$C$22+01_Inputs!$C$21*SQRT(01_Inputs!$C$22)*B328)</f>
        <v>73.0294898668182</v>
      </c>
      <c r="D328" s="78" t="n">
        <f aca="false">MAX(C328-05_Unit_Economics!$B$21,0)</f>
        <v>35.1218843923147</v>
      </c>
      <c r="E328" s="78" t="n">
        <f aca="false">D328*EXP(-01_Inputs!$C$20*01_Inputs!$C$22)</f>
        <v>33.6100262631364</v>
      </c>
      <c r="F328" s="79"/>
    </row>
    <row r="329" customFormat="false" ht="15" hidden="false" customHeight="false" outlineLevel="0" collapsed="false">
      <c r="A329" s="76" t="n">
        <v>318</v>
      </c>
      <c r="B329" s="77" t="n">
        <v>-0.85616</v>
      </c>
      <c r="C329" s="78" t="n">
        <f aca="false">05_Unit_Economics!$B$15*EXP((01_Inputs!$C$20-01_Inputs!$C$21^2/2)*01_Inputs!$C$22+01_Inputs!$C$21*SQRT(01_Inputs!$C$22)*B329)</f>
        <v>40.1070179552422</v>
      </c>
      <c r="D329" s="78" t="n">
        <f aca="false">MAX(C329-05_Unit_Economics!$B$21,0)</f>
        <v>2.19941248073869</v>
      </c>
      <c r="E329" s="78" t="n">
        <f aca="false">D329*EXP(-01_Inputs!$C$20*01_Inputs!$C$22)</f>
        <v>2.1047364775585</v>
      </c>
      <c r="F329" s="80" t="n">
        <f aca="false">AVERAGE(E328:E329)</f>
        <v>17.8573813703474</v>
      </c>
    </row>
    <row r="330" customFormat="false" ht="15" hidden="false" customHeight="false" outlineLevel="0" collapsed="false">
      <c r="A330" s="76" t="n">
        <v>319</v>
      </c>
      <c r="B330" s="77" t="n">
        <v>0.97637</v>
      </c>
      <c r="C330" s="78" t="n">
        <f aca="false">05_Unit_Economics!$B$15*EXP((01_Inputs!$C$20-01_Inputs!$C$21^2/2)*01_Inputs!$C$22+01_Inputs!$C$21*SQRT(01_Inputs!$C$22)*B330)</f>
        <v>76.1676498846227</v>
      </c>
      <c r="D330" s="78" t="n">
        <f aca="false">MAX(C330-05_Unit_Economics!$B$21,0)</f>
        <v>38.2600444101192</v>
      </c>
      <c r="E330" s="78" t="n">
        <f aca="false">D330*EXP(-01_Inputs!$C$20*01_Inputs!$C$22)</f>
        <v>36.6131009113581</v>
      </c>
      <c r="F330" s="79"/>
    </row>
    <row r="331" customFormat="false" ht="15" hidden="false" customHeight="false" outlineLevel="0" collapsed="false">
      <c r="A331" s="76" t="n">
        <v>320</v>
      </c>
      <c r="B331" s="77" t="n">
        <v>-0.97637</v>
      </c>
      <c r="C331" s="78" t="n">
        <f aca="false">05_Unit_Economics!$B$15*EXP((01_Inputs!$C$20-01_Inputs!$C$21^2/2)*01_Inputs!$C$22+01_Inputs!$C$21*SQRT(01_Inputs!$C$22)*B331)</f>
        <v>38.4545809905838</v>
      </c>
      <c r="D331" s="78" t="n">
        <f aca="false">MAX(C331-05_Unit_Economics!$B$21,0)</f>
        <v>0.546975516080295</v>
      </c>
      <c r="E331" s="78" t="n">
        <f aca="false">D331*EXP(-01_Inputs!$C$20*01_Inputs!$C$22)</f>
        <v>0.5234303847539</v>
      </c>
      <c r="F331" s="80" t="n">
        <f aca="false">AVERAGE(E330:E331)</f>
        <v>18.568265648056</v>
      </c>
    </row>
    <row r="332" customFormat="false" ht="15" hidden="false" customHeight="false" outlineLevel="0" collapsed="false">
      <c r="A332" s="76" t="n">
        <v>321</v>
      </c>
      <c r="B332" s="77" t="n">
        <v>-1.502015</v>
      </c>
      <c r="C332" s="78" t="n">
        <f aca="false">05_Unit_Economics!$B$15*EXP((01_Inputs!$C$20-01_Inputs!$C$21^2/2)*01_Inputs!$C$22+01_Inputs!$C$21*SQRT(01_Inputs!$C$22)*B332)</f>
        <v>31.9925185563874</v>
      </c>
      <c r="D332" s="78" t="n">
        <f aca="false">MAX(C332-05_Unit_Economics!$B$21,0)</f>
        <v>0</v>
      </c>
      <c r="E332" s="78" t="n">
        <f aca="false">D332*EXP(-01_Inputs!$C$20*01_Inputs!$C$22)</f>
        <v>0</v>
      </c>
      <c r="F332" s="79"/>
    </row>
    <row r="333" customFormat="false" ht="15" hidden="false" customHeight="false" outlineLevel="0" collapsed="false">
      <c r="A333" s="76" t="n">
        <v>322</v>
      </c>
      <c r="B333" s="77" t="n">
        <v>1.502015</v>
      </c>
      <c r="C333" s="78" t="n">
        <f aca="false">05_Unit_Economics!$B$15*EXP((01_Inputs!$C$20-01_Inputs!$C$21^2/2)*01_Inputs!$C$22+01_Inputs!$C$21*SQRT(01_Inputs!$C$22)*B333)</f>
        <v>91.5525001943264</v>
      </c>
      <c r="D333" s="78" t="n">
        <f aca="false">MAX(C333-05_Unit_Economics!$B$21,0)</f>
        <v>53.644894719823</v>
      </c>
      <c r="E333" s="78" t="n">
        <f aca="false">D333*EXP(-01_Inputs!$C$20*01_Inputs!$C$22)</f>
        <v>51.3356943003595</v>
      </c>
      <c r="F333" s="80" t="n">
        <f aca="false">AVERAGE(E332:E333)</f>
        <v>25.6678471501798</v>
      </c>
    </row>
    <row r="334" customFormat="false" ht="15" hidden="false" customHeight="false" outlineLevel="0" collapsed="false">
      <c r="A334" s="76" t="n">
        <v>323</v>
      </c>
      <c r="B334" s="77" t="n">
        <v>0.482004</v>
      </c>
      <c r="C334" s="78" t="n">
        <f aca="false">05_Unit_Economics!$B$15*EXP((01_Inputs!$C$20-01_Inputs!$C$21^2/2)*01_Inputs!$C$22+01_Inputs!$C$21*SQRT(01_Inputs!$C$22)*B334)</f>
        <v>64.0656750815084</v>
      </c>
      <c r="D334" s="78" t="n">
        <f aca="false">MAX(C334-05_Unit_Economics!$B$21,0)</f>
        <v>26.1580696070049</v>
      </c>
      <c r="E334" s="78" t="n">
        <f aca="false">D334*EXP(-01_Inputs!$C$20*01_Inputs!$C$22)</f>
        <v>25.0320682302788</v>
      </c>
      <c r="F334" s="79"/>
    </row>
    <row r="335" customFormat="false" ht="15" hidden="false" customHeight="false" outlineLevel="0" collapsed="false">
      <c r="A335" s="76" t="n">
        <v>324</v>
      </c>
      <c r="B335" s="77" t="n">
        <v>-0.482004</v>
      </c>
      <c r="C335" s="78" t="n">
        <f aca="false">05_Unit_Economics!$B$15*EXP((01_Inputs!$C$20-01_Inputs!$C$21^2/2)*01_Inputs!$C$22+01_Inputs!$C$21*SQRT(01_Inputs!$C$22)*B335)</f>
        <v>45.7186326004401</v>
      </c>
      <c r="D335" s="78" t="n">
        <f aca="false">MAX(C335-05_Unit_Economics!$B$21,0)</f>
        <v>7.81102712593662</v>
      </c>
      <c r="E335" s="78" t="n">
        <f aca="false">D335*EXP(-01_Inputs!$C$20*01_Inputs!$C$22)</f>
        <v>7.47479332009437</v>
      </c>
      <c r="F335" s="80" t="n">
        <f aca="false">AVERAGE(E334:E335)</f>
        <v>16.2534307751866</v>
      </c>
    </row>
    <row r="336" customFormat="false" ht="15" hidden="false" customHeight="false" outlineLevel="0" collapsed="false">
      <c r="A336" s="76" t="n">
        <v>325</v>
      </c>
      <c r="B336" s="77" t="n">
        <v>-0.371035</v>
      </c>
      <c r="C336" s="78" t="n">
        <f aca="false">05_Unit_Economics!$B$15*EXP((01_Inputs!$C$20-01_Inputs!$C$21^2/2)*01_Inputs!$C$22+01_Inputs!$C$21*SQRT(01_Inputs!$C$22)*B336)</f>
        <v>47.5292390377959</v>
      </c>
      <c r="D336" s="78" t="n">
        <f aca="false">MAX(C336-05_Unit_Economics!$B$21,0)</f>
        <v>9.62163356329239</v>
      </c>
      <c r="E336" s="78" t="n">
        <f aca="false">D336*EXP(-01_Inputs!$C$20*01_Inputs!$C$22)</f>
        <v>9.20746031574815</v>
      </c>
      <c r="F336" s="79"/>
    </row>
    <row r="337" customFormat="false" ht="15" hidden="false" customHeight="false" outlineLevel="0" collapsed="false">
      <c r="A337" s="76" t="n">
        <v>326</v>
      </c>
      <c r="B337" s="77" t="n">
        <v>0.371035</v>
      </c>
      <c r="C337" s="78" t="n">
        <f aca="false">05_Unit_Economics!$B$15*EXP((01_Inputs!$C$20-01_Inputs!$C$21^2/2)*01_Inputs!$C$22+01_Inputs!$C$21*SQRT(01_Inputs!$C$22)*B337)</f>
        <v>61.6251200449786</v>
      </c>
      <c r="D337" s="78" t="n">
        <f aca="false">MAX(C337-05_Unit_Economics!$B$21,0)</f>
        <v>23.7175145704751</v>
      </c>
      <c r="E337" s="78" t="n">
        <f aca="false">D337*EXP(-01_Inputs!$C$20*01_Inputs!$C$22)</f>
        <v>22.6965694296408</v>
      </c>
      <c r="F337" s="80" t="n">
        <f aca="false">AVERAGE(E336:E337)</f>
        <v>15.9520148726945</v>
      </c>
    </row>
    <row r="338" customFormat="false" ht="15" hidden="false" customHeight="false" outlineLevel="0" collapsed="false">
      <c r="A338" s="76" t="n">
        <v>327</v>
      </c>
      <c r="B338" s="77" t="n">
        <v>-0.609818</v>
      </c>
      <c r="C338" s="78" t="n">
        <f aca="false">05_Unit_Economics!$B$15*EXP((01_Inputs!$C$20-01_Inputs!$C$21^2/2)*01_Inputs!$C$22+01_Inputs!$C$21*SQRT(01_Inputs!$C$22)*B338)</f>
        <v>43.7184858733901</v>
      </c>
      <c r="D338" s="78" t="n">
        <f aca="false">MAX(C338-05_Unit_Economics!$B$21,0)</f>
        <v>5.8108803988866</v>
      </c>
      <c r="E338" s="78" t="n">
        <f aca="false">D338*EXP(-01_Inputs!$C$20*01_Inputs!$C$22)</f>
        <v>5.56074499411709</v>
      </c>
      <c r="F338" s="79"/>
    </row>
    <row r="339" customFormat="false" ht="15" hidden="false" customHeight="false" outlineLevel="0" collapsed="false">
      <c r="A339" s="76" t="n">
        <v>328</v>
      </c>
      <c r="B339" s="77" t="n">
        <v>0.609818</v>
      </c>
      <c r="C339" s="78" t="n">
        <f aca="false">05_Unit_Economics!$B$15*EXP((01_Inputs!$C$20-01_Inputs!$C$21^2/2)*01_Inputs!$C$22+01_Inputs!$C$21*SQRT(01_Inputs!$C$22)*B339)</f>
        <v>66.9967178148187</v>
      </c>
      <c r="D339" s="78" t="n">
        <f aca="false">MAX(C339-05_Unit_Economics!$B$21,0)</f>
        <v>29.0891123403152</v>
      </c>
      <c r="E339" s="78" t="n">
        <f aca="false">D339*EXP(-01_Inputs!$C$20*01_Inputs!$C$22)</f>
        <v>27.8369411734427</v>
      </c>
      <c r="F339" s="80" t="n">
        <f aca="false">AVERAGE(E338:E339)</f>
        <v>16.6988430837799</v>
      </c>
    </row>
    <row r="340" customFormat="false" ht="15" hidden="false" customHeight="false" outlineLevel="0" collapsed="false">
      <c r="A340" s="76" t="n">
        <v>329</v>
      </c>
      <c r="B340" s="77" t="n">
        <v>0.625904</v>
      </c>
      <c r="C340" s="78" t="n">
        <f aca="false">05_Unit_Economics!$B$15*EXP((01_Inputs!$C$20-01_Inputs!$C$21^2/2)*01_Inputs!$C$22+01_Inputs!$C$21*SQRT(01_Inputs!$C$22)*B340)</f>
        <v>67.3749798631877</v>
      </c>
      <c r="D340" s="78" t="n">
        <f aca="false">MAX(C340-05_Unit_Economics!$B$21,0)</f>
        <v>29.4673743886842</v>
      </c>
      <c r="E340" s="78" t="n">
        <f aca="false">D340*EXP(-01_Inputs!$C$20*01_Inputs!$C$22)</f>
        <v>28.1989205375912</v>
      </c>
      <c r="F340" s="79"/>
    </row>
    <row r="341" customFormat="false" ht="15" hidden="false" customHeight="false" outlineLevel="0" collapsed="false">
      <c r="A341" s="76" t="n">
        <v>330</v>
      </c>
      <c r="B341" s="77" t="n">
        <v>-0.625904</v>
      </c>
      <c r="C341" s="78" t="n">
        <f aca="false">05_Unit_Economics!$B$15*EXP((01_Inputs!$C$20-01_Inputs!$C$21^2/2)*01_Inputs!$C$22+01_Inputs!$C$21*SQRT(01_Inputs!$C$22)*B341)</f>
        <v>43.4730380223979</v>
      </c>
      <c r="D341" s="78" t="n">
        <f aca="false">MAX(C341-05_Unit_Economics!$B$21,0)</f>
        <v>5.56543254789445</v>
      </c>
      <c r="E341" s="78" t="n">
        <f aca="false">D341*EXP(-01_Inputs!$C$20*01_Inputs!$C$22)</f>
        <v>5.3258627017569</v>
      </c>
      <c r="F341" s="80" t="n">
        <f aca="false">AVERAGE(E340:E341)</f>
        <v>16.7623916196741</v>
      </c>
    </row>
    <row r="342" customFormat="false" ht="15" hidden="false" customHeight="false" outlineLevel="0" collapsed="false">
      <c r="A342" s="76" t="n">
        <v>331</v>
      </c>
      <c r="B342" s="77" t="n">
        <v>-1.253368</v>
      </c>
      <c r="C342" s="78" t="n">
        <f aca="false">05_Unit_Economics!$B$15*EXP((01_Inputs!$C$20-01_Inputs!$C$21^2/2)*01_Inputs!$C$22+01_Inputs!$C$21*SQRT(01_Inputs!$C$22)*B342)</f>
        <v>34.9014554002753</v>
      </c>
      <c r="D342" s="78" t="n">
        <f aca="false">MAX(C342-05_Unit_Economics!$B$21,0)</f>
        <v>0</v>
      </c>
      <c r="E342" s="78" t="n">
        <f aca="false">D342*EXP(-01_Inputs!$C$20*01_Inputs!$C$22)</f>
        <v>0</v>
      </c>
      <c r="F342" s="79"/>
    </row>
    <row r="343" customFormat="false" ht="15" hidden="false" customHeight="false" outlineLevel="0" collapsed="false">
      <c r="A343" s="76" t="n">
        <v>332</v>
      </c>
      <c r="B343" s="77" t="n">
        <v>1.253368</v>
      </c>
      <c r="C343" s="78" t="n">
        <f aca="false">05_Unit_Economics!$B$15*EXP((01_Inputs!$C$20-01_Inputs!$C$21^2/2)*01_Inputs!$C$22+01_Inputs!$C$21*SQRT(01_Inputs!$C$22)*B343)</f>
        <v>83.9218602135299</v>
      </c>
      <c r="D343" s="78" t="n">
        <f aca="false">MAX(C343-05_Unit_Economics!$B$21,0)</f>
        <v>46.0142547390264</v>
      </c>
      <c r="E343" s="78" t="n">
        <f aca="false">D343*EXP(-01_Inputs!$C$20*01_Inputs!$C$22)</f>
        <v>44.0335231726842</v>
      </c>
      <c r="F343" s="80" t="n">
        <f aca="false">AVERAGE(E342:E343)</f>
        <v>22.0167615863421</v>
      </c>
    </row>
    <row r="344" customFormat="false" ht="15" hidden="false" customHeight="false" outlineLevel="0" collapsed="false">
      <c r="A344" s="76" t="n">
        <v>333</v>
      </c>
      <c r="B344" s="77" t="n">
        <v>-1.334035</v>
      </c>
      <c r="C344" s="78" t="n">
        <f aca="false">05_Unit_Economics!$B$15*EXP((01_Inputs!$C$20-01_Inputs!$C$21^2/2)*01_Inputs!$C$22+01_Inputs!$C$21*SQRT(01_Inputs!$C$22)*B344)</f>
        <v>33.9298473681505</v>
      </c>
      <c r="D344" s="78" t="n">
        <f aca="false">MAX(C344-05_Unit_Economics!$B$21,0)</f>
        <v>0</v>
      </c>
      <c r="E344" s="78" t="n">
        <f aca="false">D344*EXP(-01_Inputs!$C$20*01_Inputs!$C$22)</f>
        <v>0</v>
      </c>
      <c r="F344" s="79"/>
    </row>
    <row r="345" customFormat="false" ht="15" hidden="false" customHeight="false" outlineLevel="0" collapsed="false">
      <c r="A345" s="76" t="n">
        <v>334</v>
      </c>
      <c r="B345" s="77" t="n">
        <v>1.334035</v>
      </c>
      <c r="C345" s="78" t="n">
        <f aca="false">05_Unit_Economics!$B$15*EXP((01_Inputs!$C$20-01_Inputs!$C$21^2/2)*01_Inputs!$C$22+01_Inputs!$C$21*SQRT(01_Inputs!$C$22)*B345)</f>
        <v>86.3250290981286</v>
      </c>
      <c r="D345" s="78" t="n">
        <f aca="false">MAX(C345-05_Unit_Economics!$B$21,0)</f>
        <v>48.4174236236251</v>
      </c>
      <c r="E345" s="78" t="n">
        <f aca="false">D345*EXP(-01_Inputs!$C$20*01_Inputs!$C$22)</f>
        <v>46.333245147277</v>
      </c>
      <c r="F345" s="80" t="n">
        <f aca="false">AVERAGE(E344:E345)</f>
        <v>23.1666225736385</v>
      </c>
    </row>
    <row r="346" customFormat="false" ht="15" hidden="false" customHeight="false" outlineLevel="0" collapsed="false">
      <c r="A346" s="76" t="n">
        <v>335</v>
      </c>
      <c r="B346" s="77" t="n">
        <v>-0.441157</v>
      </c>
      <c r="C346" s="78" t="n">
        <f aca="false">05_Unit_Economics!$B$15*EXP((01_Inputs!$C$20-01_Inputs!$C$21^2/2)*01_Inputs!$C$22+01_Inputs!$C$21*SQRT(01_Inputs!$C$22)*B346)</f>
        <v>46.3769412714595</v>
      </c>
      <c r="D346" s="78" t="n">
        <f aca="false">MAX(C346-05_Unit_Economics!$B$21,0)</f>
        <v>8.46933579695607</v>
      </c>
      <c r="E346" s="78" t="n">
        <f aca="false">D346*EXP(-01_Inputs!$C$20*01_Inputs!$C$22)</f>
        <v>8.10476440806525</v>
      </c>
      <c r="F346" s="79"/>
    </row>
    <row r="347" customFormat="false" ht="15" hidden="false" customHeight="false" outlineLevel="0" collapsed="false">
      <c r="A347" s="76" t="n">
        <v>336</v>
      </c>
      <c r="B347" s="77" t="n">
        <v>0.441157</v>
      </c>
      <c r="C347" s="78" t="n">
        <f aca="false">05_Unit_Economics!$B$15*EXP((01_Inputs!$C$20-01_Inputs!$C$21^2/2)*01_Inputs!$C$22+01_Inputs!$C$21*SQRT(01_Inputs!$C$22)*B347)</f>
        <v>63.156279414942</v>
      </c>
      <c r="D347" s="78" t="n">
        <f aca="false">MAX(C347-05_Unit_Economics!$B$21,0)</f>
        <v>25.2486739404385</v>
      </c>
      <c r="E347" s="78" t="n">
        <f aca="false">D347*EXP(-01_Inputs!$C$20*01_Inputs!$C$22)</f>
        <v>24.1618184482492</v>
      </c>
      <c r="F347" s="80" t="n">
        <f aca="false">AVERAGE(E346:E347)</f>
        <v>16.1332914281572</v>
      </c>
    </row>
    <row r="348" customFormat="false" ht="15" hidden="false" customHeight="false" outlineLevel="0" collapsed="false">
      <c r="A348" s="76" t="n">
        <v>337</v>
      </c>
      <c r="B348" s="77" t="n">
        <v>-0.614045</v>
      </c>
      <c r="C348" s="78" t="n">
        <f aca="false">05_Unit_Economics!$B$15*EXP((01_Inputs!$C$20-01_Inputs!$C$21^2/2)*01_Inputs!$C$22+01_Inputs!$C$21*SQRT(01_Inputs!$C$22)*B348)</f>
        <v>43.6538543807842</v>
      </c>
      <c r="D348" s="78" t="n">
        <f aca="false">MAX(C348-05_Unit_Economics!$B$21,0)</f>
        <v>5.74624890628072</v>
      </c>
      <c r="E348" s="78" t="n">
        <f aca="false">D348*EXP(-01_Inputs!$C$20*01_Inputs!$C$22)</f>
        <v>5.4988956314905</v>
      </c>
      <c r="F348" s="79"/>
    </row>
    <row r="349" customFormat="false" ht="15" hidden="false" customHeight="false" outlineLevel="0" collapsed="false">
      <c r="A349" s="76" t="n">
        <v>338</v>
      </c>
      <c r="B349" s="77" t="n">
        <v>0.614045</v>
      </c>
      <c r="C349" s="78" t="n">
        <f aca="false">05_Unit_Economics!$B$15*EXP((01_Inputs!$C$20-01_Inputs!$C$21^2/2)*01_Inputs!$C$22+01_Inputs!$C$21*SQRT(01_Inputs!$C$22)*B349)</f>
        <v>67.0959094654412</v>
      </c>
      <c r="D349" s="78" t="n">
        <f aca="false">MAX(C349-05_Unit_Economics!$B$21,0)</f>
        <v>29.1883039909378</v>
      </c>
      <c r="E349" s="78" t="n">
        <f aca="false">D349*EXP(-01_Inputs!$C$20*01_Inputs!$C$22)</f>
        <v>27.9318630160542</v>
      </c>
      <c r="F349" s="80" t="n">
        <f aca="false">AVERAGE(E348:E349)</f>
        <v>16.7153793237724</v>
      </c>
    </row>
    <row r="350" customFormat="false" ht="15" hidden="false" customHeight="false" outlineLevel="0" collapsed="false">
      <c r="A350" s="76" t="n">
        <v>339</v>
      </c>
      <c r="B350" s="77" t="n">
        <v>2.206113</v>
      </c>
      <c r="C350" s="78" t="n">
        <f aca="false">05_Unit_Economics!$B$15*EXP((01_Inputs!$C$20-01_Inputs!$C$21^2/2)*01_Inputs!$C$22+01_Inputs!$C$21*SQRT(01_Inputs!$C$22)*B350)</f>
        <v>117.137315145756</v>
      </c>
      <c r="D350" s="78" t="n">
        <f aca="false">MAX(C350-05_Unit_Economics!$B$21,0)</f>
        <v>79.2297096712528</v>
      </c>
      <c r="E350" s="78" t="n">
        <f aca="false">D350*EXP(-01_Inputs!$C$20*01_Inputs!$C$22)</f>
        <v>75.8191842193459</v>
      </c>
      <c r="F350" s="79"/>
    </row>
    <row r="351" customFormat="false" ht="15" hidden="false" customHeight="false" outlineLevel="0" collapsed="false">
      <c r="A351" s="76" t="n">
        <v>340</v>
      </c>
      <c r="B351" s="77" t="n">
        <v>-2.206113</v>
      </c>
      <c r="C351" s="78" t="n">
        <f aca="false">05_Unit_Economics!$B$15*EXP((01_Inputs!$C$20-01_Inputs!$C$21^2/2)*01_Inputs!$C$22+01_Inputs!$C$21*SQRT(01_Inputs!$C$22)*B351)</f>
        <v>25.0047993477232</v>
      </c>
      <c r="D351" s="78" t="n">
        <f aca="false">MAX(C351-05_Unit_Economics!$B$21,0)</f>
        <v>0</v>
      </c>
      <c r="E351" s="78" t="n">
        <f aca="false">D351*EXP(-01_Inputs!$C$20*01_Inputs!$C$22)</f>
        <v>0</v>
      </c>
      <c r="F351" s="80" t="n">
        <f aca="false">AVERAGE(E350:E351)</f>
        <v>37.9095921096729</v>
      </c>
    </row>
    <row r="352" customFormat="false" ht="15" hidden="false" customHeight="false" outlineLevel="0" collapsed="false">
      <c r="A352" s="76" t="n">
        <v>341</v>
      </c>
      <c r="B352" s="77" t="n">
        <v>-1.333618</v>
      </c>
      <c r="C352" s="78" t="n">
        <f aca="false">05_Unit_Economics!$B$15*EXP((01_Inputs!$C$20-01_Inputs!$C$21^2/2)*01_Inputs!$C$22+01_Inputs!$C$21*SQRT(01_Inputs!$C$22)*B352)</f>
        <v>33.9347997907681</v>
      </c>
      <c r="D352" s="78" t="n">
        <f aca="false">MAX(C352-05_Unit_Economics!$B$21,0)</f>
        <v>0</v>
      </c>
      <c r="E352" s="78" t="n">
        <f aca="false">D352*EXP(-01_Inputs!$C$20*01_Inputs!$C$22)</f>
        <v>0</v>
      </c>
      <c r="F352" s="79"/>
    </row>
    <row r="353" customFormat="false" ht="15" hidden="false" customHeight="false" outlineLevel="0" collapsed="false">
      <c r="A353" s="76" t="n">
        <v>342</v>
      </c>
      <c r="B353" s="77" t="n">
        <v>1.333618</v>
      </c>
      <c r="C353" s="78" t="n">
        <f aca="false">05_Unit_Economics!$B$15*EXP((01_Inputs!$C$20-01_Inputs!$C$21^2/2)*01_Inputs!$C$22+01_Inputs!$C$21*SQRT(01_Inputs!$C$22)*B353)</f>
        <v>86.3124308795091</v>
      </c>
      <c r="D353" s="78" t="n">
        <f aca="false">MAX(C353-05_Unit_Economics!$B$21,0)</f>
        <v>48.4048254050056</v>
      </c>
      <c r="E353" s="78" t="n">
        <f aca="false">D353*EXP(-01_Inputs!$C$20*01_Inputs!$C$22)</f>
        <v>46.321189232112</v>
      </c>
      <c r="F353" s="80" t="n">
        <f aca="false">AVERAGE(E352:E353)</f>
        <v>23.160594616056</v>
      </c>
    </row>
    <row r="354" customFormat="false" ht="15" hidden="false" customHeight="false" outlineLevel="0" collapsed="false">
      <c r="A354" s="76" t="n">
        <v>343</v>
      </c>
      <c r="B354" s="77" t="n">
        <v>0.378743</v>
      </c>
      <c r="C354" s="78" t="n">
        <f aca="false">05_Unit_Economics!$B$15*EXP((01_Inputs!$C$20-01_Inputs!$C$21^2/2)*01_Inputs!$C$22+01_Inputs!$C$21*SQRT(01_Inputs!$C$22)*B354)</f>
        <v>61.7915967532979</v>
      </c>
      <c r="D354" s="78" t="n">
        <f aca="false">MAX(C354-05_Unit_Economics!$B$21,0)</f>
        <v>23.8839912787945</v>
      </c>
      <c r="E354" s="78" t="n">
        <f aca="false">D354*EXP(-01_Inputs!$C$20*01_Inputs!$C$22)</f>
        <v>22.8558799744941</v>
      </c>
      <c r="F354" s="79"/>
    </row>
    <row r="355" customFormat="false" ht="15" hidden="false" customHeight="false" outlineLevel="0" collapsed="false">
      <c r="A355" s="76" t="n">
        <v>344</v>
      </c>
      <c r="B355" s="77" t="n">
        <v>-0.378743</v>
      </c>
      <c r="C355" s="78" t="n">
        <f aca="false">05_Unit_Economics!$B$15*EXP((01_Inputs!$C$20-01_Inputs!$C$21^2/2)*01_Inputs!$C$22+01_Inputs!$C$21*SQRT(01_Inputs!$C$22)*B355)</f>
        <v>47.4011874631533</v>
      </c>
      <c r="D355" s="78" t="n">
        <f aca="false">MAX(C355-05_Unit_Economics!$B$21,0)</f>
        <v>9.49358198864986</v>
      </c>
      <c r="E355" s="78" t="n">
        <f aca="false">D355*EXP(-01_Inputs!$C$20*01_Inputs!$C$22)</f>
        <v>9.08492085463332</v>
      </c>
      <c r="F355" s="80" t="n">
        <f aca="false">AVERAGE(E354:E355)</f>
        <v>15.9704004145637</v>
      </c>
    </row>
    <row r="356" customFormat="false" ht="15" hidden="false" customHeight="false" outlineLevel="0" collapsed="false">
      <c r="A356" s="76" t="n">
        <v>345</v>
      </c>
      <c r="B356" s="77" t="n">
        <v>0.453089</v>
      </c>
      <c r="C356" s="78" t="n">
        <f aca="false">05_Unit_Economics!$B$15*EXP((01_Inputs!$C$20-01_Inputs!$C$21^2/2)*01_Inputs!$C$22+01_Inputs!$C$21*SQRT(01_Inputs!$C$22)*B356)</f>
        <v>63.4205841796768</v>
      </c>
      <c r="D356" s="78" t="n">
        <f aca="false">MAX(C356-05_Unit_Economics!$B$21,0)</f>
        <v>25.5129787051733</v>
      </c>
      <c r="E356" s="78" t="n">
        <f aca="false">D356*EXP(-01_Inputs!$C$20*01_Inputs!$C$22)</f>
        <v>24.4147459388412</v>
      </c>
      <c r="F356" s="79"/>
    </row>
    <row r="357" customFormat="false" ht="15" hidden="false" customHeight="false" outlineLevel="0" collapsed="false">
      <c r="A357" s="76" t="n">
        <v>346</v>
      </c>
      <c r="B357" s="77" t="n">
        <v>-0.453089</v>
      </c>
      <c r="C357" s="78" t="n">
        <f aca="false">05_Unit_Economics!$B$15*EXP((01_Inputs!$C$20-01_Inputs!$C$21^2/2)*01_Inputs!$C$22+01_Inputs!$C$21*SQRT(01_Inputs!$C$22)*B357)</f>
        <v>46.1836657488445</v>
      </c>
      <c r="D357" s="78" t="n">
        <f aca="false">MAX(C357-05_Unit_Economics!$B$21,0)</f>
        <v>8.27606027434107</v>
      </c>
      <c r="E357" s="78" t="n">
        <f aca="false">D357*EXP(-01_Inputs!$C$20*01_Inputs!$C$22)</f>
        <v>7.91980863181616</v>
      </c>
      <c r="F357" s="80" t="n">
        <f aca="false">AVERAGE(E356:E357)</f>
        <v>16.1672772853287</v>
      </c>
    </row>
    <row r="358" customFormat="false" ht="15" hidden="false" customHeight="false" outlineLevel="0" collapsed="false">
      <c r="A358" s="76" t="n">
        <v>347</v>
      </c>
      <c r="B358" s="77" t="n">
        <v>-1.402764</v>
      </c>
      <c r="C358" s="78" t="n">
        <f aca="false">05_Unit_Economics!$B$15*EXP((01_Inputs!$C$20-01_Inputs!$C$21^2/2)*01_Inputs!$C$22+01_Inputs!$C$21*SQRT(01_Inputs!$C$22)*B358)</f>
        <v>33.1233983140016</v>
      </c>
      <c r="D358" s="78" t="n">
        <f aca="false">MAX(C358-05_Unit_Economics!$B$21,0)</f>
        <v>0</v>
      </c>
      <c r="E358" s="78" t="n">
        <f aca="false">D358*EXP(-01_Inputs!$C$20*01_Inputs!$C$22)</f>
        <v>0</v>
      </c>
      <c r="F358" s="79"/>
    </row>
    <row r="359" customFormat="false" ht="15" hidden="false" customHeight="false" outlineLevel="0" collapsed="false">
      <c r="A359" s="76" t="n">
        <v>348</v>
      </c>
      <c r="B359" s="77" t="n">
        <v>1.402764</v>
      </c>
      <c r="C359" s="78" t="n">
        <f aca="false">05_Unit_Economics!$B$15*EXP((01_Inputs!$C$20-01_Inputs!$C$21^2/2)*01_Inputs!$C$22+01_Inputs!$C$21*SQRT(01_Inputs!$C$22)*B359)</f>
        <v>88.4267680986264</v>
      </c>
      <c r="D359" s="78" t="n">
        <f aca="false">MAX(C359-05_Unit_Economics!$B$21,0)</f>
        <v>50.5191626241229</v>
      </c>
      <c r="E359" s="78" t="n">
        <f aca="false">D359*EXP(-01_Inputs!$C$20*01_Inputs!$C$22)</f>
        <v>48.3445126013788</v>
      </c>
      <c r="F359" s="80" t="n">
        <f aca="false">AVERAGE(E358:E359)</f>
        <v>24.1722563006894</v>
      </c>
    </row>
    <row r="360" customFormat="false" ht="15" hidden="false" customHeight="false" outlineLevel="0" collapsed="false">
      <c r="A360" s="76" t="n">
        <v>349</v>
      </c>
      <c r="B360" s="77" t="n">
        <v>0.929713</v>
      </c>
      <c r="C360" s="78" t="n">
        <f aca="false">05_Unit_Economics!$B$15*EXP((01_Inputs!$C$20-01_Inputs!$C$21^2/2)*01_Inputs!$C$22+01_Inputs!$C$21*SQRT(01_Inputs!$C$22)*B360)</f>
        <v>74.9339366241087</v>
      </c>
      <c r="D360" s="78" t="n">
        <f aca="false">MAX(C360-05_Unit_Economics!$B$21,0)</f>
        <v>37.0263311496052</v>
      </c>
      <c r="E360" s="78" t="n">
        <f aca="false">D360*EXP(-01_Inputs!$C$20*01_Inputs!$C$22)</f>
        <v>35.4324941243222</v>
      </c>
      <c r="F360" s="79"/>
    </row>
    <row r="361" customFormat="false" ht="15" hidden="false" customHeight="false" outlineLevel="0" collapsed="false">
      <c r="A361" s="76" t="n">
        <v>350</v>
      </c>
      <c r="B361" s="77" t="n">
        <v>-0.929713</v>
      </c>
      <c r="C361" s="78" t="n">
        <f aca="false">05_Unit_Economics!$B$15*EXP((01_Inputs!$C$20-01_Inputs!$C$21^2/2)*01_Inputs!$C$22+01_Inputs!$C$21*SQRT(01_Inputs!$C$22)*B361)</f>
        <v>39.0876976882101</v>
      </c>
      <c r="D361" s="78" t="n">
        <f aca="false">MAX(C361-05_Unit_Economics!$B$21,0)</f>
        <v>1.18009221370659</v>
      </c>
      <c r="E361" s="78" t="n">
        <f aca="false">D361*EXP(-01_Inputs!$C$20*01_Inputs!$C$22)</f>
        <v>1.12929391408965</v>
      </c>
      <c r="F361" s="80" t="n">
        <f aca="false">AVERAGE(E360:E361)</f>
        <v>18.2808940192059</v>
      </c>
    </row>
    <row r="362" customFormat="false" ht="15" hidden="false" customHeight="false" outlineLevel="0" collapsed="false">
      <c r="A362" s="76" t="n">
        <v>351</v>
      </c>
      <c r="B362" s="77" t="n">
        <v>0.484341</v>
      </c>
      <c r="C362" s="78" t="n">
        <f aca="false">05_Unit_Economics!$B$15*EXP((01_Inputs!$C$20-01_Inputs!$C$21^2/2)*01_Inputs!$C$22+01_Inputs!$C$21*SQRT(01_Inputs!$C$22)*B362)</f>
        <v>64.1180990376059</v>
      </c>
      <c r="D362" s="78" t="n">
        <f aca="false">MAX(C362-05_Unit_Economics!$B$21,0)</f>
        <v>26.2104935631025</v>
      </c>
      <c r="E362" s="78" t="n">
        <f aca="false">D362*EXP(-01_Inputs!$C$20*01_Inputs!$C$22)</f>
        <v>25.0822355425327</v>
      </c>
      <c r="F362" s="79"/>
    </row>
    <row r="363" customFormat="false" ht="15" hidden="false" customHeight="false" outlineLevel="0" collapsed="false">
      <c r="A363" s="76" t="n">
        <v>352</v>
      </c>
      <c r="B363" s="77" t="n">
        <v>-0.484341</v>
      </c>
      <c r="C363" s="78" t="n">
        <f aca="false">05_Unit_Economics!$B$15*EXP((01_Inputs!$C$20-01_Inputs!$C$21^2/2)*01_Inputs!$C$22+01_Inputs!$C$21*SQRT(01_Inputs!$C$22)*B363)</f>
        <v>45.6812523345829</v>
      </c>
      <c r="D363" s="78" t="n">
        <f aca="false">MAX(C363-05_Unit_Economics!$B$21,0)</f>
        <v>7.7736468600794</v>
      </c>
      <c r="E363" s="78" t="n">
        <f aca="false">D363*EXP(-01_Inputs!$C$20*01_Inputs!$C$22)</f>
        <v>7.4390221267509</v>
      </c>
      <c r="F363" s="80" t="n">
        <f aca="false">AVERAGE(E362:E363)</f>
        <v>16.2606288346418</v>
      </c>
    </row>
    <row r="364" customFormat="false" ht="15" hidden="false" customHeight="false" outlineLevel="0" collapsed="false">
      <c r="A364" s="76" t="n">
        <v>353</v>
      </c>
      <c r="B364" s="77" t="n">
        <v>1.01692</v>
      </c>
      <c r="C364" s="78" t="n">
        <f aca="false">05_Unit_Economics!$B$15*EXP((01_Inputs!$C$20-01_Inputs!$C$21^2/2)*01_Inputs!$C$22+01_Inputs!$C$21*SQRT(01_Inputs!$C$22)*B364)</f>
        <v>77.2563667882455</v>
      </c>
      <c r="D364" s="78" t="n">
        <f aca="false">MAX(C364-05_Unit_Economics!$B$21,0)</f>
        <v>39.348761313742</v>
      </c>
      <c r="E364" s="78" t="n">
        <f aca="false">D364*EXP(-01_Inputs!$C$20*01_Inputs!$C$22)</f>
        <v>37.6549528608477</v>
      </c>
      <c r="F364" s="79"/>
    </row>
    <row r="365" customFormat="false" ht="15" hidden="false" customHeight="false" outlineLevel="0" collapsed="false">
      <c r="A365" s="76" t="n">
        <v>354</v>
      </c>
      <c r="B365" s="77" t="n">
        <v>-1.01692</v>
      </c>
      <c r="C365" s="78" t="n">
        <f aca="false">05_Unit_Economics!$B$15*EXP((01_Inputs!$C$20-01_Inputs!$C$21^2/2)*01_Inputs!$C$22+01_Inputs!$C$21*SQRT(01_Inputs!$C$22)*B365)</f>
        <v>37.9126689891958</v>
      </c>
      <c r="D365" s="78" t="n">
        <f aca="false">MAX(C365-05_Unit_Economics!$B$21,0)</f>
        <v>0.00506351469235256</v>
      </c>
      <c r="E365" s="78" t="n">
        <f aca="false">D365*EXP(-01_Inputs!$C$20*01_Inputs!$C$22)</f>
        <v>0.0048455504235697</v>
      </c>
      <c r="F365" s="80" t="n">
        <f aca="false">AVERAGE(E364:E365)</f>
        <v>18.8298992056357</v>
      </c>
    </row>
    <row r="366" customFormat="false" ht="15" hidden="false" customHeight="false" outlineLevel="0" collapsed="false">
      <c r="A366" s="76" t="n">
        <v>355</v>
      </c>
      <c r="B366" s="77" t="n">
        <v>-0.723052</v>
      </c>
      <c r="C366" s="78" t="n">
        <f aca="false">05_Unit_Economics!$B$15*EXP((01_Inputs!$C$20-01_Inputs!$C$21^2/2)*01_Inputs!$C$22+01_Inputs!$C$21*SQRT(01_Inputs!$C$22)*B366)</f>
        <v>42.0197241369012</v>
      </c>
      <c r="D366" s="78" t="n">
        <f aca="false">MAX(C366-05_Unit_Economics!$B$21,0)</f>
        <v>4.11211866239771</v>
      </c>
      <c r="E366" s="78" t="n">
        <f aca="false">D366*EXP(-01_Inputs!$C$20*01_Inputs!$C$22)</f>
        <v>3.93510822758026</v>
      </c>
      <c r="F366" s="79"/>
    </row>
    <row r="367" customFormat="false" ht="15" hidden="false" customHeight="false" outlineLevel="0" collapsed="false">
      <c r="A367" s="76" t="n">
        <v>356</v>
      </c>
      <c r="B367" s="77" t="n">
        <v>0.723052</v>
      </c>
      <c r="C367" s="78" t="n">
        <f aca="false">05_Unit_Economics!$B$15*EXP((01_Inputs!$C$20-01_Inputs!$C$21^2/2)*01_Inputs!$C$22+01_Inputs!$C$21*SQRT(01_Inputs!$C$22)*B367)</f>
        <v>69.7052425143945</v>
      </c>
      <c r="D367" s="78" t="n">
        <f aca="false">MAX(C367-05_Unit_Economics!$B$21,0)</f>
        <v>31.797637039891</v>
      </c>
      <c r="E367" s="78" t="n">
        <f aca="false">D367*EXP(-01_Inputs!$C$20*01_Inputs!$C$22)</f>
        <v>30.4288746036152</v>
      </c>
      <c r="F367" s="80" t="n">
        <f aca="false">AVERAGE(E366:E367)</f>
        <v>17.1819914155978</v>
      </c>
    </row>
    <row r="368" customFormat="false" ht="15" hidden="false" customHeight="false" outlineLevel="0" collapsed="false">
      <c r="A368" s="76" t="n">
        <v>357</v>
      </c>
      <c r="B368" s="77" t="n">
        <v>-0.384236</v>
      </c>
      <c r="C368" s="78" t="n">
        <f aca="false">05_Unit_Economics!$B$15*EXP((01_Inputs!$C$20-01_Inputs!$C$21^2/2)*01_Inputs!$C$22+01_Inputs!$C$21*SQRT(01_Inputs!$C$22)*B368)</f>
        <v>47.3101438561823</v>
      </c>
      <c r="D368" s="78" t="n">
        <f aca="false">MAX(C368-05_Unit_Economics!$B$21,0)</f>
        <v>9.4025383816788</v>
      </c>
      <c r="E368" s="78" t="n">
        <f aca="false">D368*EXP(-01_Inputs!$C$20*01_Inputs!$C$22)</f>
        <v>8.99779631463975</v>
      </c>
      <c r="F368" s="79"/>
    </row>
    <row r="369" customFormat="false" ht="15" hidden="false" customHeight="false" outlineLevel="0" collapsed="false">
      <c r="A369" s="76" t="n">
        <v>358</v>
      </c>
      <c r="B369" s="77" t="n">
        <v>0.384236</v>
      </c>
      <c r="C369" s="78" t="n">
        <f aca="false">05_Unit_Economics!$B$15*EXP((01_Inputs!$C$20-01_Inputs!$C$21^2/2)*01_Inputs!$C$22+01_Inputs!$C$21*SQRT(01_Inputs!$C$22)*B369)</f>
        <v>61.910508457858</v>
      </c>
      <c r="D369" s="78" t="n">
        <f aca="false">MAX(C369-05_Unit_Economics!$B$21,0)</f>
        <v>24.0029029833546</v>
      </c>
      <c r="E369" s="78" t="n">
        <f aca="false">D369*EXP(-01_Inputs!$C$20*01_Inputs!$C$22)</f>
        <v>22.9696730007627</v>
      </c>
      <c r="F369" s="80" t="n">
        <f aca="false">AVERAGE(E368:E369)</f>
        <v>15.9837346577012</v>
      </c>
    </row>
    <row r="370" customFormat="false" ht="15" hidden="false" customHeight="false" outlineLevel="0" collapsed="false">
      <c r="A370" s="76" t="n">
        <v>359</v>
      </c>
      <c r="B370" s="77" t="n">
        <v>1.218803</v>
      </c>
      <c r="C370" s="78" t="n">
        <f aca="false">05_Unit_Economics!$B$15*EXP((01_Inputs!$C$20-01_Inputs!$C$21^2/2)*01_Inputs!$C$22+01_Inputs!$C$21*SQRT(01_Inputs!$C$22)*B370)</f>
        <v>82.9127110541055</v>
      </c>
      <c r="D370" s="78" t="n">
        <f aca="false">MAX(C370-05_Unit_Economics!$B$21,0)</f>
        <v>45.005105579602</v>
      </c>
      <c r="E370" s="78" t="n">
        <f aca="false">D370*EXP(-01_Inputs!$C$20*01_Inputs!$C$22)</f>
        <v>43.0678138908924</v>
      </c>
      <c r="F370" s="79"/>
    </row>
    <row r="371" customFormat="false" ht="15" hidden="false" customHeight="false" outlineLevel="0" collapsed="false">
      <c r="A371" s="76" t="n">
        <v>360</v>
      </c>
      <c r="B371" s="77" t="n">
        <v>-1.218803</v>
      </c>
      <c r="C371" s="78" t="n">
        <f aca="false">05_Unit_Economics!$B$15*EXP((01_Inputs!$C$20-01_Inputs!$C$21^2/2)*01_Inputs!$C$22+01_Inputs!$C$21*SQRT(01_Inputs!$C$22)*B371)</f>
        <v>35.3262488237697</v>
      </c>
      <c r="D371" s="78" t="n">
        <f aca="false">MAX(C371-05_Unit_Economics!$B$21,0)</f>
        <v>0</v>
      </c>
      <c r="E371" s="78" t="n">
        <f aca="false">D371*EXP(-01_Inputs!$C$20*01_Inputs!$C$22)</f>
        <v>0</v>
      </c>
      <c r="F371" s="80" t="n">
        <f aca="false">AVERAGE(E370:E371)</f>
        <v>21.5339069454462</v>
      </c>
    </row>
    <row r="372" customFormat="false" ht="15" hidden="false" customHeight="false" outlineLevel="0" collapsed="false">
      <c r="A372" s="76" t="n">
        <v>361</v>
      </c>
      <c r="B372" s="77" t="n">
        <v>0.858099</v>
      </c>
      <c r="C372" s="78" t="n">
        <f aca="false">05_Unit_Economics!$B$15*EXP((01_Inputs!$C$20-01_Inputs!$C$21^2/2)*01_Inputs!$C$22+01_Inputs!$C$21*SQRT(01_Inputs!$C$22)*B372)</f>
        <v>73.0790681513649</v>
      </c>
      <c r="D372" s="78" t="n">
        <f aca="false">MAX(C372-05_Unit_Economics!$B$21,0)</f>
        <v>35.1714626768614</v>
      </c>
      <c r="E372" s="78" t="n">
        <f aca="false">D372*EXP(-01_Inputs!$C$20*01_Inputs!$C$22)</f>
        <v>33.6574703987381</v>
      </c>
      <c r="F372" s="79"/>
    </row>
    <row r="373" customFormat="false" ht="15" hidden="false" customHeight="false" outlineLevel="0" collapsed="false">
      <c r="A373" s="76" t="n">
        <v>362</v>
      </c>
      <c r="B373" s="77" t="n">
        <v>-0.858099</v>
      </c>
      <c r="C373" s="78" t="n">
        <f aca="false">05_Unit_Economics!$B$15*EXP((01_Inputs!$C$20-01_Inputs!$C$21^2/2)*01_Inputs!$C$22+01_Inputs!$C$21*SQRT(01_Inputs!$C$22)*B373)</f>
        <v>40.0798085613787</v>
      </c>
      <c r="D373" s="78" t="n">
        <f aca="false">MAX(C373-05_Unit_Economics!$B$21,0)</f>
        <v>2.17220308687525</v>
      </c>
      <c r="E373" s="78" t="n">
        <f aca="false">D373*EXP(-01_Inputs!$C$20*01_Inputs!$C$22)</f>
        <v>2.07869834042044</v>
      </c>
      <c r="F373" s="80" t="n">
        <f aca="false">AVERAGE(E372:E373)</f>
        <v>17.8680843695792</v>
      </c>
    </row>
    <row r="374" customFormat="false" ht="15" hidden="false" customHeight="false" outlineLevel="0" collapsed="false">
      <c r="A374" s="76" t="n">
        <v>363</v>
      </c>
      <c r="B374" s="77" t="n">
        <v>-0.440517</v>
      </c>
      <c r="C374" s="78" t="n">
        <f aca="false">05_Unit_Economics!$B$15*EXP((01_Inputs!$C$20-01_Inputs!$C$21^2/2)*01_Inputs!$C$22+01_Inputs!$C$21*SQRT(01_Inputs!$C$22)*B374)</f>
        <v>46.3873308698959</v>
      </c>
      <c r="D374" s="78" t="n">
        <f aca="false">MAX(C374-05_Unit_Economics!$B$21,0)</f>
        <v>8.47972539539246</v>
      </c>
      <c r="E374" s="78" t="n">
        <f aca="false">D374*EXP(-01_Inputs!$C$20*01_Inputs!$C$22)</f>
        <v>8.11470677540551</v>
      </c>
      <c r="F374" s="79"/>
    </row>
    <row r="375" customFormat="false" ht="15" hidden="false" customHeight="false" outlineLevel="0" collapsed="false">
      <c r="A375" s="76" t="n">
        <v>364</v>
      </c>
      <c r="B375" s="77" t="n">
        <v>0.440517</v>
      </c>
      <c r="C375" s="78" t="n">
        <f aca="false">05_Unit_Economics!$B$15*EXP((01_Inputs!$C$20-01_Inputs!$C$21^2/2)*01_Inputs!$C$22+01_Inputs!$C$21*SQRT(01_Inputs!$C$22)*B375)</f>
        <v>63.1421339926994</v>
      </c>
      <c r="D375" s="78" t="n">
        <f aca="false">MAX(C375-05_Unit_Economics!$B$21,0)</f>
        <v>25.234528518196</v>
      </c>
      <c r="E375" s="78" t="n">
        <f aca="false">D375*EXP(-01_Inputs!$C$20*01_Inputs!$C$22)</f>
        <v>24.1482819304541</v>
      </c>
      <c r="F375" s="80" t="n">
        <f aca="false">AVERAGE(E374:E375)</f>
        <v>16.1314943529298</v>
      </c>
    </row>
    <row r="376" customFormat="false" ht="15" hidden="false" customHeight="false" outlineLevel="0" collapsed="false">
      <c r="A376" s="76" t="n">
        <v>365</v>
      </c>
      <c r="B376" s="77" t="n">
        <v>-0.300762</v>
      </c>
      <c r="C376" s="78" t="n">
        <f aca="false">05_Unit_Economics!$B$15*EXP((01_Inputs!$C$20-01_Inputs!$C$21^2/2)*01_Inputs!$C$22+01_Inputs!$C$21*SQRT(01_Inputs!$C$22)*B376)</f>
        <v>48.7127415993847</v>
      </c>
      <c r="D376" s="78" t="n">
        <f aca="false">MAX(C376-05_Unit_Economics!$B$21,0)</f>
        <v>10.8051361248812</v>
      </c>
      <c r="E376" s="78" t="n">
        <f aca="false">D376*EXP(-01_Inputs!$C$20*01_Inputs!$C$22)</f>
        <v>10.34001777574</v>
      </c>
      <c r="F376" s="79"/>
    </row>
    <row r="377" customFormat="false" ht="15" hidden="false" customHeight="false" outlineLevel="0" collapsed="false">
      <c r="A377" s="76" t="n">
        <v>366</v>
      </c>
      <c r="B377" s="77" t="n">
        <v>0.300762</v>
      </c>
      <c r="C377" s="78" t="n">
        <f aca="false">05_Unit_Economics!$B$15*EXP((01_Inputs!$C$20-01_Inputs!$C$21^2/2)*01_Inputs!$C$22+01_Inputs!$C$21*SQRT(01_Inputs!$C$22)*B377)</f>
        <v>60.1279042234743</v>
      </c>
      <c r="D377" s="78" t="n">
        <f aca="false">MAX(C377-05_Unit_Economics!$B$21,0)</f>
        <v>22.2202987489708</v>
      </c>
      <c r="E377" s="78" t="n">
        <f aca="false">D377*EXP(-01_Inputs!$C$20*01_Inputs!$C$22)</f>
        <v>21.263802824061</v>
      </c>
      <c r="F377" s="80" t="n">
        <f aca="false">AVERAGE(E376:E377)</f>
        <v>15.8019102999005</v>
      </c>
    </row>
    <row r="378" customFormat="false" ht="15" hidden="false" customHeight="false" outlineLevel="0" collapsed="false">
      <c r="A378" s="76" t="n">
        <v>367</v>
      </c>
      <c r="B378" s="77" t="n">
        <v>-0.544475</v>
      </c>
      <c r="C378" s="78" t="n">
        <f aca="false">05_Unit_Economics!$B$15*EXP((01_Inputs!$C$20-01_Inputs!$C$21^2/2)*01_Inputs!$C$22+01_Inputs!$C$21*SQRT(01_Inputs!$C$22)*B378)</f>
        <v>44.7298507321122</v>
      </c>
      <c r="D378" s="78" t="n">
        <f aca="false">MAX(C378-05_Unit_Economics!$B$21,0)</f>
        <v>6.82224525760876</v>
      </c>
      <c r="E378" s="78" t="n">
        <f aca="false">D378*EXP(-01_Inputs!$C$20*01_Inputs!$C$22)</f>
        <v>6.52857459812042</v>
      </c>
      <c r="F378" s="79"/>
    </row>
    <row r="379" customFormat="false" ht="15" hidden="false" customHeight="false" outlineLevel="0" collapsed="false">
      <c r="A379" s="76" t="n">
        <v>368</v>
      </c>
      <c r="B379" s="77" t="n">
        <v>0.544475</v>
      </c>
      <c r="C379" s="78" t="n">
        <f aca="false">05_Unit_Economics!$B$15*EXP((01_Inputs!$C$20-01_Inputs!$C$21^2/2)*01_Inputs!$C$22+01_Inputs!$C$21*SQRT(01_Inputs!$C$22)*B379)</f>
        <v>65.481887674798</v>
      </c>
      <c r="D379" s="78" t="n">
        <f aca="false">MAX(C379-05_Unit_Economics!$B$21,0)</f>
        <v>27.5742822002945</v>
      </c>
      <c r="E379" s="78" t="n">
        <f aca="false">D379*EXP(-01_Inputs!$C$20*01_Inputs!$C$22)</f>
        <v>26.3873184760504</v>
      </c>
      <c r="F379" s="80" t="n">
        <f aca="false">AVERAGE(E378:E379)</f>
        <v>16.4579465370854</v>
      </c>
    </row>
    <row r="380" customFormat="false" ht="15" hidden="false" customHeight="false" outlineLevel="0" collapsed="false">
      <c r="A380" s="76" t="n">
        <v>369</v>
      </c>
      <c r="B380" s="77" t="n">
        <v>0.358367</v>
      </c>
      <c r="C380" s="78" t="n">
        <f aca="false">05_Unit_Economics!$B$15*EXP((01_Inputs!$C$20-01_Inputs!$C$21^2/2)*01_Inputs!$C$22+01_Inputs!$C$21*SQRT(01_Inputs!$C$22)*B380)</f>
        <v>61.3524914247356</v>
      </c>
      <c r="D380" s="78" t="n">
        <f aca="false">MAX(C380-05_Unit_Economics!$B$21,0)</f>
        <v>23.4448859502321</v>
      </c>
      <c r="E380" s="78" t="n">
        <f aca="false">D380*EXP(-01_Inputs!$C$20*01_Inputs!$C$22)</f>
        <v>22.4356763925788</v>
      </c>
      <c r="F380" s="79"/>
    </row>
    <row r="381" customFormat="false" ht="15" hidden="false" customHeight="false" outlineLevel="0" collapsed="false">
      <c r="A381" s="76" t="n">
        <v>370</v>
      </c>
      <c r="B381" s="77" t="n">
        <v>-0.358367</v>
      </c>
      <c r="C381" s="78" t="n">
        <f aca="false">05_Unit_Economics!$B$15*EXP((01_Inputs!$C$20-01_Inputs!$C$21^2/2)*01_Inputs!$C$22+01_Inputs!$C$21*SQRT(01_Inputs!$C$22)*B381)</f>
        <v>47.7404420477986</v>
      </c>
      <c r="D381" s="78" t="n">
        <f aca="false">MAX(C381-05_Unit_Economics!$B$21,0)</f>
        <v>9.83283657329518</v>
      </c>
      <c r="E381" s="78" t="n">
        <f aca="false">D381*EXP(-01_Inputs!$C$20*01_Inputs!$C$22)</f>
        <v>9.40957187200053</v>
      </c>
      <c r="F381" s="80" t="n">
        <f aca="false">AVERAGE(E380:E381)</f>
        <v>15.9226241322897</v>
      </c>
    </row>
    <row r="382" customFormat="false" ht="15" hidden="false" customHeight="false" outlineLevel="0" collapsed="false">
      <c r="A382" s="76" t="n">
        <v>371</v>
      </c>
      <c r="B382" s="77" t="n">
        <v>-0.249716</v>
      </c>
      <c r="C382" s="78" t="n">
        <f aca="false">05_Unit_Economics!$B$15*EXP((01_Inputs!$C$20-01_Inputs!$C$21^2/2)*01_Inputs!$C$22+01_Inputs!$C$21*SQRT(01_Inputs!$C$22)*B382)</f>
        <v>49.590869312953</v>
      </c>
      <c r="D382" s="78" t="n">
        <f aca="false">MAX(C382-05_Unit_Economics!$B$21,0)</f>
        <v>11.6832638384495</v>
      </c>
      <c r="E382" s="78" t="n">
        <f aca="false">D382*EXP(-01_Inputs!$C$20*01_Inputs!$C$22)</f>
        <v>11.180345566406</v>
      </c>
      <c r="F382" s="79"/>
    </row>
    <row r="383" customFormat="false" ht="15" hidden="false" customHeight="false" outlineLevel="0" collapsed="false">
      <c r="A383" s="76" t="n">
        <v>372</v>
      </c>
      <c r="B383" s="77" t="n">
        <v>0.249716</v>
      </c>
      <c r="C383" s="78" t="n">
        <f aca="false">05_Unit_Economics!$B$15*EXP((01_Inputs!$C$20-01_Inputs!$C$21^2/2)*01_Inputs!$C$22+01_Inputs!$C$21*SQRT(01_Inputs!$C$22)*B383)</f>
        <v>59.0631925176921</v>
      </c>
      <c r="D383" s="78" t="n">
        <f aca="false">MAX(C383-05_Unit_Economics!$B$21,0)</f>
        <v>21.1555870431886</v>
      </c>
      <c r="E383" s="78" t="n">
        <f aca="false">D383*EXP(-01_Inputs!$C$20*01_Inputs!$C$22)</f>
        <v>20.2449227436449</v>
      </c>
      <c r="F383" s="80" t="n">
        <f aca="false">AVERAGE(E382:E383)</f>
        <v>15.7126341550254</v>
      </c>
    </row>
    <row r="384" customFormat="false" ht="15" hidden="false" customHeight="false" outlineLevel="0" collapsed="false">
      <c r="A384" s="76" t="n">
        <v>373</v>
      </c>
      <c r="B384" s="77" t="n">
        <v>0.079499</v>
      </c>
      <c r="C384" s="78" t="n">
        <f aca="false">05_Unit_Economics!$B$15*EXP((01_Inputs!$C$20-01_Inputs!$C$21^2/2)*01_Inputs!$C$22+01_Inputs!$C$21*SQRT(01_Inputs!$C$22)*B384)</f>
        <v>55.6472121512444</v>
      </c>
      <c r="D384" s="78" t="n">
        <f aca="false">MAX(C384-05_Unit_Economics!$B$21,0)</f>
        <v>17.739606676741</v>
      </c>
      <c r="E384" s="78" t="n">
        <f aca="false">D384*EXP(-01_Inputs!$C$20*01_Inputs!$C$22)</f>
        <v>16.9759868133226</v>
      </c>
      <c r="F384" s="79"/>
    </row>
    <row r="385" customFormat="false" ht="15" hidden="false" customHeight="false" outlineLevel="0" collapsed="false">
      <c r="A385" s="76" t="n">
        <v>374</v>
      </c>
      <c r="B385" s="77" t="n">
        <v>-0.079499</v>
      </c>
      <c r="C385" s="78" t="n">
        <f aca="false">05_Unit_Economics!$B$15*EXP((01_Inputs!$C$20-01_Inputs!$C$21^2/2)*01_Inputs!$C$22+01_Inputs!$C$21*SQRT(01_Inputs!$C$22)*B385)</f>
        <v>52.6350727757914</v>
      </c>
      <c r="D385" s="78" t="n">
        <f aca="false">MAX(C385-05_Unit_Economics!$B$21,0)</f>
        <v>14.7274673012879</v>
      </c>
      <c r="E385" s="78" t="n">
        <f aca="false">D385*EXP(-01_Inputs!$C$20*01_Inputs!$C$22)</f>
        <v>14.0935081175223</v>
      </c>
      <c r="F385" s="80" t="n">
        <f aca="false">AVERAGE(E384:E385)</f>
        <v>15.5347474654224</v>
      </c>
    </row>
    <row r="386" customFormat="false" ht="15" hidden="false" customHeight="false" outlineLevel="0" collapsed="false">
      <c r="A386" s="76" t="n">
        <v>375</v>
      </c>
      <c r="B386" s="77" t="n">
        <v>-0.143243</v>
      </c>
      <c r="C386" s="78" t="n">
        <f aca="false">05_Unit_Economics!$B$15*EXP((01_Inputs!$C$20-01_Inputs!$C$21^2/2)*01_Inputs!$C$22+01_Inputs!$C$21*SQRT(01_Inputs!$C$22)*B386)</f>
        <v>51.4737660271949</v>
      </c>
      <c r="D386" s="78" t="n">
        <f aca="false">MAX(C386-05_Unit_Economics!$B$21,0)</f>
        <v>13.5661605526915</v>
      </c>
      <c r="E386" s="78" t="n">
        <f aca="false">D386*EXP(-01_Inputs!$C$20*01_Inputs!$C$22)</f>
        <v>12.9821910286128</v>
      </c>
      <c r="F386" s="79"/>
    </row>
    <row r="387" customFormat="false" ht="15" hidden="false" customHeight="false" outlineLevel="0" collapsed="false">
      <c r="A387" s="76" t="n">
        <v>376</v>
      </c>
      <c r="B387" s="77" t="n">
        <v>0.143243</v>
      </c>
      <c r="C387" s="78" t="n">
        <f aca="false">05_Unit_Economics!$B$15*EXP((01_Inputs!$C$20-01_Inputs!$C$21^2/2)*01_Inputs!$C$22+01_Inputs!$C$21*SQRT(01_Inputs!$C$22)*B387)</f>
        <v>56.902676594582</v>
      </c>
      <c r="D387" s="78" t="n">
        <f aca="false">MAX(C387-05_Unit_Economics!$B$21,0)</f>
        <v>18.9950711200785</v>
      </c>
      <c r="E387" s="78" t="n">
        <f aca="false">D387*EXP(-01_Inputs!$C$20*01_Inputs!$C$22)</f>
        <v>18.1774084808411</v>
      </c>
      <c r="F387" s="80" t="n">
        <f aca="false">AVERAGE(E386:E387)</f>
        <v>15.579799754727</v>
      </c>
    </row>
    <row r="388" customFormat="false" ht="15" hidden="false" customHeight="false" outlineLevel="0" collapsed="false">
      <c r="A388" s="76" t="n">
        <v>377</v>
      </c>
      <c r="B388" s="77" t="n">
        <v>-1.099516</v>
      </c>
      <c r="C388" s="78" t="n">
        <f aca="false">05_Unit_Economics!$B$15*EXP((01_Inputs!$C$20-01_Inputs!$C$21^2/2)*01_Inputs!$C$22+01_Inputs!$C$21*SQRT(01_Inputs!$C$22)*B388)</f>
        <v>36.8323571915813</v>
      </c>
      <c r="D388" s="78" t="n">
        <f aca="false">MAX(C388-05_Unit_Economics!$B$21,0)</f>
        <v>0</v>
      </c>
      <c r="E388" s="78" t="n">
        <f aca="false">D388*EXP(-01_Inputs!$C$20*01_Inputs!$C$22)</f>
        <v>0</v>
      </c>
      <c r="F388" s="79"/>
    </row>
    <row r="389" customFormat="false" ht="15" hidden="false" customHeight="false" outlineLevel="0" collapsed="false">
      <c r="A389" s="76" t="n">
        <v>378</v>
      </c>
      <c r="B389" s="77" t="n">
        <v>1.099516</v>
      </c>
      <c r="C389" s="78" t="n">
        <f aca="false">05_Unit_Economics!$B$15*EXP((01_Inputs!$C$20-01_Inputs!$C$21^2/2)*01_Inputs!$C$22+01_Inputs!$C$21*SQRT(01_Inputs!$C$22)*B389)</f>
        <v>79.5223353779847</v>
      </c>
      <c r="D389" s="78" t="n">
        <f aca="false">MAX(C389-05_Unit_Economics!$B$21,0)</f>
        <v>41.6147299034812</v>
      </c>
      <c r="E389" s="78" t="n">
        <f aca="false">D389*EXP(-01_Inputs!$C$20*01_Inputs!$C$22)</f>
        <v>39.8233804703083</v>
      </c>
      <c r="F389" s="80" t="n">
        <f aca="false">AVERAGE(E388:E389)</f>
        <v>19.9116902351541</v>
      </c>
    </row>
    <row r="390" customFormat="false" ht="15" hidden="false" customHeight="false" outlineLevel="0" collapsed="false">
      <c r="A390" s="76" t="n">
        <v>379</v>
      </c>
      <c r="B390" s="77" t="n">
        <v>-0.538191</v>
      </c>
      <c r="C390" s="78" t="n">
        <f aca="false">05_Unit_Economics!$B$15*EXP((01_Inputs!$C$20-01_Inputs!$C$21^2/2)*01_Inputs!$C$22+01_Inputs!$C$21*SQRT(01_Inputs!$C$22)*B390)</f>
        <v>44.8283378323751</v>
      </c>
      <c r="D390" s="78" t="n">
        <f aca="false">MAX(C390-05_Unit_Economics!$B$21,0)</f>
        <v>6.92073235787166</v>
      </c>
      <c r="E390" s="78" t="n">
        <f aca="false">D390*EXP(-01_Inputs!$C$20*01_Inputs!$C$22)</f>
        <v>6.62282221847705</v>
      </c>
      <c r="F390" s="79"/>
    </row>
    <row r="391" customFormat="false" ht="15" hidden="false" customHeight="false" outlineLevel="0" collapsed="false">
      <c r="A391" s="76" t="n">
        <v>380</v>
      </c>
      <c r="B391" s="77" t="n">
        <v>0.538191</v>
      </c>
      <c r="C391" s="78" t="n">
        <f aca="false">05_Unit_Economics!$B$15*EXP((01_Inputs!$C$20-01_Inputs!$C$21^2/2)*01_Inputs!$C$22+01_Inputs!$C$21*SQRT(01_Inputs!$C$22)*B391)</f>
        <v>65.3380250747402</v>
      </c>
      <c r="D391" s="78" t="n">
        <f aca="false">MAX(C391-05_Unit_Economics!$B$21,0)</f>
        <v>27.4304196002368</v>
      </c>
      <c r="E391" s="78" t="n">
        <f aca="false">D391*EXP(-01_Inputs!$C$20*01_Inputs!$C$22)</f>
        <v>26.2496485915928</v>
      </c>
      <c r="F391" s="80" t="n">
        <f aca="false">AVERAGE(E390:E391)</f>
        <v>16.4362354050349</v>
      </c>
    </row>
    <row r="392" customFormat="false" ht="15" hidden="false" customHeight="false" outlineLevel="0" collapsed="false">
      <c r="A392" s="76" t="n">
        <v>381</v>
      </c>
      <c r="B392" s="77" t="n">
        <v>-0.096699</v>
      </c>
      <c r="C392" s="78" t="n">
        <f aca="false">05_Unit_Economics!$B$15*EXP((01_Inputs!$C$20-01_Inputs!$C$21^2/2)*01_Inputs!$C$22+01_Inputs!$C$21*SQRT(01_Inputs!$C$22)*B392)</f>
        <v>52.3191614847292</v>
      </c>
      <c r="D392" s="78" t="n">
        <f aca="false">MAX(C392-05_Unit_Economics!$B$21,0)</f>
        <v>14.4115560102258</v>
      </c>
      <c r="E392" s="78" t="n">
        <f aca="false">D392*EXP(-01_Inputs!$C$20*01_Inputs!$C$22)</f>
        <v>13.79119555733</v>
      </c>
      <c r="F392" s="79"/>
    </row>
    <row r="393" customFormat="false" ht="15" hidden="false" customHeight="false" outlineLevel="0" collapsed="false">
      <c r="A393" s="76" t="n">
        <v>382</v>
      </c>
      <c r="B393" s="77" t="n">
        <v>0.096699</v>
      </c>
      <c r="C393" s="78" t="n">
        <f aca="false">05_Unit_Economics!$B$15*EXP((01_Inputs!$C$20-01_Inputs!$C$21^2/2)*01_Inputs!$C$22+01_Inputs!$C$21*SQRT(01_Inputs!$C$22)*B393)</f>
        <v>55.9832187334569</v>
      </c>
      <c r="D393" s="78" t="n">
        <f aca="false">MAX(C393-05_Unit_Economics!$B$21,0)</f>
        <v>18.0756132589535</v>
      </c>
      <c r="E393" s="78" t="n">
        <f aca="false">D393*EXP(-01_Inputs!$C$20*01_Inputs!$C$22)</f>
        <v>17.2975296419078</v>
      </c>
      <c r="F393" s="80" t="n">
        <f aca="false">AVERAGE(E392:E393)</f>
        <v>15.5443625996189</v>
      </c>
    </row>
    <row r="394" customFormat="false" ht="15" hidden="false" customHeight="false" outlineLevel="0" collapsed="false">
      <c r="A394" s="76" t="n">
        <v>383</v>
      </c>
      <c r="B394" s="77" t="n">
        <v>0.764001</v>
      </c>
      <c r="C394" s="78" t="n">
        <f aca="false">05_Unit_Economics!$B$15*EXP((01_Inputs!$C$20-01_Inputs!$C$21^2/2)*01_Inputs!$C$22+01_Inputs!$C$21*SQRT(01_Inputs!$C$22)*B394)</f>
        <v>70.7114619257195</v>
      </c>
      <c r="D394" s="78" t="n">
        <f aca="false">MAX(C394-05_Unit_Economics!$B$21,0)</f>
        <v>32.803856451216</v>
      </c>
      <c r="E394" s="78" t="n">
        <f aca="false">D394*EXP(-01_Inputs!$C$20*01_Inputs!$C$22)</f>
        <v>31.3917802513689</v>
      </c>
      <c r="F394" s="79"/>
    </row>
    <row r="395" customFormat="false" ht="15" hidden="false" customHeight="false" outlineLevel="0" collapsed="false">
      <c r="A395" s="76" t="n">
        <v>384</v>
      </c>
      <c r="B395" s="77" t="n">
        <v>-0.764001</v>
      </c>
      <c r="C395" s="78" t="n">
        <f aca="false">05_Unit_Economics!$B$15*EXP((01_Inputs!$C$20-01_Inputs!$C$21^2/2)*01_Inputs!$C$22+01_Inputs!$C$21*SQRT(01_Inputs!$C$22)*B395)</f>
        <v>41.4217862505443</v>
      </c>
      <c r="D395" s="78" t="n">
        <f aca="false">MAX(C395-05_Unit_Economics!$B$21,0)</f>
        <v>3.51418077604082</v>
      </c>
      <c r="E395" s="78" t="n">
        <f aca="false">D395*EXP(-01_Inputs!$C$20*01_Inputs!$C$22)</f>
        <v>3.36290920090796</v>
      </c>
      <c r="F395" s="80" t="n">
        <f aca="false">AVERAGE(E394:E395)</f>
        <v>17.3773447261384</v>
      </c>
    </row>
    <row r="396" customFormat="false" ht="15" hidden="false" customHeight="false" outlineLevel="0" collapsed="false">
      <c r="A396" s="76" t="n">
        <v>385</v>
      </c>
      <c r="B396" s="77" t="n">
        <v>0.250845</v>
      </c>
      <c r="C396" s="78" t="n">
        <f aca="false">05_Unit_Economics!$B$15*EXP((01_Inputs!$C$20-01_Inputs!$C$21^2/2)*01_Inputs!$C$22+01_Inputs!$C$21*SQRT(01_Inputs!$C$22)*B396)</f>
        <v>59.0865359499904</v>
      </c>
      <c r="D396" s="78" t="n">
        <f aca="false">MAX(C396-05_Unit_Economics!$B$21,0)</f>
        <v>21.1789304754869</v>
      </c>
      <c r="E396" s="78" t="n">
        <f aca="false">D396*EXP(-01_Inputs!$C$20*01_Inputs!$C$22)</f>
        <v>20.2672613335637</v>
      </c>
      <c r="F396" s="79"/>
    </row>
    <row r="397" customFormat="false" ht="15" hidden="false" customHeight="false" outlineLevel="0" collapsed="false">
      <c r="A397" s="76" t="n">
        <v>386</v>
      </c>
      <c r="B397" s="77" t="n">
        <v>-0.250845</v>
      </c>
      <c r="C397" s="78" t="n">
        <f aca="false">05_Unit_Economics!$B$15*EXP((01_Inputs!$C$20-01_Inputs!$C$21^2/2)*01_Inputs!$C$22+01_Inputs!$C$21*SQRT(01_Inputs!$C$22)*B397)</f>
        <v>49.5712773520806</v>
      </c>
      <c r="D397" s="78" t="n">
        <f aca="false">MAX(C397-05_Unit_Economics!$B$21,0)</f>
        <v>11.6636718775771</v>
      </c>
      <c r="E397" s="78" t="n">
        <f aca="false">D397*EXP(-01_Inputs!$C$20*01_Inputs!$C$22)</f>
        <v>11.1615969619145</v>
      </c>
      <c r="F397" s="80" t="n">
        <f aca="false">AVERAGE(E396:E397)</f>
        <v>15.7144291477391</v>
      </c>
    </row>
    <row r="398" customFormat="false" ht="15" hidden="false" customHeight="false" outlineLevel="0" collapsed="false">
      <c r="A398" s="76" t="n">
        <v>387</v>
      </c>
      <c r="B398" s="77" t="n">
        <v>-1.765447</v>
      </c>
      <c r="C398" s="78" t="n">
        <f aca="false">05_Unit_Economics!$B$15*EXP((01_Inputs!$C$20-01_Inputs!$C$21^2/2)*01_Inputs!$C$22+01_Inputs!$C$21*SQRT(01_Inputs!$C$22)*B398)</f>
        <v>29.1746703879598</v>
      </c>
      <c r="D398" s="78" t="n">
        <f aca="false">MAX(C398-05_Unit_Economics!$B$21,0)</f>
        <v>0</v>
      </c>
      <c r="E398" s="78" t="n">
        <f aca="false">D398*EXP(-01_Inputs!$C$20*01_Inputs!$C$22)</f>
        <v>0</v>
      </c>
      <c r="F398" s="79"/>
    </row>
    <row r="399" customFormat="false" ht="15" hidden="false" customHeight="false" outlineLevel="0" collapsed="false">
      <c r="A399" s="76" t="n">
        <v>388</v>
      </c>
      <c r="B399" s="77" t="n">
        <v>1.765447</v>
      </c>
      <c r="C399" s="78" t="n">
        <f aca="false">05_Unit_Economics!$B$15*EXP((01_Inputs!$C$20-01_Inputs!$C$21^2/2)*01_Inputs!$C$22+01_Inputs!$C$21*SQRT(01_Inputs!$C$22)*B399)</f>
        <v>100.39513805645</v>
      </c>
      <c r="D399" s="78" t="n">
        <f aca="false">MAX(C399-05_Unit_Economics!$B$21,0)</f>
        <v>62.4875325819466</v>
      </c>
      <c r="E399" s="78" t="n">
        <f aca="false">D399*EXP(-01_Inputs!$C$20*01_Inputs!$C$22)</f>
        <v>59.7976915970197</v>
      </c>
      <c r="F399" s="80" t="n">
        <f aca="false">AVERAGE(E398:E399)</f>
        <v>29.8988457985099</v>
      </c>
    </row>
    <row r="400" customFormat="false" ht="15" hidden="false" customHeight="false" outlineLevel="0" collapsed="false">
      <c r="A400" s="76" t="n">
        <v>389</v>
      </c>
      <c r="B400" s="77" t="n">
        <v>-0.951847</v>
      </c>
      <c r="C400" s="78" t="n">
        <f aca="false">05_Unit_Economics!$B$15*EXP((01_Inputs!$C$20-01_Inputs!$C$21^2/2)*01_Inputs!$C$22+01_Inputs!$C$21*SQRT(01_Inputs!$C$22)*B400)</f>
        <v>38.7860590935587</v>
      </c>
      <c r="D400" s="78" t="n">
        <f aca="false">MAX(C400-05_Unit_Economics!$B$21,0)</f>
        <v>0.878453619055179</v>
      </c>
      <c r="E400" s="78" t="n">
        <f aca="false">D400*EXP(-01_Inputs!$C$20*01_Inputs!$C$22)</f>
        <v>0.840639667211374</v>
      </c>
      <c r="F400" s="79"/>
    </row>
    <row r="401" customFormat="false" ht="15" hidden="false" customHeight="false" outlineLevel="0" collapsed="false">
      <c r="A401" s="76" t="n">
        <v>390</v>
      </c>
      <c r="B401" s="77" t="n">
        <v>0.951847</v>
      </c>
      <c r="C401" s="78" t="n">
        <f aca="false">05_Unit_Economics!$B$15*EXP((01_Inputs!$C$20-01_Inputs!$C$21^2/2)*01_Inputs!$C$22+01_Inputs!$C$21*SQRT(01_Inputs!$C$22)*B401)</f>
        <v>75.5166967153175</v>
      </c>
      <c r="D401" s="78" t="n">
        <f aca="false">MAX(C401-05_Unit_Economics!$B$21,0)</f>
        <v>37.6090912408141</v>
      </c>
      <c r="E401" s="78" t="n">
        <f aca="false">D401*EXP(-01_Inputs!$C$20*01_Inputs!$C$22)</f>
        <v>35.9901686998619</v>
      </c>
      <c r="F401" s="80" t="n">
        <f aca="false">AVERAGE(E400:E401)</f>
        <v>18.4154041835366</v>
      </c>
    </row>
    <row r="402" customFormat="false" ht="15" hidden="false" customHeight="false" outlineLevel="0" collapsed="false">
      <c r="A402" s="76" t="n">
        <v>391</v>
      </c>
      <c r="B402" s="77" t="n">
        <v>0.419264</v>
      </c>
      <c r="C402" s="78" t="n">
        <f aca="false">05_Unit_Economics!$B$15*EXP((01_Inputs!$C$20-01_Inputs!$C$21^2/2)*01_Inputs!$C$22+01_Inputs!$C$21*SQRT(01_Inputs!$C$22)*B402)</f>
        <v>62.6741906395885</v>
      </c>
      <c r="D402" s="78" t="n">
        <f aca="false">MAX(C402-05_Unit_Economics!$B$21,0)</f>
        <v>24.766585165085</v>
      </c>
      <c r="E402" s="78" t="n">
        <f aca="false">D402*EXP(-01_Inputs!$C$20*01_Inputs!$C$22)</f>
        <v>23.7004816868214</v>
      </c>
      <c r="F402" s="79"/>
    </row>
    <row r="403" customFormat="false" ht="15" hidden="false" customHeight="false" outlineLevel="0" collapsed="false">
      <c r="A403" s="76" t="n">
        <v>392</v>
      </c>
      <c r="B403" s="77" t="n">
        <v>-0.419264</v>
      </c>
      <c r="C403" s="78" t="n">
        <f aca="false">05_Unit_Economics!$B$15*EXP((01_Inputs!$C$20-01_Inputs!$C$21^2/2)*01_Inputs!$C$22+01_Inputs!$C$21*SQRT(01_Inputs!$C$22)*B403)</f>
        <v>46.7336718904597</v>
      </c>
      <c r="D403" s="78" t="n">
        <f aca="false">MAX(C403-05_Unit_Economics!$B$21,0)</f>
        <v>8.82606641595626</v>
      </c>
      <c r="E403" s="78" t="n">
        <f aca="false">D403*EXP(-01_Inputs!$C$20*01_Inputs!$C$22)</f>
        <v>8.44613918566929</v>
      </c>
      <c r="F403" s="80" t="n">
        <f aca="false">AVERAGE(E402:E403)</f>
        <v>16.0733104362453</v>
      </c>
    </row>
    <row r="404" customFormat="false" ht="15" hidden="false" customHeight="false" outlineLevel="0" collapsed="false">
      <c r="A404" s="76" t="n">
        <v>393</v>
      </c>
      <c r="B404" s="77" t="n">
        <v>0.124572</v>
      </c>
      <c r="C404" s="78" t="n">
        <f aca="false">05_Unit_Economics!$B$15*EXP((01_Inputs!$C$20-01_Inputs!$C$21^2/2)*01_Inputs!$C$22+01_Inputs!$C$21*SQRT(01_Inputs!$C$22)*B404)</f>
        <v>56.5320384896326</v>
      </c>
      <c r="D404" s="78" t="n">
        <f aca="false">MAX(C404-05_Unit_Economics!$B$21,0)</f>
        <v>18.6244330151291</v>
      </c>
      <c r="E404" s="78" t="n">
        <f aca="false">D404*EXP(-01_Inputs!$C$20*01_Inputs!$C$22)</f>
        <v>17.8227248795195</v>
      </c>
      <c r="F404" s="79"/>
    </row>
    <row r="405" customFormat="false" ht="15" hidden="false" customHeight="false" outlineLevel="0" collapsed="false">
      <c r="A405" s="76" t="n">
        <v>394</v>
      </c>
      <c r="B405" s="77" t="n">
        <v>-0.124572</v>
      </c>
      <c r="C405" s="78" t="n">
        <f aca="false">05_Unit_Economics!$B$15*EXP((01_Inputs!$C$20-01_Inputs!$C$21^2/2)*01_Inputs!$C$22+01_Inputs!$C$21*SQRT(01_Inputs!$C$22)*B405)</f>
        <v>51.8112408397903</v>
      </c>
      <c r="D405" s="78" t="n">
        <f aca="false">MAX(C405-05_Unit_Economics!$B$21,0)</f>
        <v>13.9036353652869</v>
      </c>
      <c r="E405" s="78" t="n">
        <f aca="false">D405*EXP(-01_Inputs!$C$20*01_Inputs!$C$22)</f>
        <v>13.3051388860735</v>
      </c>
      <c r="F405" s="80" t="n">
        <f aca="false">AVERAGE(E404:E405)</f>
        <v>15.5639318827965</v>
      </c>
    </row>
    <row r="406" customFormat="false" ht="15" hidden="false" customHeight="false" outlineLevel="0" collapsed="false">
      <c r="A406" s="76" t="n">
        <v>395</v>
      </c>
      <c r="B406" s="77" t="n">
        <v>-0.251895</v>
      </c>
      <c r="C406" s="78" t="n">
        <f aca="false">05_Unit_Economics!$B$15*EXP((01_Inputs!$C$20-01_Inputs!$C$21^2/2)*01_Inputs!$C$22+01_Inputs!$C$21*SQRT(01_Inputs!$C$22)*B406)</f>
        <v>49.5530632546991</v>
      </c>
      <c r="D406" s="78" t="n">
        <f aca="false">MAX(C406-05_Unit_Economics!$B$21,0)</f>
        <v>11.6454577801956</v>
      </c>
      <c r="E406" s="78" t="n">
        <f aca="false">D406*EXP(-01_Inputs!$C$20*01_Inputs!$C$22)</f>
        <v>11.1441669093435</v>
      </c>
      <c r="F406" s="79"/>
    </row>
    <row r="407" customFormat="false" ht="15" hidden="false" customHeight="false" outlineLevel="0" collapsed="false">
      <c r="A407" s="76" t="n">
        <v>396</v>
      </c>
      <c r="B407" s="77" t="n">
        <v>0.251895</v>
      </c>
      <c r="C407" s="78" t="n">
        <f aca="false">05_Unit_Economics!$B$15*EXP((01_Inputs!$C$20-01_Inputs!$C$21^2/2)*01_Inputs!$C$22+01_Inputs!$C$21*SQRT(01_Inputs!$C$22)*B407)</f>
        <v>59.1082542424438</v>
      </c>
      <c r="D407" s="78" t="n">
        <f aca="false">MAX(C407-05_Unit_Economics!$B$21,0)</f>
        <v>21.2006487679403</v>
      </c>
      <c r="E407" s="78" t="n">
        <f aca="false">D407*EXP(-01_Inputs!$C$20*01_Inputs!$C$22)</f>
        <v>20.2880447394766</v>
      </c>
      <c r="F407" s="80" t="n">
        <f aca="false">AVERAGE(E406:E407)</f>
        <v>15.71610582441</v>
      </c>
    </row>
    <row r="408" customFormat="false" ht="15" hidden="false" customHeight="false" outlineLevel="0" collapsed="false">
      <c r="A408" s="76" t="n">
        <v>397</v>
      </c>
      <c r="B408" s="77" t="n">
        <v>-0.547458</v>
      </c>
      <c r="C408" s="78" t="n">
        <f aca="false">05_Unit_Economics!$B$15*EXP((01_Inputs!$C$20-01_Inputs!$C$21^2/2)*01_Inputs!$C$22+01_Inputs!$C$21*SQRT(01_Inputs!$C$22)*B408)</f>
        <v>44.6831749016456</v>
      </c>
      <c r="D408" s="78" t="n">
        <f aca="false">MAX(C408-05_Unit_Economics!$B$21,0)</f>
        <v>6.77556942714217</v>
      </c>
      <c r="E408" s="78" t="n">
        <f aca="false">D408*EXP(-01_Inputs!$C$20*01_Inputs!$C$22)</f>
        <v>6.48390797743709</v>
      </c>
      <c r="F408" s="79"/>
    </row>
    <row r="409" customFormat="false" ht="15" hidden="false" customHeight="false" outlineLevel="0" collapsed="false">
      <c r="A409" s="76" t="n">
        <v>398</v>
      </c>
      <c r="B409" s="77" t="n">
        <v>0.547458</v>
      </c>
      <c r="C409" s="78" t="n">
        <f aca="false">05_Unit_Economics!$B$15*EXP((01_Inputs!$C$20-01_Inputs!$C$21^2/2)*01_Inputs!$C$22+01_Inputs!$C$21*SQRT(01_Inputs!$C$22)*B409)</f>
        <v>65.550289741</v>
      </c>
      <c r="D409" s="78" t="n">
        <f aca="false">MAX(C409-05_Unit_Economics!$B$21,0)</f>
        <v>27.6426842664965</v>
      </c>
      <c r="E409" s="78" t="n">
        <f aca="false">D409*EXP(-01_Inputs!$C$20*01_Inputs!$C$22)</f>
        <v>26.4527761040018</v>
      </c>
      <c r="F409" s="80" t="n">
        <f aca="false">AVERAGE(E408:E409)</f>
        <v>16.4683420407194</v>
      </c>
    </row>
    <row r="410" customFormat="false" ht="15" hidden="false" customHeight="false" outlineLevel="0" collapsed="false">
      <c r="A410" s="76" t="n">
        <v>399</v>
      </c>
      <c r="B410" s="77" t="n">
        <v>0.107508</v>
      </c>
      <c r="C410" s="78" t="n">
        <f aca="false">05_Unit_Economics!$B$15*EXP((01_Inputs!$C$20-01_Inputs!$C$21^2/2)*01_Inputs!$C$22+01_Inputs!$C$21*SQRT(01_Inputs!$C$22)*B410)</f>
        <v>56.1954127752724</v>
      </c>
      <c r="D410" s="78" t="n">
        <f aca="false">MAX(C410-05_Unit_Economics!$B$21,0)</f>
        <v>18.2878073007689</v>
      </c>
      <c r="E410" s="78" t="n">
        <f aca="false">D410*EXP(-01_Inputs!$C$20*01_Inputs!$C$22)</f>
        <v>17.5005895699753</v>
      </c>
      <c r="F410" s="79"/>
    </row>
    <row r="411" customFormat="false" ht="15" hidden="false" customHeight="false" outlineLevel="0" collapsed="false">
      <c r="A411" s="76" t="n">
        <v>400</v>
      </c>
      <c r="B411" s="77" t="n">
        <v>-0.107508</v>
      </c>
      <c r="C411" s="78" t="n">
        <f aca="false">05_Unit_Economics!$B$15*EXP((01_Inputs!$C$20-01_Inputs!$C$21^2/2)*01_Inputs!$C$22+01_Inputs!$C$21*SQRT(01_Inputs!$C$22)*B411)</f>
        <v>52.1216041790424</v>
      </c>
      <c r="D411" s="78" t="n">
        <f aca="false">MAX(C411-05_Unit_Economics!$B$21,0)</f>
        <v>14.213998704539</v>
      </c>
      <c r="E411" s="78" t="n">
        <f aca="false">D411*EXP(-01_Inputs!$C$20*01_Inputs!$C$22)</f>
        <v>13.6021423118253</v>
      </c>
      <c r="F411" s="80" t="n">
        <f aca="false">AVERAGE(E410:E411)</f>
        <v>15.5513659409003</v>
      </c>
    </row>
    <row r="412" customFormat="false" ht="15" hidden="false" customHeight="false" outlineLevel="0" collapsed="false">
      <c r="A412" s="76" t="n">
        <v>401</v>
      </c>
      <c r="B412" s="77" t="n">
        <v>0.683861</v>
      </c>
      <c r="C412" s="78" t="n">
        <f aca="false">05_Unit_Economics!$B$15*EXP((01_Inputs!$C$20-01_Inputs!$C$21^2/2)*01_Inputs!$C$22+01_Inputs!$C$21*SQRT(01_Inputs!$C$22)*B412)</f>
        <v>68.7556338674769</v>
      </c>
      <c r="D412" s="78" t="n">
        <f aca="false">MAX(C412-05_Unit_Economics!$B$21,0)</f>
        <v>30.8480283929734</v>
      </c>
      <c r="E412" s="78" t="n">
        <f aca="false">D412*EXP(-01_Inputs!$C$20*01_Inputs!$C$22)</f>
        <v>29.5201428508968</v>
      </c>
      <c r="F412" s="79"/>
    </row>
    <row r="413" customFormat="false" ht="15" hidden="false" customHeight="false" outlineLevel="0" collapsed="false">
      <c r="A413" s="76" t="n">
        <v>402</v>
      </c>
      <c r="B413" s="77" t="n">
        <v>-0.683861</v>
      </c>
      <c r="C413" s="78" t="n">
        <f aca="false">05_Unit_Economics!$B$15*EXP((01_Inputs!$C$20-01_Inputs!$C$21^2/2)*01_Inputs!$C$22+01_Inputs!$C$21*SQRT(01_Inputs!$C$22)*B413)</f>
        <v>42.600073573551</v>
      </c>
      <c r="D413" s="78" t="n">
        <f aca="false">MAX(C413-05_Unit_Economics!$B$21,0)</f>
        <v>4.69246809904755</v>
      </c>
      <c r="E413" s="78" t="n">
        <f aca="false">D413*EXP(-01_Inputs!$C$20*01_Inputs!$C$22)</f>
        <v>4.49047591769957</v>
      </c>
      <c r="F413" s="80" t="n">
        <f aca="false">AVERAGE(E412:E413)</f>
        <v>17.0053093842982</v>
      </c>
    </row>
    <row r="414" customFormat="false" ht="15" hidden="false" customHeight="false" outlineLevel="0" collapsed="false">
      <c r="A414" s="76" t="n">
        <v>403</v>
      </c>
      <c r="B414" s="77" t="n">
        <v>1.052131</v>
      </c>
      <c r="C414" s="78" t="n">
        <f aca="false">05_Unit_Economics!$B$15*EXP((01_Inputs!$C$20-01_Inputs!$C$21^2/2)*01_Inputs!$C$22+01_Inputs!$C$21*SQRT(01_Inputs!$C$22)*B414)</f>
        <v>78.2143535821925</v>
      </c>
      <c r="D414" s="78" t="n">
        <f aca="false">MAX(C414-05_Unit_Economics!$B$21,0)</f>
        <v>40.306748107689</v>
      </c>
      <c r="E414" s="78" t="n">
        <f aca="false">D414*EXP(-01_Inputs!$C$20*01_Inputs!$C$22)</f>
        <v>38.5717021145222</v>
      </c>
      <c r="F414" s="79"/>
    </row>
    <row r="415" customFormat="false" ht="15" hidden="false" customHeight="false" outlineLevel="0" collapsed="false">
      <c r="A415" s="76" t="n">
        <v>404</v>
      </c>
      <c r="B415" s="77" t="n">
        <v>-1.052131</v>
      </c>
      <c r="C415" s="78" t="n">
        <f aca="false">05_Unit_Economics!$B$15*EXP((01_Inputs!$C$20-01_Inputs!$C$21^2/2)*01_Inputs!$C$22+01_Inputs!$C$21*SQRT(01_Inputs!$C$22)*B415)</f>
        <v>37.4483061893835</v>
      </c>
      <c r="D415" s="78" t="n">
        <f aca="false">MAX(C415-05_Unit_Economics!$B$21,0)</f>
        <v>0</v>
      </c>
      <c r="E415" s="78" t="n">
        <f aca="false">D415*EXP(-01_Inputs!$C$20*01_Inputs!$C$22)</f>
        <v>0</v>
      </c>
      <c r="F415" s="80" t="n">
        <f aca="false">AVERAGE(E414:E415)</f>
        <v>19.2858510572611</v>
      </c>
    </row>
    <row r="416" customFormat="false" ht="15" hidden="false" customHeight="false" outlineLevel="0" collapsed="false">
      <c r="A416" s="76" t="n">
        <v>405</v>
      </c>
      <c r="B416" s="77" t="n">
        <v>-0.619177</v>
      </c>
      <c r="C416" s="78" t="n">
        <f aca="false">05_Unit_Economics!$B$15*EXP((01_Inputs!$C$20-01_Inputs!$C$21^2/2)*01_Inputs!$C$22+01_Inputs!$C$21*SQRT(01_Inputs!$C$22)*B416)</f>
        <v>43.5755137063679</v>
      </c>
      <c r="D416" s="78" t="n">
        <f aca="false">MAX(C416-05_Unit_Economics!$B$21,0)</f>
        <v>5.66790823186442</v>
      </c>
      <c r="E416" s="78" t="n">
        <f aca="false">D416*EXP(-01_Inputs!$C$20*01_Inputs!$C$22)</f>
        <v>5.42392721307671</v>
      </c>
      <c r="F416" s="79"/>
    </row>
    <row r="417" customFormat="false" ht="15" hidden="false" customHeight="false" outlineLevel="0" collapsed="false">
      <c r="A417" s="76" t="n">
        <v>406</v>
      </c>
      <c r="B417" s="77" t="n">
        <v>0.619177</v>
      </c>
      <c r="C417" s="78" t="n">
        <f aca="false">05_Unit_Economics!$B$15*EXP((01_Inputs!$C$20-01_Inputs!$C$21^2/2)*01_Inputs!$C$22+01_Inputs!$C$21*SQRT(01_Inputs!$C$22)*B417)</f>
        <v>67.216535439779</v>
      </c>
      <c r="D417" s="78" t="n">
        <f aca="false">MAX(C417-05_Unit_Economics!$B$21,0)</f>
        <v>29.3089299652755</v>
      </c>
      <c r="E417" s="78" t="n">
        <f aca="false">D417*EXP(-01_Inputs!$C$20*01_Inputs!$C$22)</f>
        <v>28.0472965195708</v>
      </c>
      <c r="F417" s="80" t="n">
        <f aca="false">AVERAGE(E416:E417)</f>
        <v>16.7356118663237</v>
      </c>
    </row>
    <row r="418" customFormat="false" ht="15" hidden="false" customHeight="false" outlineLevel="0" collapsed="false">
      <c r="A418" s="76" t="n">
        <v>407</v>
      </c>
      <c r="B418" s="77" t="n">
        <v>-1.40682</v>
      </c>
      <c r="C418" s="78" t="n">
        <f aca="false">05_Unit_Economics!$B$15*EXP((01_Inputs!$C$20-01_Inputs!$C$21^2/2)*01_Inputs!$C$22+01_Inputs!$C$21*SQRT(01_Inputs!$C$22)*B418)</f>
        <v>33.0764096981658</v>
      </c>
      <c r="D418" s="78" t="n">
        <f aca="false">MAX(C418-05_Unit_Economics!$B$21,0)</f>
        <v>0</v>
      </c>
      <c r="E418" s="78" t="n">
        <f aca="false">D418*EXP(-01_Inputs!$C$20*01_Inputs!$C$22)</f>
        <v>0</v>
      </c>
      <c r="F418" s="79"/>
    </row>
    <row r="419" customFormat="false" ht="15" hidden="false" customHeight="false" outlineLevel="0" collapsed="false">
      <c r="A419" s="76" t="n">
        <v>408</v>
      </c>
      <c r="B419" s="77" t="n">
        <v>1.40682</v>
      </c>
      <c r="C419" s="78" t="n">
        <f aca="false">05_Unit_Economics!$B$15*EXP((01_Inputs!$C$20-01_Inputs!$C$21^2/2)*01_Inputs!$C$22+01_Inputs!$C$21*SQRT(01_Inputs!$C$22)*B419)</f>
        <v>88.5523878824453</v>
      </c>
      <c r="D419" s="78" t="n">
        <f aca="false">MAX(C419-05_Unit_Economics!$B$21,0)</f>
        <v>50.6447824079418</v>
      </c>
      <c r="E419" s="78" t="n">
        <f aca="false">D419*EXP(-01_Inputs!$C$20*01_Inputs!$C$22)</f>
        <v>48.4647249506413</v>
      </c>
      <c r="F419" s="80" t="n">
        <f aca="false">AVERAGE(E418:E419)</f>
        <v>24.2323624753206</v>
      </c>
    </row>
    <row r="420" customFormat="false" ht="15" hidden="false" customHeight="false" outlineLevel="0" collapsed="false">
      <c r="A420" s="76" t="n">
        <v>409</v>
      </c>
      <c r="B420" s="77" t="n">
        <v>-0.490804</v>
      </c>
      <c r="C420" s="78" t="n">
        <f aca="false">05_Unit_Economics!$B$15*EXP((01_Inputs!$C$20-01_Inputs!$C$21^2/2)*01_Inputs!$C$22+01_Inputs!$C$21*SQRT(01_Inputs!$C$22)*B420)</f>
        <v>45.5780358421848</v>
      </c>
      <c r="D420" s="78" t="n">
        <f aca="false">MAX(C420-05_Unit_Economics!$B$21,0)</f>
        <v>7.67043036768138</v>
      </c>
      <c r="E420" s="78" t="n">
        <f aca="false">D420*EXP(-01_Inputs!$C$20*01_Inputs!$C$22)</f>
        <v>7.34024869587413</v>
      </c>
      <c r="F420" s="79"/>
    </row>
    <row r="421" customFormat="false" ht="15" hidden="false" customHeight="false" outlineLevel="0" collapsed="false">
      <c r="A421" s="76" t="n">
        <v>410</v>
      </c>
      <c r="B421" s="77" t="n">
        <v>0.490804</v>
      </c>
      <c r="C421" s="78" t="n">
        <f aca="false">05_Unit_Economics!$B$15*EXP((01_Inputs!$C$20-01_Inputs!$C$21^2/2)*01_Inputs!$C$22+01_Inputs!$C$21*SQRT(01_Inputs!$C$22)*B421)</f>
        <v>64.2633015492896</v>
      </c>
      <c r="D421" s="78" t="n">
        <f aca="false">MAX(C421-05_Unit_Economics!$B$21,0)</f>
        <v>26.3556960747861</v>
      </c>
      <c r="E421" s="78" t="n">
        <f aca="false">D421*EXP(-01_Inputs!$C$20*01_Inputs!$C$22)</f>
        <v>25.2211876607234</v>
      </c>
      <c r="F421" s="80" t="n">
        <f aca="false">AVERAGE(E420:E421)</f>
        <v>16.2807181782988</v>
      </c>
    </row>
    <row r="422" customFormat="false" ht="15" hidden="false" customHeight="false" outlineLevel="0" collapsed="false">
      <c r="A422" s="76" t="n">
        <v>411</v>
      </c>
      <c r="B422" s="77" t="n">
        <v>1.883034</v>
      </c>
      <c r="C422" s="78" t="n">
        <f aca="false">05_Unit_Economics!$B$15*EXP((01_Inputs!$C$20-01_Inputs!$C$21^2/2)*01_Inputs!$C$22+01_Inputs!$C$21*SQRT(01_Inputs!$C$22)*B422)</f>
        <v>104.613146820408</v>
      </c>
      <c r="D422" s="78" t="n">
        <f aca="false">MAX(C422-05_Unit_Economics!$B$21,0)</f>
        <v>66.705541345904</v>
      </c>
      <c r="E422" s="78" t="n">
        <f aca="false">D422*EXP(-01_Inputs!$C$20*01_Inputs!$C$22)</f>
        <v>63.8341317763448</v>
      </c>
      <c r="F422" s="79"/>
    </row>
    <row r="423" customFormat="false" ht="15" hidden="false" customHeight="false" outlineLevel="0" collapsed="false">
      <c r="A423" s="76" t="n">
        <v>412</v>
      </c>
      <c r="B423" s="77" t="n">
        <v>-1.883034</v>
      </c>
      <c r="C423" s="78" t="n">
        <f aca="false">05_Unit_Economics!$B$15*EXP((01_Inputs!$C$20-01_Inputs!$C$21^2/2)*01_Inputs!$C$22+01_Inputs!$C$21*SQRT(01_Inputs!$C$22)*B423)</f>
        <v>27.9983458138292</v>
      </c>
      <c r="D423" s="78" t="n">
        <f aca="false">MAX(C423-05_Unit_Economics!$B$21,0)</f>
        <v>0</v>
      </c>
      <c r="E423" s="78" t="n">
        <f aca="false">D423*EXP(-01_Inputs!$C$20*01_Inputs!$C$22)</f>
        <v>0</v>
      </c>
      <c r="F423" s="80" t="n">
        <f aca="false">AVERAGE(E422:E423)</f>
        <v>31.9170658881724</v>
      </c>
    </row>
    <row r="424" customFormat="false" ht="15" hidden="false" customHeight="false" outlineLevel="0" collapsed="false">
      <c r="A424" s="76" t="n">
        <v>413</v>
      </c>
      <c r="B424" s="77" t="n">
        <v>0.447709</v>
      </c>
      <c r="C424" s="78" t="n">
        <f aca="false">05_Unit_Economics!$B$15*EXP((01_Inputs!$C$20-01_Inputs!$C$21^2/2)*01_Inputs!$C$22+01_Inputs!$C$21*SQRT(01_Inputs!$C$22)*B424)</f>
        <v>63.3012755839619</v>
      </c>
      <c r="D424" s="78" t="n">
        <f aca="false">MAX(C424-05_Unit_Economics!$B$21,0)</f>
        <v>25.3936701094585</v>
      </c>
      <c r="E424" s="78" t="n">
        <f aca="false">D424*EXP(-01_Inputs!$C$20*01_Inputs!$C$22)</f>
        <v>24.3005731060113</v>
      </c>
      <c r="F424" s="79"/>
    </row>
    <row r="425" customFormat="false" ht="15" hidden="false" customHeight="false" outlineLevel="0" collapsed="false">
      <c r="A425" s="76" t="n">
        <v>414</v>
      </c>
      <c r="B425" s="77" t="n">
        <v>-0.447709</v>
      </c>
      <c r="C425" s="78" t="n">
        <f aca="false">05_Unit_Economics!$B$15*EXP((01_Inputs!$C$20-01_Inputs!$C$21^2/2)*01_Inputs!$C$22+01_Inputs!$C$21*SQRT(01_Inputs!$C$22)*B425)</f>
        <v>46.2707115193228</v>
      </c>
      <c r="D425" s="78" t="n">
        <f aca="false">MAX(C425-05_Unit_Economics!$B$21,0)</f>
        <v>8.36310604481928</v>
      </c>
      <c r="E425" s="78" t="n">
        <f aca="false">D425*EXP(-01_Inputs!$C$20*01_Inputs!$C$22)</f>
        <v>8.00310742635657</v>
      </c>
      <c r="F425" s="80" t="n">
        <f aca="false">AVERAGE(E424:E425)</f>
        <v>16.1518402661839</v>
      </c>
    </row>
    <row r="426" customFormat="false" ht="15" hidden="false" customHeight="false" outlineLevel="0" collapsed="false">
      <c r="A426" s="76" t="n">
        <v>415</v>
      </c>
      <c r="B426" s="77" t="n">
        <v>-0.428183</v>
      </c>
      <c r="C426" s="78" t="n">
        <f aca="false">05_Unit_Economics!$B$15*EXP((01_Inputs!$C$20-01_Inputs!$C$21^2/2)*01_Inputs!$C$22+01_Inputs!$C$21*SQRT(01_Inputs!$C$22)*B426)</f>
        <v>46.5880131896279</v>
      </c>
      <c r="D426" s="78" t="n">
        <f aca="false">MAX(C426-05_Unit_Economics!$B$21,0)</f>
        <v>8.68040771512446</v>
      </c>
      <c r="E426" s="78" t="n">
        <f aca="false">D426*EXP(-01_Inputs!$C$20*01_Inputs!$C$22)</f>
        <v>8.30675051546792</v>
      </c>
      <c r="F426" s="79"/>
    </row>
    <row r="427" customFormat="false" ht="15" hidden="false" customHeight="false" outlineLevel="0" collapsed="false">
      <c r="A427" s="76" t="n">
        <v>416</v>
      </c>
      <c r="B427" s="77" t="n">
        <v>0.428183</v>
      </c>
      <c r="C427" s="78" t="n">
        <f aca="false">05_Unit_Economics!$B$15*EXP((01_Inputs!$C$20-01_Inputs!$C$21^2/2)*01_Inputs!$C$22+01_Inputs!$C$21*SQRT(01_Inputs!$C$22)*B427)</f>
        <v>62.8701432153528</v>
      </c>
      <c r="D427" s="78" t="n">
        <f aca="false">MAX(C427-05_Unit_Economics!$B$21,0)</f>
        <v>24.9625377408493</v>
      </c>
      <c r="E427" s="78" t="n">
        <f aca="false">D427*EXP(-01_Inputs!$C$20*01_Inputs!$C$22)</f>
        <v>23.887999279676</v>
      </c>
      <c r="F427" s="80" t="n">
        <f aca="false">AVERAGE(E426:E427)</f>
        <v>16.097374897572</v>
      </c>
    </row>
    <row r="428" customFormat="false" ht="15" hidden="false" customHeight="false" outlineLevel="0" collapsed="false">
      <c r="A428" s="76" t="n">
        <v>417</v>
      </c>
      <c r="B428" s="77" t="n">
        <v>1.205084</v>
      </c>
      <c r="C428" s="78" t="n">
        <f aca="false">05_Unit_Economics!$B$15*EXP((01_Inputs!$C$20-01_Inputs!$C$21^2/2)*01_Inputs!$C$22+01_Inputs!$C$21*SQRT(01_Inputs!$C$22)*B428)</f>
        <v>82.5155475182964</v>
      </c>
      <c r="D428" s="78" t="n">
        <f aca="false">MAX(C428-05_Unit_Economics!$B$21,0)</f>
        <v>44.6079420437929</v>
      </c>
      <c r="E428" s="78" t="n">
        <f aca="false">D428*EXP(-01_Inputs!$C$20*01_Inputs!$C$22)</f>
        <v>42.687746673536</v>
      </c>
      <c r="F428" s="79"/>
    </row>
    <row r="429" customFormat="false" ht="15" hidden="false" customHeight="false" outlineLevel="0" collapsed="false">
      <c r="A429" s="76" t="n">
        <v>418</v>
      </c>
      <c r="B429" s="77" t="n">
        <v>-1.205084</v>
      </c>
      <c r="C429" s="78" t="n">
        <f aca="false">05_Unit_Economics!$B$15*EXP((01_Inputs!$C$20-01_Inputs!$C$21^2/2)*01_Inputs!$C$22+01_Inputs!$C$21*SQRT(01_Inputs!$C$22)*B429)</f>
        <v>35.4962809972411</v>
      </c>
      <c r="D429" s="78" t="n">
        <f aca="false">MAX(C429-05_Unit_Economics!$B$21,0)</f>
        <v>0</v>
      </c>
      <c r="E429" s="78" t="n">
        <f aca="false">D429*EXP(-01_Inputs!$C$20*01_Inputs!$C$22)</f>
        <v>0</v>
      </c>
      <c r="F429" s="80" t="n">
        <f aca="false">AVERAGE(E428:E429)</f>
        <v>21.343873336768</v>
      </c>
    </row>
    <row r="430" customFormat="false" ht="15" hidden="false" customHeight="false" outlineLevel="0" collapsed="false">
      <c r="A430" s="76" t="n">
        <v>419</v>
      </c>
      <c r="B430" s="77" t="n">
        <v>0.614627</v>
      </c>
      <c r="C430" s="78" t="n">
        <f aca="false">05_Unit_Economics!$B$15*EXP((01_Inputs!$C$20-01_Inputs!$C$21^2/2)*01_Inputs!$C$22+01_Inputs!$C$21*SQRT(01_Inputs!$C$22)*B430)</f>
        <v>67.1095782943223</v>
      </c>
      <c r="D430" s="78" t="n">
        <f aca="false">MAX(C430-05_Unit_Economics!$B$21,0)</f>
        <v>29.2019728198189</v>
      </c>
      <c r="E430" s="78" t="n">
        <f aca="false">D430*EXP(-01_Inputs!$C$20*01_Inputs!$C$22)</f>
        <v>27.944943455946</v>
      </c>
      <c r="F430" s="79"/>
    </row>
    <row r="431" customFormat="false" ht="15" hidden="false" customHeight="false" outlineLevel="0" collapsed="false">
      <c r="A431" s="76" t="n">
        <v>420</v>
      </c>
      <c r="B431" s="77" t="n">
        <v>-0.614627</v>
      </c>
      <c r="C431" s="78" t="n">
        <f aca="false">05_Unit_Economics!$B$15*EXP((01_Inputs!$C$20-01_Inputs!$C$21^2/2)*01_Inputs!$C$22+01_Inputs!$C$21*SQRT(01_Inputs!$C$22)*B431)</f>
        <v>43.6449629962651</v>
      </c>
      <c r="D431" s="78" t="n">
        <f aca="false">MAX(C431-05_Unit_Economics!$B$21,0)</f>
        <v>5.73735752176161</v>
      </c>
      <c r="E431" s="78" t="n">
        <f aca="false">D431*EXP(-01_Inputs!$C$20*01_Inputs!$C$22)</f>
        <v>5.49038698588752</v>
      </c>
      <c r="F431" s="80" t="n">
        <f aca="false">AVERAGE(E430:E431)</f>
        <v>16.7176652209168</v>
      </c>
    </row>
    <row r="432" customFormat="false" ht="15" hidden="false" customHeight="false" outlineLevel="0" collapsed="false">
      <c r="A432" s="76" t="n">
        <v>421</v>
      </c>
      <c r="B432" s="77" t="n">
        <v>0.526502</v>
      </c>
      <c r="C432" s="78" t="n">
        <f aca="false">05_Unit_Economics!$B$15*EXP((01_Inputs!$C$20-01_Inputs!$C$21^2/2)*01_Inputs!$C$22+01_Inputs!$C$21*SQRT(01_Inputs!$C$22)*B432)</f>
        <v>65.0712634664096</v>
      </c>
      <c r="D432" s="78" t="n">
        <f aca="false">MAX(C432-05_Unit_Economics!$B$21,0)</f>
        <v>27.1636579919061</v>
      </c>
      <c r="E432" s="78" t="n">
        <f aca="false">D432*EXP(-01_Inputs!$C$20*01_Inputs!$C$22)</f>
        <v>25.9943700147989</v>
      </c>
      <c r="F432" s="79"/>
    </row>
    <row r="433" customFormat="false" ht="15" hidden="false" customHeight="false" outlineLevel="0" collapsed="false">
      <c r="A433" s="76" t="n">
        <v>422</v>
      </c>
      <c r="B433" s="77" t="n">
        <v>-0.526502</v>
      </c>
      <c r="C433" s="78" t="n">
        <f aca="false">05_Unit_Economics!$B$15*EXP((01_Inputs!$C$20-01_Inputs!$C$21^2/2)*01_Inputs!$C$22+01_Inputs!$C$21*SQRT(01_Inputs!$C$22)*B433)</f>
        <v>45.0121129561688</v>
      </c>
      <c r="D433" s="78" t="n">
        <f aca="false">MAX(C433-05_Unit_Economics!$B$21,0)</f>
        <v>7.10450748166537</v>
      </c>
      <c r="E433" s="78" t="n">
        <f aca="false">D433*EXP(-01_Inputs!$C$20*01_Inputs!$C$22)</f>
        <v>6.79868655047654</v>
      </c>
      <c r="F433" s="80" t="n">
        <f aca="false">AVERAGE(E432:E433)</f>
        <v>16.3965282826377</v>
      </c>
    </row>
    <row r="434" customFormat="false" ht="15" hidden="false" customHeight="false" outlineLevel="0" collapsed="false">
      <c r="A434" s="76" t="n">
        <v>423</v>
      </c>
      <c r="B434" s="77" t="n">
        <v>0.415799</v>
      </c>
      <c r="C434" s="78" t="n">
        <f aca="false">05_Unit_Economics!$B$15*EXP((01_Inputs!$C$20-01_Inputs!$C$21^2/2)*01_Inputs!$C$22+01_Inputs!$C$21*SQRT(01_Inputs!$C$22)*B434)</f>
        <v>62.598228585691</v>
      </c>
      <c r="D434" s="78" t="n">
        <f aca="false">MAX(C434-05_Unit_Economics!$B$21,0)</f>
        <v>24.6906231111875</v>
      </c>
      <c r="E434" s="78" t="n">
        <f aca="false">D434*EXP(-01_Inputs!$C$20*01_Inputs!$C$22)</f>
        <v>23.6277894987263</v>
      </c>
      <c r="F434" s="79"/>
    </row>
    <row r="435" customFormat="false" ht="15" hidden="false" customHeight="false" outlineLevel="0" collapsed="false">
      <c r="A435" s="76" t="n">
        <v>424</v>
      </c>
      <c r="B435" s="77" t="n">
        <v>-0.415799</v>
      </c>
      <c r="C435" s="78" t="n">
        <f aca="false">05_Unit_Economics!$B$15*EXP((01_Inputs!$C$20-01_Inputs!$C$21^2/2)*01_Inputs!$C$22+01_Inputs!$C$21*SQRT(01_Inputs!$C$22)*B435)</f>
        <v>46.7903825320095</v>
      </c>
      <c r="D435" s="78" t="n">
        <f aca="false">MAX(C435-05_Unit_Economics!$B$21,0)</f>
        <v>8.88277705750603</v>
      </c>
      <c r="E435" s="78" t="n">
        <f aca="false">D435*EXP(-01_Inputs!$C$20*01_Inputs!$C$22)</f>
        <v>8.50040865853118</v>
      </c>
      <c r="F435" s="80" t="n">
        <f aca="false">AVERAGE(E434:E435)</f>
        <v>16.0640990786288</v>
      </c>
    </row>
    <row r="436" customFormat="false" ht="15" hidden="false" customHeight="false" outlineLevel="0" collapsed="false">
      <c r="A436" s="76" t="n">
        <v>425</v>
      </c>
      <c r="B436" s="77" t="n">
        <v>-2.181683</v>
      </c>
      <c r="C436" s="78" t="n">
        <f aca="false">05_Unit_Economics!$B$15*EXP((01_Inputs!$C$20-01_Inputs!$C$21^2/2)*01_Inputs!$C$22+01_Inputs!$C$21*SQRT(01_Inputs!$C$22)*B436)</f>
        <v>25.2195195589288</v>
      </c>
      <c r="D436" s="78" t="n">
        <f aca="false">MAX(C436-05_Unit_Economics!$B$21,0)</f>
        <v>0</v>
      </c>
      <c r="E436" s="78" t="n">
        <f aca="false">D436*EXP(-01_Inputs!$C$20*01_Inputs!$C$22)</f>
        <v>0</v>
      </c>
      <c r="F436" s="79"/>
    </row>
    <row r="437" customFormat="false" ht="15" hidden="false" customHeight="false" outlineLevel="0" collapsed="false">
      <c r="A437" s="76" t="n">
        <v>426</v>
      </c>
      <c r="B437" s="77" t="n">
        <v>2.181683</v>
      </c>
      <c r="C437" s="78" t="n">
        <f aca="false">05_Unit_Economics!$B$15*EXP((01_Inputs!$C$20-01_Inputs!$C$21^2/2)*01_Inputs!$C$22+01_Inputs!$C$21*SQRT(01_Inputs!$C$22)*B437)</f>
        <v>116.140002370254</v>
      </c>
      <c r="D437" s="78" t="n">
        <f aca="false">MAX(C437-05_Unit_Economics!$B$21,0)</f>
        <v>78.2323968957504</v>
      </c>
      <c r="E437" s="78" t="n">
        <f aca="false">D437*EXP(-01_Inputs!$C$20*01_Inputs!$C$22)</f>
        <v>74.8648018119905</v>
      </c>
      <c r="F437" s="80" t="n">
        <f aca="false">AVERAGE(E436:E437)</f>
        <v>37.4324009059952</v>
      </c>
    </row>
    <row r="438" customFormat="false" ht="15" hidden="false" customHeight="false" outlineLevel="0" collapsed="false">
      <c r="A438" s="76" t="n">
        <v>427</v>
      </c>
      <c r="B438" s="77" t="n">
        <v>-2.419068</v>
      </c>
      <c r="C438" s="78" t="n">
        <f aca="false">05_Unit_Economics!$B$15*EXP((01_Inputs!$C$20-01_Inputs!$C$21^2/2)*01_Inputs!$C$22+01_Inputs!$C$21*SQRT(01_Inputs!$C$22)*B438)</f>
        <v>23.2088467252887</v>
      </c>
      <c r="D438" s="78" t="n">
        <f aca="false">MAX(C438-05_Unit_Economics!$B$21,0)</f>
        <v>0</v>
      </c>
      <c r="E438" s="78" t="n">
        <f aca="false">D438*EXP(-01_Inputs!$C$20*01_Inputs!$C$22)</f>
        <v>0</v>
      </c>
      <c r="F438" s="79"/>
    </row>
    <row r="439" customFormat="false" ht="15" hidden="false" customHeight="false" outlineLevel="0" collapsed="false">
      <c r="A439" s="76" t="n">
        <v>428</v>
      </c>
      <c r="B439" s="77" t="n">
        <v>2.419068</v>
      </c>
      <c r="C439" s="78" t="n">
        <f aca="false">05_Unit_Economics!$B$15*EXP((01_Inputs!$C$20-01_Inputs!$C$21^2/2)*01_Inputs!$C$22+01_Inputs!$C$21*SQRT(01_Inputs!$C$22)*B439)</f>
        <v>126.201663357929</v>
      </c>
      <c r="D439" s="78" t="n">
        <f aca="false">MAX(C439-05_Unit_Economics!$B$21,0)</f>
        <v>88.2940578834256</v>
      </c>
      <c r="E439" s="78" t="n">
        <f aca="false">D439*EXP(-01_Inputs!$C$20*01_Inputs!$C$22)</f>
        <v>84.4933481128984</v>
      </c>
      <c r="F439" s="80" t="n">
        <f aca="false">AVERAGE(E438:E439)</f>
        <v>42.2466740564492</v>
      </c>
    </row>
    <row r="440" customFormat="false" ht="15" hidden="false" customHeight="false" outlineLevel="0" collapsed="false">
      <c r="A440" s="76" t="n">
        <v>429</v>
      </c>
      <c r="B440" s="77" t="n">
        <v>-1.238326</v>
      </c>
      <c r="C440" s="78" t="n">
        <f aca="false">05_Unit_Economics!$B$15*EXP((01_Inputs!$C$20-01_Inputs!$C$21^2/2)*01_Inputs!$C$22+01_Inputs!$C$21*SQRT(01_Inputs!$C$22)*B440)</f>
        <v>35.0856856254277</v>
      </c>
      <c r="D440" s="78" t="n">
        <f aca="false">MAX(C440-05_Unit_Economics!$B$21,0)</f>
        <v>0</v>
      </c>
      <c r="E440" s="78" t="n">
        <f aca="false">D440*EXP(-01_Inputs!$C$20*01_Inputs!$C$22)</f>
        <v>0</v>
      </c>
      <c r="F440" s="79"/>
    </row>
    <row r="441" customFormat="false" ht="15" hidden="false" customHeight="false" outlineLevel="0" collapsed="false">
      <c r="A441" s="76" t="n">
        <v>430</v>
      </c>
      <c r="B441" s="77" t="n">
        <v>1.238326</v>
      </c>
      <c r="C441" s="78" t="n">
        <f aca="false">05_Unit_Economics!$B$15*EXP((01_Inputs!$C$20-01_Inputs!$C$21^2/2)*01_Inputs!$C$22+01_Inputs!$C$21*SQRT(01_Inputs!$C$22)*B441)</f>
        <v>83.4811977916121</v>
      </c>
      <c r="D441" s="78" t="n">
        <f aca="false">MAX(C441-05_Unit_Economics!$B$21,0)</f>
        <v>45.5735923171086</v>
      </c>
      <c r="E441" s="78" t="n">
        <f aca="false">D441*EXP(-01_Inputs!$C$20*01_Inputs!$C$22)</f>
        <v>43.6118295241203</v>
      </c>
      <c r="F441" s="80" t="n">
        <f aca="false">AVERAGE(E440:E441)</f>
        <v>21.8059147620601</v>
      </c>
    </row>
    <row r="442" customFormat="false" ht="15" hidden="false" customHeight="false" outlineLevel="0" collapsed="false">
      <c r="A442" s="76" t="n">
        <v>431</v>
      </c>
      <c r="B442" s="77" t="n">
        <v>-0.365243</v>
      </c>
      <c r="C442" s="78" t="n">
        <f aca="false">05_Unit_Economics!$B$15*EXP((01_Inputs!$C$20-01_Inputs!$C$21^2/2)*01_Inputs!$C$22+01_Inputs!$C$21*SQRT(01_Inputs!$C$22)*B442)</f>
        <v>47.6256880388507</v>
      </c>
      <c r="D442" s="78" t="n">
        <f aca="false">MAX(C442-05_Unit_Economics!$B$21,0)</f>
        <v>9.7180825643472</v>
      </c>
      <c r="E442" s="78" t="n">
        <f aca="false">D442*EXP(-01_Inputs!$C$20*01_Inputs!$C$22)</f>
        <v>9.29975756900187</v>
      </c>
      <c r="F442" s="79"/>
    </row>
    <row r="443" customFormat="false" ht="15" hidden="false" customHeight="false" outlineLevel="0" collapsed="false">
      <c r="A443" s="76" t="n">
        <v>432</v>
      </c>
      <c r="B443" s="77" t="n">
        <v>0.365243</v>
      </c>
      <c r="C443" s="78" t="n">
        <f aca="false">05_Unit_Economics!$B$15*EXP((01_Inputs!$C$20-01_Inputs!$C$21^2/2)*01_Inputs!$C$22+01_Inputs!$C$21*SQRT(01_Inputs!$C$22)*B443)</f>
        <v>61.5003201415447</v>
      </c>
      <c r="D443" s="78" t="n">
        <f aca="false">MAX(C443-05_Unit_Economics!$B$21,0)</f>
        <v>23.5927146670412</v>
      </c>
      <c r="E443" s="78" t="n">
        <f aca="false">D443*EXP(-01_Inputs!$C$20*01_Inputs!$C$22)</f>
        <v>22.5771416681575</v>
      </c>
      <c r="F443" s="80" t="n">
        <f aca="false">AVERAGE(E442:E443)</f>
        <v>15.9384496185797</v>
      </c>
    </row>
    <row r="444" customFormat="false" ht="15" hidden="false" customHeight="false" outlineLevel="0" collapsed="false">
      <c r="A444" s="76" t="n">
        <v>433</v>
      </c>
      <c r="B444" s="77" t="n">
        <v>-0.785038</v>
      </c>
      <c r="C444" s="78" t="n">
        <f aca="false">05_Unit_Economics!$B$15*EXP((01_Inputs!$C$20-01_Inputs!$C$21^2/2)*01_Inputs!$C$22+01_Inputs!$C$21*SQRT(01_Inputs!$C$22)*B444)</f>
        <v>41.1179197591547</v>
      </c>
      <c r="D444" s="78" t="n">
        <f aca="false">MAX(C444-05_Unit_Economics!$B$21,0)</f>
        <v>3.21031428465119</v>
      </c>
      <c r="E444" s="78" t="n">
        <f aca="false">D444*EXP(-01_Inputs!$C$20*01_Inputs!$C$22)</f>
        <v>3.07212295942921</v>
      </c>
      <c r="F444" s="79"/>
    </row>
    <row r="445" customFormat="false" ht="15" hidden="false" customHeight="false" outlineLevel="0" collapsed="false">
      <c r="A445" s="76" t="n">
        <v>434</v>
      </c>
      <c r="B445" s="77" t="n">
        <v>0.785038</v>
      </c>
      <c r="C445" s="78" t="n">
        <f aca="false">05_Unit_Economics!$B$15*EXP((01_Inputs!$C$20-01_Inputs!$C$21^2/2)*01_Inputs!$C$22+01_Inputs!$C$21*SQRT(01_Inputs!$C$22)*B445)</f>
        <v>71.2340283386668</v>
      </c>
      <c r="D445" s="78" t="n">
        <f aca="false">MAX(C445-05_Unit_Economics!$B$21,0)</f>
        <v>33.3264228641634</v>
      </c>
      <c r="E445" s="78" t="n">
        <f aca="false">D445*EXP(-01_Inputs!$C$20*01_Inputs!$C$22)</f>
        <v>31.8918522482814</v>
      </c>
      <c r="F445" s="80" t="n">
        <f aca="false">AVERAGE(E444:E445)</f>
        <v>17.4819876038553</v>
      </c>
    </row>
    <row r="446" customFormat="false" ht="15" hidden="false" customHeight="false" outlineLevel="0" collapsed="false">
      <c r="A446" s="76" t="n">
        <v>435</v>
      </c>
      <c r="B446" s="77" t="n">
        <v>-0.379417</v>
      </c>
      <c r="C446" s="78" t="n">
        <f aca="false">05_Unit_Economics!$B$15*EXP((01_Inputs!$C$20-01_Inputs!$C$21^2/2)*01_Inputs!$C$22+01_Inputs!$C$21*SQRT(01_Inputs!$C$22)*B446)</f>
        <v>47.3900068418369</v>
      </c>
      <c r="D446" s="78" t="n">
        <f aca="false">MAX(C446-05_Unit_Economics!$B$21,0)</f>
        <v>9.48240136733344</v>
      </c>
      <c r="E446" s="78" t="n">
        <f aca="false">D446*EXP(-01_Inputs!$C$20*01_Inputs!$C$22)</f>
        <v>9.07422151481756</v>
      </c>
      <c r="F446" s="79"/>
    </row>
    <row r="447" customFormat="false" ht="15" hidden="false" customHeight="false" outlineLevel="0" collapsed="false">
      <c r="A447" s="76" t="n">
        <v>436</v>
      </c>
      <c r="B447" s="77" t="n">
        <v>0.379417</v>
      </c>
      <c r="C447" s="78" t="n">
        <f aca="false">05_Unit_Economics!$B$15*EXP((01_Inputs!$C$20-01_Inputs!$C$21^2/2)*01_Inputs!$C$22+01_Inputs!$C$21*SQRT(01_Inputs!$C$22)*B447)</f>
        <v>61.8061751104217</v>
      </c>
      <c r="D447" s="78" t="n">
        <f aca="false">MAX(C447-05_Unit_Economics!$B$21,0)</f>
        <v>23.8985696359182</v>
      </c>
      <c r="E447" s="78" t="n">
        <f aca="false">D447*EXP(-01_Inputs!$C$20*01_Inputs!$C$22)</f>
        <v>22.8698307910371</v>
      </c>
      <c r="F447" s="80" t="n">
        <f aca="false">AVERAGE(E446:E447)</f>
        <v>15.9720261529273</v>
      </c>
    </row>
    <row r="448" customFormat="false" ht="15" hidden="false" customHeight="false" outlineLevel="0" collapsed="false">
      <c r="A448" s="76" t="n">
        <v>437</v>
      </c>
      <c r="B448" s="77" t="n">
        <v>-0.360402</v>
      </c>
      <c r="C448" s="78" t="n">
        <f aca="false">05_Unit_Economics!$B$15*EXP((01_Inputs!$C$20-01_Inputs!$C$21^2/2)*01_Inputs!$C$22+01_Inputs!$C$21*SQRT(01_Inputs!$C$22)*B448)</f>
        <v>47.7064510244403</v>
      </c>
      <c r="D448" s="78" t="n">
        <f aca="false">MAX(C448-05_Unit_Economics!$B$21,0)</f>
        <v>9.79884554993679</v>
      </c>
      <c r="E448" s="78" t="n">
        <f aca="false">D448*EXP(-01_Inputs!$C$20*01_Inputs!$C$22)</f>
        <v>9.37704402767917</v>
      </c>
      <c r="F448" s="79"/>
    </row>
    <row r="449" customFormat="false" ht="15" hidden="false" customHeight="false" outlineLevel="0" collapsed="false">
      <c r="A449" s="76" t="n">
        <v>438</v>
      </c>
      <c r="B449" s="77" t="n">
        <v>0.360402</v>
      </c>
      <c r="C449" s="78" t="n">
        <f aca="false">05_Unit_Economics!$B$15*EXP((01_Inputs!$C$20-01_Inputs!$C$21^2/2)*01_Inputs!$C$22+01_Inputs!$C$21*SQRT(01_Inputs!$C$22)*B449)</f>
        <v>61.3962053025096</v>
      </c>
      <c r="D449" s="78" t="n">
        <f aca="false">MAX(C449-05_Unit_Economics!$B$21,0)</f>
        <v>23.4885998280061</v>
      </c>
      <c r="E449" s="78" t="n">
        <f aca="false">D449*EXP(-01_Inputs!$C$20*01_Inputs!$C$22)</f>
        <v>22.4775085609112</v>
      </c>
      <c r="F449" s="80" t="n">
        <f aca="false">AVERAGE(E448:E449)</f>
        <v>15.9272762942952</v>
      </c>
    </row>
    <row r="450" customFormat="false" ht="15" hidden="false" customHeight="false" outlineLevel="0" collapsed="false">
      <c r="A450" s="76" t="n">
        <v>439</v>
      </c>
      <c r="B450" s="77" t="n">
        <v>1.647543</v>
      </c>
      <c r="C450" s="78" t="n">
        <f aca="false">05_Unit_Economics!$B$15*EXP((01_Inputs!$C$20-01_Inputs!$C$21^2/2)*01_Inputs!$C$22+01_Inputs!$C$21*SQRT(01_Inputs!$C$22)*B450)</f>
        <v>96.3365105465474</v>
      </c>
      <c r="D450" s="78" t="n">
        <f aca="false">MAX(C450-05_Unit_Economics!$B$21,0)</f>
        <v>58.4289050720439</v>
      </c>
      <c r="E450" s="78" t="n">
        <f aca="false">D450*EXP(-01_Inputs!$C$20*01_Inputs!$C$22)</f>
        <v>55.9137719395094</v>
      </c>
      <c r="F450" s="79"/>
    </row>
    <row r="451" customFormat="false" ht="15" hidden="false" customHeight="false" outlineLevel="0" collapsed="false">
      <c r="A451" s="76" t="n">
        <v>440</v>
      </c>
      <c r="B451" s="77" t="n">
        <v>-1.647543</v>
      </c>
      <c r="C451" s="78" t="n">
        <f aca="false">05_Unit_Economics!$B$15*EXP((01_Inputs!$C$20-01_Inputs!$C$21^2/2)*01_Inputs!$C$22+01_Inputs!$C$21*SQRT(01_Inputs!$C$22)*B451)</f>
        <v>30.4037902632506</v>
      </c>
      <c r="D451" s="78" t="n">
        <f aca="false">MAX(C451-05_Unit_Economics!$B$21,0)</f>
        <v>0</v>
      </c>
      <c r="E451" s="78" t="n">
        <f aca="false">D451*EXP(-01_Inputs!$C$20*01_Inputs!$C$22)</f>
        <v>0</v>
      </c>
      <c r="F451" s="80" t="n">
        <f aca="false">AVERAGE(E450:E451)</f>
        <v>27.9568859697547</v>
      </c>
    </row>
    <row r="452" customFormat="false" ht="15" hidden="false" customHeight="false" outlineLevel="0" collapsed="false">
      <c r="A452" s="76" t="n">
        <v>441</v>
      </c>
      <c r="B452" s="77" t="n">
        <v>-0.395623</v>
      </c>
      <c r="C452" s="78" t="n">
        <f aca="false">05_Unit_Economics!$B$15*EXP((01_Inputs!$C$20-01_Inputs!$C$21^2/2)*01_Inputs!$C$22+01_Inputs!$C$21*SQRT(01_Inputs!$C$22)*B452)</f>
        <v>47.1219668774013</v>
      </c>
      <c r="D452" s="78" t="n">
        <f aca="false">MAX(C452-05_Unit_Economics!$B$21,0)</f>
        <v>9.21436140289779</v>
      </c>
      <c r="E452" s="78" t="n">
        <f aca="false">D452*EXP(-01_Inputs!$C$20*01_Inputs!$C$22)</f>
        <v>8.81771961008994</v>
      </c>
      <c r="F452" s="79"/>
    </row>
    <row r="453" customFormat="false" ht="15" hidden="false" customHeight="false" outlineLevel="0" collapsed="false">
      <c r="A453" s="76" t="n">
        <v>442</v>
      </c>
      <c r="B453" s="77" t="n">
        <v>0.395623</v>
      </c>
      <c r="C453" s="78" t="n">
        <f aca="false">05_Unit_Economics!$B$15*EXP((01_Inputs!$C$20-01_Inputs!$C$21^2/2)*01_Inputs!$C$22+01_Inputs!$C$21*SQRT(01_Inputs!$C$22)*B453)</f>
        <v>62.1577420350707</v>
      </c>
      <c r="D453" s="78" t="n">
        <f aca="false">MAX(C453-05_Unit_Economics!$B$21,0)</f>
        <v>24.2501365605672</v>
      </c>
      <c r="E453" s="78" t="n">
        <f aca="false">D453*EXP(-01_Inputs!$C$20*01_Inputs!$C$22)</f>
        <v>23.2062641508966</v>
      </c>
      <c r="F453" s="80" t="n">
        <f aca="false">AVERAGE(E452:E453)</f>
        <v>16.0119918804933</v>
      </c>
    </row>
    <row r="454" customFormat="false" ht="15" hidden="false" customHeight="false" outlineLevel="0" collapsed="false">
      <c r="A454" s="76" t="n">
        <v>443</v>
      </c>
      <c r="B454" s="77" t="n">
        <v>-0.494199</v>
      </c>
      <c r="C454" s="78" t="n">
        <f aca="false">05_Unit_Economics!$B$15*EXP((01_Inputs!$C$20-01_Inputs!$C$21^2/2)*01_Inputs!$C$22+01_Inputs!$C$21*SQRT(01_Inputs!$C$22)*B454)</f>
        <v>45.5239099050363</v>
      </c>
      <c r="D454" s="78" t="n">
        <f aca="false">MAX(C454-05_Unit_Economics!$B$21,0)</f>
        <v>7.61630443053285</v>
      </c>
      <c r="E454" s="78" t="n">
        <f aca="false">D454*EXP(-01_Inputs!$C$20*01_Inputs!$C$22)</f>
        <v>7.28845266611791</v>
      </c>
      <c r="F454" s="79"/>
    </row>
    <row r="455" customFormat="false" ht="15" hidden="false" customHeight="false" outlineLevel="0" collapsed="false">
      <c r="A455" s="76" t="n">
        <v>444</v>
      </c>
      <c r="B455" s="77" t="n">
        <v>0.494199</v>
      </c>
      <c r="C455" s="78" t="n">
        <f aca="false">05_Unit_Economics!$B$15*EXP((01_Inputs!$C$20-01_Inputs!$C$21^2/2)*01_Inputs!$C$22+01_Inputs!$C$21*SQRT(01_Inputs!$C$22)*B455)</f>
        <v>64.339707803231</v>
      </c>
      <c r="D455" s="78" t="n">
        <f aca="false">MAX(C455-05_Unit_Economics!$B$21,0)</f>
        <v>26.4321023287276</v>
      </c>
      <c r="E455" s="78" t="n">
        <f aca="false">D455*EXP(-01_Inputs!$C$20*01_Inputs!$C$22)</f>
        <v>25.2943049278084</v>
      </c>
      <c r="F455" s="80" t="n">
        <f aca="false">AVERAGE(E454:E455)</f>
        <v>16.2913787969631</v>
      </c>
    </row>
    <row r="456" customFormat="false" ht="15" hidden="false" customHeight="false" outlineLevel="0" collapsed="false">
      <c r="A456" s="76" t="n">
        <v>445</v>
      </c>
      <c r="B456" s="77" t="n">
        <v>-0.112616</v>
      </c>
      <c r="C456" s="78" t="n">
        <f aca="false">05_Unit_Economics!$B$15*EXP((01_Inputs!$C$20-01_Inputs!$C$21^2/2)*01_Inputs!$C$22+01_Inputs!$C$21*SQRT(01_Inputs!$C$22)*B456)</f>
        <v>52.0285044217615</v>
      </c>
      <c r="D456" s="78" t="n">
        <f aca="false">MAX(C456-05_Unit_Economics!$B$21,0)</f>
        <v>14.120898947258</v>
      </c>
      <c r="E456" s="78" t="n">
        <f aca="false">D456*EXP(-01_Inputs!$C$20*01_Inputs!$C$22)</f>
        <v>13.5130501306556</v>
      </c>
      <c r="F456" s="79"/>
    </row>
    <row r="457" customFormat="false" ht="15" hidden="false" customHeight="false" outlineLevel="0" collapsed="false">
      <c r="A457" s="76" t="n">
        <v>446</v>
      </c>
      <c r="B457" s="77" t="n">
        <v>0.112616</v>
      </c>
      <c r="C457" s="78" t="n">
        <f aca="false">05_Unit_Economics!$B$15*EXP((01_Inputs!$C$20-01_Inputs!$C$21^2/2)*01_Inputs!$C$22+01_Inputs!$C$21*SQRT(01_Inputs!$C$22)*B457)</f>
        <v>56.2959687944743</v>
      </c>
      <c r="D457" s="78" t="n">
        <f aca="false">MAX(C457-05_Unit_Economics!$B$21,0)</f>
        <v>18.3883633199708</v>
      </c>
      <c r="E457" s="78" t="n">
        <f aca="false">D457*EXP(-01_Inputs!$C$20*01_Inputs!$C$22)</f>
        <v>17.5968170504983</v>
      </c>
      <c r="F457" s="80" t="n">
        <f aca="false">AVERAGE(E456:E457)</f>
        <v>15.5549335905769</v>
      </c>
    </row>
    <row r="458" customFormat="false" ht="15" hidden="false" customHeight="false" outlineLevel="0" collapsed="false">
      <c r="A458" s="76" t="n">
        <v>447</v>
      </c>
      <c r="B458" s="77" t="n">
        <v>-1.255043</v>
      </c>
      <c r="C458" s="78" t="n">
        <f aca="false">05_Unit_Economics!$B$15*EXP((01_Inputs!$C$20-01_Inputs!$C$21^2/2)*01_Inputs!$C$22+01_Inputs!$C$21*SQRT(01_Inputs!$C$22)*B458)</f>
        <v>34.8810004184993</v>
      </c>
      <c r="D458" s="78" t="n">
        <f aca="false">MAX(C458-05_Unit_Economics!$B$21,0)</f>
        <v>0</v>
      </c>
      <c r="E458" s="78" t="n">
        <f aca="false">D458*EXP(-01_Inputs!$C$20*01_Inputs!$C$22)</f>
        <v>0</v>
      </c>
      <c r="F458" s="79"/>
    </row>
    <row r="459" customFormat="false" ht="15" hidden="false" customHeight="false" outlineLevel="0" collapsed="false">
      <c r="A459" s="76" t="n">
        <v>448</v>
      </c>
      <c r="B459" s="77" t="n">
        <v>1.255043</v>
      </c>
      <c r="C459" s="78" t="n">
        <f aca="false">05_Unit_Economics!$B$15*EXP((01_Inputs!$C$20-01_Inputs!$C$21^2/2)*01_Inputs!$C$22+01_Inputs!$C$21*SQRT(01_Inputs!$C$22)*B459)</f>
        <v>83.9710738284114</v>
      </c>
      <c r="D459" s="78" t="n">
        <f aca="false">MAX(C459-05_Unit_Economics!$B$21,0)</f>
        <v>46.063468353908</v>
      </c>
      <c r="E459" s="78" t="n">
        <f aca="false">D459*EXP(-01_Inputs!$C$20*01_Inputs!$C$22)</f>
        <v>44.0806183362067</v>
      </c>
      <c r="F459" s="80" t="n">
        <f aca="false">AVERAGE(E458:E459)</f>
        <v>22.0403091681033</v>
      </c>
    </row>
    <row r="460" customFormat="false" ht="15" hidden="false" customHeight="false" outlineLevel="0" collapsed="false">
      <c r="A460" s="76" t="n">
        <v>449</v>
      </c>
      <c r="B460" s="77" t="n">
        <v>-0.676365</v>
      </c>
      <c r="C460" s="78" t="n">
        <f aca="false">05_Unit_Economics!$B$15*EXP((01_Inputs!$C$20-01_Inputs!$C$21^2/2)*01_Inputs!$C$22+01_Inputs!$C$21*SQRT(01_Inputs!$C$22)*B460)</f>
        <v>42.7119858689341</v>
      </c>
      <c r="D460" s="78" t="n">
        <f aca="false">MAX(C460-05_Unit_Economics!$B$21,0)</f>
        <v>4.8043803944306</v>
      </c>
      <c r="E460" s="78" t="n">
        <f aca="false">D460*EXP(-01_Inputs!$C$20*01_Inputs!$C$22)</f>
        <v>4.59757083165628</v>
      </c>
      <c r="F460" s="79"/>
    </row>
    <row r="461" customFormat="false" ht="15" hidden="false" customHeight="false" outlineLevel="0" collapsed="false">
      <c r="A461" s="76" t="n">
        <v>450</v>
      </c>
      <c r="B461" s="77" t="n">
        <v>0.676365</v>
      </c>
      <c r="C461" s="78" t="n">
        <f aca="false">05_Unit_Economics!$B$15*EXP((01_Inputs!$C$20-01_Inputs!$C$21^2/2)*01_Inputs!$C$22+01_Inputs!$C$21*SQRT(01_Inputs!$C$22)*B461)</f>
        <v>68.5754830116905</v>
      </c>
      <c r="D461" s="78" t="n">
        <f aca="false">MAX(C461-05_Unit_Economics!$B$21,0)</f>
        <v>30.667877537187</v>
      </c>
      <c r="E461" s="78" t="n">
        <f aca="false">D461*EXP(-01_Inputs!$C$20*01_Inputs!$C$22)</f>
        <v>29.3477467765099</v>
      </c>
      <c r="F461" s="80" t="n">
        <f aca="false">AVERAGE(E460:E461)</f>
        <v>16.9726588040831</v>
      </c>
    </row>
    <row r="462" customFormat="false" ht="15" hidden="false" customHeight="false" outlineLevel="0" collapsed="false">
      <c r="A462" s="76" t="n">
        <v>451</v>
      </c>
      <c r="B462" s="77" t="n">
        <v>-0.027197</v>
      </c>
      <c r="C462" s="78" t="n">
        <f aca="false">05_Unit_Economics!$B$15*EXP((01_Inputs!$C$20-01_Inputs!$C$21^2/2)*01_Inputs!$C$22+01_Inputs!$C$21*SQRT(01_Inputs!$C$22)*B462)</f>
        <v>53.6074676581358</v>
      </c>
      <c r="D462" s="78" t="n">
        <f aca="false">MAX(C462-05_Unit_Economics!$B$21,0)</f>
        <v>15.6998621836323</v>
      </c>
      <c r="E462" s="78" t="n">
        <f aca="false">D462*EXP(-01_Inputs!$C$20*01_Inputs!$C$22)</f>
        <v>15.0240452484084</v>
      </c>
      <c r="F462" s="79"/>
    </row>
    <row r="463" customFormat="false" ht="15" hidden="false" customHeight="false" outlineLevel="0" collapsed="false">
      <c r="A463" s="76" t="n">
        <v>452</v>
      </c>
      <c r="B463" s="77" t="n">
        <v>0.027197</v>
      </c>
      <c r="C463" s="78" t="n">
        <f aca="false">05_Unit_Economics!$B$15*EXP((01_Inputs!$C$20-01_Inputs!$C$21^2/2)*01_Inputs!$C$22+01_Inputs!$C$21*SQRT(01_Inputs!$C$22)*B463)</f>
        <v>54.6378180000848</v>
      </c>
      <c r="D463" s="78" t="n">
        <f aca="false">MAX(C463-05_Unit_Economics!$B$21,0)</f>
        <v>16.7302125255813</v>
      </c>
      <c r="E463" s="78" t="n">
        <f aca="false">D463*EXP(-01_Inputs!$C$20*01_Inputs!$C$22)</f>
        <v>16.0100430857201</v>
      </c>
      <c r="F463" s="80" t="n">
        <f aca="false">AVERAGE(E462:E463)</f>
        <v>15.5170441670643</v>
      </c>
    </row>
    <row r="464" customFormat="false" ht="15" hidden="false" customHeight="false" outlineLevel="0" collapsed="false">
      <c r="A464" s="76" t="n">
        <v>453</v>
      </c>
      <c r="B464" s="77" t="n">
        <v>-1.549406</v>
      </c>
      <c r="C464" s="78" t="n">
        <f aca="false">05_Unit_Economics!$B$15*EXP((01_Inputs!$C$20-01_Inputs!$C$21^2/2)*01_Inputs!$C$22+01_Inputs!$C$21*SQRT(01_Inputs!$C$22)*B464)</f>
        <v>31.4662401662397</v>
      </c>
      <c r="D464" s="78" t="n">
        <f aca="false">MAX(C464-05_Unit_Economics!$B$21,0)</f>
        <v>0</v>
      </c>
      <c r="E464" s="78" t="n">
        <f aca="false">D464*EXP(-01_Inputs!$C$20*01_Inputs!$C$22)</f>
        <v>0</v>
      </c>
      <c r="F464" s="79"/>
    </row>
    <row r="465" customFormat="false" ht="15" hidden="false" customHeight="false" outlineLevel="0" collapsed="false">
      <c r="A465" s="76" t="n">
        <v>454</v>
      </c>
      <c r="B465" s="77" t="n">
        <v>1.549406</v>
      </c>
      <c r="C465" s="78" t="n">
        <f aca="false">05_Unit_Economics!$B$15*EXP((01_Inputs!$C$20-01_Inputs!$C$21^2/2)*01_Inputs!$C$22+01_Inputs!$C$21*SQRT(01_Inputs!$C$22)*B465)</f>
        <v>93.0837318305727</v>
      </c>
      <c r="D465" s="78" t="n">
        <f aca="false">MAX(C465-05_Unit_Economics!$B$21,0)</f>
        <v>55.1761263560693</v>
      </c>
      <c r="E465" s="78" t="n">
        <f aca="false">D465*EXP(-01_Inputs!$C$20*01_Inputs!$C$22)</f>
        <v>52.8010124744734</v>
      </c>
      <c r="F465" s="80" t="n">
        <f aca="false">AVERAGE(E464:E465)</f>
        <v>26.4005062372367</v>
      </c>
    </row>
    <row r="466" customFormat="false" ht="15" hidden="false" customHeight="false" outlineLevel="0" collapsed="false">
      <c r="A466" s="76" t="n">
        <v>455</v>
      </c>
      <c r="B466" s="77" t="n">
        <v>1.818717</v>
      </c>
      <c r="C466" s="78" t="n">
        <f aca="false">05_Unit_Economics!$B$15*EXP((01_Inputs!$C$20-01_Inputs!$C$21^2/2)*01_Inputs!$C$22+01_Inputs!$C$21*SQRT(01_Inputs!$C$22)*B466)</f>
        <v>102.284513708784</v>
      </c>
      <c r="D466" s="78" t="n">
        <f aca="false">MAX(C466-05_Unit_Economics!$B$21,0)</f>
        <v>64.3769082342809</v>
      </c>
      <c r="E466" s="78" t="n">
        <f aca="false">D466*EXP(-01_Inputs!$C$20*01_Inputs!$C$22)</f>
        <v>61.6057371046743</v>
      </c>
      <c r="F466" s="79"/>
    </row>
    <row r="467" customFormat="false" ht="15" hidden="false" customHeight="false" outlineLevel="0" collapsed="false">
      <c r="A467" s="76" t="n">
        <v>456</v>
      </c>
      <c r="B467" s="77" t="n">
        <v>-1.818717</v>
      </c>
      <c r="C467" s="78" t="n">
        <f aca="false">05_Unit_Economics!$B$15*EXP((01_Inputs!$C$20-01_Inputs!$C$21^2/2)*01_Inputs!$C$22+01_Inputs!$C$21*SQRT(01_Inputs!$C$22)*B467)</f>
        <v>28.6357626892555</v>
      </c>
      <c r="D467" s="78" t="n">
        <f aca="false">MAX(C467-05_Unit_Economics!$B$21,0)</f>
        <v>0</v>
      </c>
      <c r="E467" s="78" t="n">
        <f aca="false">D467*EXP(-01_Inputs!$C$20*01_Inputs!$C$22)</f>
        <v>0</v>
      </c>
      <c r="F467" s="80" t="n">
        <f aca="false">AVERAGE(E466:E467)</f>
        <v>30.8028685523371</v>
      </c>
    </row>
    <row r="468" customFormat="false" ht="15" hidden="false" customHeight="false" outlineLevel="0" collapsed="false">
      <c r="A468" s="76" t="n">
        <v>457</v>
      </c>
      <c r="B468" s="77" t="n">
        <v>1.867246</v>
      </c>
      <c r="C468" s="78" t="n">
        <f aca="false">05_Unit_Economics!$B$15*EXP((01_Inputs!$C$20-01_Inputs!$C$21^2/2)*01_Inputs!$C$22+01_Inputs!$C$21*SQRT(01_Inputs!$C$22)*B468)</f>
        <v>104.036669709186</v>
      </c>
      <c r="D468" s="78" t="n">
        <f aca="false">MAX(C468-05_Unit_Economics!$B$21,0)</f>
        <v>66.1290642346821</v>
      </c>
      <c r="E468" s="78" t="n">
        <f aca="false">D468*EXP(-01_Inputs!$C$20*01_Inputs!$C$22)</f>
        <v>63.2824697233683</v>
      </c>
      <c r="F468" s="79"/>
    </row>
    <row r="469" customFormat="false" ht="15" hidden="false" customHeight="false" outlineLevel="0" collapsed="false">
      <c r="A469" s="76" t="n">
        <v>458</v>
      </c>
      <c r="B469" s="77" t="n">
        <v>-1.867246</v>
      </c>
      <c r="C469" s="78" t="n">
        <f aca="false">05_Unit_Economics!$B$15*EXP((01_Inputs!$C$20-01_Inputs!$C$21^2/2)*01_Inputs!$C$22+01_Inputs!$C$21*SQRT(01_Inputs!$C$22)*B469)</f>
        <v>28.153487318828</v>
      </c>
      <c r="D469" s="78" t="n">
        <f aca="false">MAX(C469-05_Unit_Economics!$B$21,0)</f>
        <v>0</v>
      </c>
      <c r="E469" s="78" t="n">
        <f aca="false">D469*EXP(-01_Inputs!$C$20*01_Inputs!$C$22)</f>
        <v>0</v>
      </c>
      <c r="F469" s="80" t="n">
        <f aca="false">AVERAGE(E468:E469)</f>
        <v>31.6412348616841</v>
      </c>
    </row>
    <row r="470" customFormat="false" ht="15" hidden="false" customHeight="false" outlineLevel="0" collapsed="false">
      <c r="A470" s="76" t="n">
        <v>459</v>
      </c>
      <c r="B470" s="77" t="n">
        <v>1.620319</v>
      </c>
      <c r="C470" s="78" t="n">
        <f aca="false">05_Unit_Economics!$B$15*EXP((01_Inputs!$C$20-01_Inputs!$C$21^2/2)*01_Inputs!$C$22+01_Inputs!$C$21*SQRT(01_Inputs!$C$22)*B470)</f>
        <v>95.422937098044</v>
      </c>
      <c r="D470" s="78" t="n">
        <f aca="false">MAX(C470-05_Unit_Economics!$B$21,0)</f>
        <v>57.5153316235405</v>
      </c>
      <c r="E470" s="78" t="n">
        <f aca="false">D470*EXP(-01_Inputs!$C$20*01_Inputs!$C$22)</f>
        <v>55.0395242125218</v>
      </c>
      <c r="F470" s="79"/>
    </row>
    <row r="471" customFormat="false" ht="15" hidden="false" customHeight="false" outlineLevel="0" collapsed="false">
      <c r="A471" s="76" t="n">
        <v>460</v>
      </c>
      <c r="B471" s="77" t="n">
        <v>-1.620319</v>
      </c>
      <c r="C471" s="78" t="n">
        <f aca="false">05_Unit_Economics!$B$15*EXP((01_Inputs!$C$20-01_Inputs!$C$21^2/2)*01_Inputs!$C$22+01_Inputs!$C$21*SQRT(01_Inputs!$C$22)*B471)</f>
        <v>30.6948743187521</v>
      </c>
      <c r="D471" s="78" t="n">
        <f aca="false">MAX(C471-05_Unit_Economics!$B$21,0)</f>
        <v>0</v>
      </c>
      <c r="E471" s="78" t="n">
        <f aca="false">D471*EXP(-01_Inputs!$C$20*01_Inputs!$C$22)</f>
        <v>0</v>
      </c>
      <c r="F471" s="80" t="n">
        <f aca="false">AVERAGE(E470:E471)</f>
        <v>27.5197621062609</v>
      </c>
    </row>
    <row r="472" customFormat="false" ht="15" hidden="false" customHeight="false" outlineLevel="0" collapsed="false">
      <c r="A472" s="76" t="n">
        <v>461</v>
      </c>
      <c r="B472" s="77" t="n">
        <v>0.050395</v>
      </c>
      <c r="C472" s="78" t="n">
        <f aca="false">05_Unit_Economics!$B$15*EXP((01_Inputs!$C$20-01_Inputs!$C$21^2/2)*01_Inputs!$C$22+01_Inputs!$C$21*SQRT(01_Inputs!$C$22)*B472)</f>
        <v>55.0832446651466</v>
      </c>
      <c r="D472" s="78" t="n">
        <f aca="false">MAX(C472-05_Unit_Economics!$B$21,0)</f>
        <v>17.1756391906432</v>
      </c>
      <c r="E472" s="78" t="n">
        <f aca="false">D472*EXP(-01_Inputs!$C$20*01_Inputs!$C$22)</f>
        <v>16.4362958956151</v>
      </c>
      <c r="F472" s="79"/>
    </row>
    <row r="473" customFormat="false" ht="15" hidden="false" customHeight="false" outlineLevel="0" collapsed="false">
      <c r="A473" s="76" t="n">
        <v>462</v>
      </c>
      <c r="B473" s="77" t="n">
        <v>-0.050395</v>
      </c>
      <c r="C473" s="78" t="n">
        <f aca="false">05_Unit_Economics!$B$15*EXP((01_Inputs!$C$20-01_Inputs!$C$21^2/2)*01_Inputs!$C$22+01_Inputs!$C$21*SQRT(01_Inputs!$C$22)*B473)</f>
        <v>53.1739747568637</v>
      </c>
      <c r="D473" s="78" t="n">
        <f aca="false">MAX(C473-05_Unit_Economics!$B$21,0)</f>
        <v>15.2663692823602</v>
      </c>
      <c r="E473" s="78" t="n">
        <f aca="false">D473*EXP(-01_Inputs!$C$20*01_Inputs!$C$22)</f>
        <v>14.6092125009995</v>
      </c>
      <c r="F473" s="80" t="n">
        <f aca="false">AVERAGE(E472:E473)</f>
        <v>15.5227541983073</v>
      </c>
    </row>
    <row r="474" customFormat="false" ht="15" hidden="false" customHeight="false" outlineLevel="0" collapsed="false">
      <c r="A474" s="76" t="n">
        <v>463</v>
      </c>
      <c r="B474" s="77" t="n">
        <v>-0.331501</v>
      </c>
      <c r="C474" s="78" t="n">
        <f aca="false">05_Unit_Economics!$B$15*EXP((01_Inputs!$C$20-01_Inputs!$C$21^2/2)*01_Inputs!$C$22+01_Inputs!$C$21*SQRT(01_Inputs!$C$22)*B474)</f>
        <v>48.191467393396</v>
      </c>
      <c r="D474" s="78" t="n">
        <f aca="false">MAX(C474-05_Unit_Economics!$B$21,0)</f>
        <v>10.2838619188925</v>
      </c>
      <c r="E474" s="78" t="n">
        <f aca="false">D474*EXP(-01_Inputs!$C$20*01_Inputs!$C$22)</f>
        <v>9.84118236139056</v>
      </c>
      <c r="F474" s="79"/>
    </row>
    <row r="475" customFormat="false" ht="15" hidden="false" customHeight="false" outlineLevel="0" collapsed="false">
      <c r="A475" s="76" t="n">
        <v>464</v>
      </c>
      <c r="B475" s="77" t="n">
        <v>0.331501</v>
      </c>
      <c r="C475" s="78" t="n">
        <f aca="false">05_Unit_Economics!$B$15*EXP((01_Inputs!$C$20-01_Inputs!$C$21^2/2)*01_Inputs!$C$22+01_Inputs!$C$21*SQRT(01_Inputs!$C$22)*B475)</f>
        <v>60.7782916722729</v>
      </c>
      <c r="D475" s="78" t="n">
        <f aca="false">MAX(C475-05_Unit_Economics!$B$21,0)</f>
        <v>22.8706861977695</v>
      </c>
      <c r="E475" s="78" t="n">
        <f aca="false">D475*EXP(-01_Inputs!$C$20*01_Inputs!$C$22)</f>
        <v>21.8861936670797</v>
      </c>
      <c r="F475" s="80" t="n">
        <f aca="false">AVERAGE(E474:E475)</f>
        <v>15.8636880142351</v>
      </c>
    </row>
    <row r="476" customFormat="false" ht="15" hidden="false" customHeight="false" outlineLevel="0" collapsed="false">
      <c r="A476" s="76" t="n">
        <v>465</v>
      </c>
      <c r="B476" s="77" t="n">
        <v>-0.344249</v>
      </c>
      <c r="C476" s="78" t="n">
        <f aca="false">05_Unit_Economics!$B$15*EXP((01_Inputs!$C$20-01_Inputs!$C$21^2/2)*01_Inputs!$C$22+01_Inputs!$C$21*SQRT(01_Inputs!$C$22)*B476)</f>
        <v>47.9769256812044</v>
      </c>
      <c r="D476" s="78" t="n">
        <f aca="false">MAX(C476-05_Unit_Economics!$B$21,0)</f>
        <v>10.0693202067009</v>
      </c>
      <c r="E476" s="78" t="n">
        <f aca="false">D476*EXP(-01_Inputs!$C$20*01_Inputs!$C$22)</f>
        <v>9.63587582086572</v>
      </c>
      <c r="F476" s="79"/>
    </row>
    <row r="477" customFormat="false" ht="15" hidden="false" customHeight="false" outlineLevel="0" collapsed="false">
      <c r="A477" s="76" t="n">
        <v>466</v>
      </c>
      <c r="B477" s="77" t="n">
        <v>0.344249</v>
      </c>
      <c r="C477" s="78" t="n">
        <f aca="false">05_Unit_Economics!$B$15*EXP((01_Inputs!$C$20-01_Inputs!$C$21^2/2)*01_Inputs!$C$22+01_Inputs!$C$21*SQRT(01_Inputs!$C$22)*B477)</f>
        <v>61.0500781315825</v>
      </c>
      <c r="D477" s="78" t="n">
        <f aca="false">MAX(C477-05_Unit_Economics!$B$21,0)</f>
        <v>23.142472657079</v>
      </c>
      <c r="E477" s="78" t="n">
        <f aca="false">D477*EXP(-01_Inputs!$C$20*01_Inputs!$C$22)</f>
        <v>22.1462807949035</v>
      </c>
      <c r="F477" s="80" t="n">
        <f aca="false">AVERAGE(E476:E477)</f>
        <v>15.8910783078846</v>
      </c>
    </row>
    <row r="478" customFormat="false" ht="15" hidden="false" customHeight="false" outlineLevel="0" collapsed="false">
      <c r="A478" s="76" t="n">
        <v>467</v>
      </c>
      <c r="B478" s="77" t="n">
        <v>0.475086</v>
      </c>
      <c r="C478" s="78" t="n">
        <f aca="false">05_Unit_Economics!$B$15*EXP((01_Inputs!$C$20-01_Inputs!$C$21^2/2)*01_Inputs!$C$22+01_Inputs!$C$21*SQRT(01_Inputs!$C$22)*B478)</f>
        <v>63.9107405096674</v>
      </c>
      <c r="D478" s="78" t="n">
        <f aca="false">MAX(C478-05_Unit_Economics!$B$21,0)</f>
        <v>26.003135035164</v>
      </c>
      <c r="E478" s="78" t="n">
        <f aca="false">D478*EXP(-01_Inputs!$C$20*01_Inputs!$C$22)</f>
        <v>24.8838029786062</v>
      </c>
      <c r="F478" s="79"/>
    </row>
    <row r="479" customFormat="false" ht="15" hidden="false" customHeight="false" outlineLevel="0" collapsed="false">
      <c r="A479" s="76" t="n">
        <v>468</v>
      </c>
      <c r="B479" s="77" t="n">
        <v>-0.475086</v>
      </c>
      <c r="C479" s="78" t="n">
        <f aca="false">05_Unit_Economics!$B$15*EXP((01_Inputs!$C$20-01_Inputs!$C$21^2/2)*01_Inputs!$C$22+01_Inputs!$C$21*SQRT(01_Inputs!$C$22)*B479)</f>
        <v>45.8294652509557</v>
      </c>
      <c r="D479" s="78" t="n">
        <f aca="false">MAX(C479-05_Unit_Economics!$B$21,0)</f>
        <v>7.92185977645226</v>
      </c>
      <c r="E479" s="78" t="n">
        <f aca="false">D479*EXP(-01_Inputs!$C$20*01_Inputs!$C$22)</f>
        <v>7.58085506362253</v>
      </c>
      <c r="F479" s="80" t="n">
        <f aca="false">AVERAGE(E478:E479)</f>
        <v>16.2323290211144</v>
      </c>
    </row>
    <row r="480" customFormat="false" ht="15" hidden="false" customHeight="false" outlineLevel="0" collapsed="false">
      <c r="A480" s="76" t="n">
        <v>469</v>
      </c>
      <c r="B480" s="77" t="n">
        <v>0.624166</v>
      </c>
      <c r="C480" s="78" t="n">
        <f aca="false">05_Unit_Economics!$B$15*EXP((01_Inputs!$C$20-01_Inputs!$C$21^2/2)*01_Inputs!$C$22+01_Inputs!$C$21*SQRT(01_Inputs!$C$22)*B480)</f>
        <v>67.3340081257542</v>
      </c>
      <c r="D480" s="78" t="n">
        <f aca="false">MAX(C480-05_Unit_Economics!$B$21,0)</f>
        <v>29.4264026512508</v>
      </c>
      <c r="E480" s="78" t="n">
        <f aca="false">D480*EXP(-01_Inputs!$C$20*01_Inputs!$C$22)</f>
        <v>28.1597124713098</v>
      </c>
      <c r="F480" s="79"/>
    </row>
    <row r="481" customFormat="false" ht="15" hidden="false" customHeight="false" outlineLevel="0" collapsed="false">
      <c r="A481" s="76" t="n">
        <v>470</v>
      </c>
      <c r="B481" s="77" t="n">
        <v>-0.624166</v>
      </c>
      <c r="C481" s="78" t="n">
        <f aca="false">05_Unit_Economics!$B$15*EXP((01_Inputs!$C$20-01_Inputs!$C$21^2/2)*01_Inputs!$C$22+01_Inputs!$C$21*SQRT(01_Inputs!$C$22)*B481)</f>
        <v>43.4994907161981</v>
      </c>
      <c r="D481" s="78" t="n">
        <f aca="false">MAX(C481-05_Unit_Economics!$B$21,0)</f>
        <v>5.59188524169461</v>
      </c>
      <c r="E481" s="78" t="n">
        <f aca="false">D481*EXP(-01_Inputs!$C$20*01_Inputs!$C$22)</f>
        <v>5.35117671177478</v>
      </c>
      <c r="F481" s="80" t="n">
        <f aca="false">AVERAGE(E480:E481)</f>
        <v>16.7554445915423</v>
      </c>
    </row>
    <row r="482" customFormat="false" ht="15" hidden="false" customHeight="false" outlineLevel="0" collapsed="false">
      <c r="A482" s="76" t="n">
        <v>471</v>
      </c>
      <c r="B482" s="77" t="n">
        <v>-0.020159</v>
      </c>
      <c r="C482" s="78" t="n">
        <f aca="false">05_Unit_Economics!$B$15*EXP((01_Inputs!$C$20-01_Inputs!$C$21^2/2)*01_Inputs!$C$22+01_Inputs!$C$21*SQRT(01_Inputs!$C$22)*B482)</f>
        <v>53.7396817077978</v>
      </c>
      <c r="D482" s="78" t="n">
        <f aca="false">MAX(C482-05_Unit_Economics!$B$21,0)</f>
        <v>15.8320762332943</v>
      </c>
      <c r="E482" s="78" t="n">
        <f aca="false">D482*EXP(-01_Inputs!$C$20*01_Inputs!$C$22)</f>
        <v>15.150568006466</v>
      </c>
      <c r="F482" s="79"/>
    </row>
    <row r="483" customFormat="false" ht="15" hidden="false" customHeight="false" outlineLevel="0" collapsed="false">
      <c r="A483" s="76" t="n">
        <v>472</v>
      </c>
      <c r="B483" s="77" t="n">
        <v>0.020159</v>
      </c>
      <c r="C483" s="78" t="n">
        <f aca="false">05_Unit_Economics!$B$15*EXP((01_Inputs!$C$20-01_Inputs!$C$21^2/2)*01_Inputs!$C$22+01_Inputs!$C$21*SQRT(01_Inputs!$C$22)*B483)</f>
        <v>54.5033942939347</v>
      </c>
      <c r="D483" s="78" t="n">
        <f aca="false">MAX(C483-05_Unit_Economics!$B$21,0)</f>
        <v>16.5957888194312</v>
      </c>
      <c r="E483" s="78" t="n">
        <f aca="false">D483*EXP(-01_Inputs!$C$20*01_Inputs!$C$22)</f>
        <v>15.8814057881416</v>
      </c>
      <c r="F483" s="80" t="n">
        <f aca="false">AVERAGE(E482:E483)</f>
        <v>15.5159868973038</v>
      </c>
    </row>
    <row r="484" customFormat="false" ht="15" hidden="false" customHeight="false" outlineLevel="0" collapsed="false">
      <c r="A484" s="76" t="n">
        <v>473</v>
      </c>
      <c r="B484" s="77" t="n">
        <v>1.220958</v>
      </c>
      <c r="C484" s="78" t="n">
        <f aca="false">05_Unit_Economics!$B$15*EXP((01_Inputs!$C$20-01_Inputs!$C$21^2/2)*01_Inputs!$C$22+01_Inputs!$C$21*SQRT(01_Inputs!$C$22)*B484)</f>
        <v>82.9752715565817</v>
      </c>
      <c r="D484" s="78" t="n">
        <f aca="false">MAX(C484-05_Unit_Economics!$B$21,0)</f>
        <v>45.0676660820782</v>
      </c>
      <c r="E484" s="78" t="n">
        <f aca="false">D484*EXP(-01_Inputs!$C$20*01_Inputs!$C$22)</f>
        <v>43.1276814113185</v>
      </c>
      <c r="F484" s="79"/>
    </row>
    <row r="485" customFormat="false" ht="15" hidden="false" customHeight="false" outlineLevel="0" collapsed="false">
      <c r="A485" s="76" t="n">
        <v>474</v>
      </c>
      <c r="B485" s="77" t="n">
        <v>-1.220958</v>
      </c>
      <c r="C485" s="78" t="n">
        <f aca="false">05_Unit_Economics!$B$15*EXP((01_Inputs!$C$20-01_Inputs!$C$21^2/2)*01_Inputs!$C$22+01_Inputs!$C$21*SQRT(01_Inputs!$C$22)*B485)</f>
        <v>35.2996140464975</v>
      </c>
      <c r="D485" s="78" t="n">
        <f aca="false">MAX(C485-05_Unit_Economics!$B$21,0)</f>
        <v>0</v>
      </c>
      <c r="E485" s="78" t="n">
        <f aca="false">D485*EXP(-01_Inputs!$C$20*01_Inputs!$C$22)</f>
        <v>0</v>
      </c>
      <c r="F485" s="80" t="n">
        <f aca="false">AVERAGE(E484:E485)</f>
        <v>21.5638407056593</v>
      </c>
    </row>
    <row r="486" customFormat="false" ht="15" hidden="false" customHeight="false" outlineLevel="0" collapsed="false">
      <c r="A486" s="76" t="n">
        <v>475</v>
      </c>
      <c r="B486" s="77" t="n">
        <v>-0.374166</v>
      </c>
      <c r="C486" s="78" t="n">
        <f aca="false">05_Unit_Economics!$B$15*EXP((01_Inputs!$C$20-01_Inputs!$C$21^2/2)*01_Inputs!$C$22+01_Inputs!$C$21*SQRT(01_Inputs!$C$22)*B486)</f>
        <v>47.4771826494024</v>
      </c>
      <c r="D486" s="78" t="n">
        <f aca="false">MAX(C486-05_Unit_Economics!$B$21,0)</f>
        <v>9.56957717489892</v>
      </c>
      <c r="E486" s="78" t="n">
        <f aca="false">D486*EXP(-01_Inputs!$C$20*01_Inputs!$C$22)</f>
        <v>9.15764474886326</v>
      </c>
      <c r="F486" s="79"/>
    </row>
    <row r="487" customFormat="false" ht="15" hidden="false" customHeight="false" outlineLevel="0" collapsed="false">
      <c r="A487" s="76" t="n">
        <v>476</v>
      </c>
      <c r="B487" s="77" t="n">
        <v>0.374166</v>
      </c>
      <c r="C487" s="78" t="n">
        <f aca="false">05_Unit_Economics!$B$15*EXP((01_Inputs!$C$20-01_Inputs!$C$21^2/2)*01_Inputs!$C$22+01_Inputs!$C$21*SQRT(01_Inputs!$C$22)*B487)</f>
        <v>61.6926889487096</v>
      </c>
      <c r="D487" s="78" t="n">
        <f aca="false">MAX(C487-05_Unit_Economics!$B$21,0)</f>
        <v>23.7850834742061</v>
      </c>
      <c r="E487" s="78" t="n">
        <f aca="false">D487*EXP(-01_Inputs!$C$20*01_Inputs!$C$22)</f>
        <v>22.7612297594683</v>
      </c>
      <c r="F487" s="80" t="n">
        <f aca="false">AVERAGE(E486:E487)</f>
        <v>15.9594372541658</v>
      </c>
    </row>
    <row r="488" customFormat="false" ht="15" hidden="false" customHeight="false" outlineLevel="0" collapsed="false">
      <c r="A488" s="76" t="n">
        <v>477</v>
      </c>
      <c r="B488" s="77" t="n">
        <v>0.764731</v>
      </c>
      <c r="C488" s="78" t="n">
        <f aca="false">05_Unit_Economics!$B$15*EXP((01_Inputs!$C$20-01_Inputs!$C$21^2/2)*01_Inputs!$C$22+01_Inputs!$C$21*SQRT(01_Inputs!$C$22)*B488)</f>
        <v>70.729531012469</v>
      </c>
      <c r="D488" s="78" t="n">
        <f aca="false">MAX(C488-05_Unit_Economics!$B$21,0)</f>
        <v>32.8219255379655</v>
      </c>
      <c r="E488" s="78" t="n">
        <f aca="false">D488*EXP(-01_Inputs!$C$20*01_Inputs!$C$22)</f>
        <v>31.4090715354418</v>
      </c>
      <c r="F488" s="79"/>
    </row>
    <row r="489" customFormat="false" ht="15" hidden="false" customHeight="false" outlineLevel="0" collapsed="false">
      <c r="A489" s="76" t="n">
        <v>478</v>
      </c>
      <c r="B489" s="77" t="n">
        <v>-0.764731</v>
      </c>
      <c r="C489" s="78" t="n">
        <f aca="false">05_Unit_Economics!$B$15*EXP((01_Inputs!$C$20-01_Inputs!$C$21^2/2)*01_Inputs!$C$22+01_Inputs!$C$21*SQRT(01_Inputs!$C$22)*B489)</f>
        <v>41.4112043360544</v>
      </c>
      <c r="D489" s="78" t="n">
        <f aca="false">MAX(C489-05_Unit_Economics!$B$21,0)</f>
        <v>3.50359886155095</v>
      </c>
      <c r="E489" s="78" t="n">
        <f aca="false">D489*EXP(-01_Inputs!$C$20*01_Inputs!$C$22)</f>
        <v>3.35278279595924</v>
      </c>
      <c r="F489" s="80" t="n">
        <f aca="false">AVERAGE(E488:E489)</f>
        <v>17.3809271657005</v>
      </c>
    </row>
    <row r="490" customFormat="false" ht="15" hidden="false" customHeight="false" outlineLevel="0" collapsed="false">
      <c r="A490" s="76" t="n">
        <v>479</v>
      </c>
      <c r="B490" s="77" t="n">
        <v>-0.910706</v>
      </c>
      <c r="C490" s="78" t="n">
        <f aca="false">05_Unit_Economics!$B$15*EXP((01_Inputs!$C$20-01_Inputs!$C$21^2/2)*01_Inputs!$C$22+01_Inputs!$C$21*SQRT(01_Inputs!$C$22)*B490)</f>
        <v>39.3485934786333</v>
      </c>
      <c r="D490" s="78" t="n">
        <f aca="false">MAX(C490-05_Unit_Economics!$B$21,0)</f>
        <v>1.44098800412982</v>
      </c>
      <c r="E490" s="78" t="n">
        <f aca="false">D490*EXP(-01_Inputs!$C$20*01_Inputs!$C$22)</f>
        <v>1.37895917322322</v>
      </c>
      <c r="F490" s="79"/>
    </row>
    <row r="491" customFormat="false" ht="15" hidden="false" customHeight="false" outlineLevel="0" collapsed="false">
      <c r="A491" s="76" t="n">
        <v>480</v>
      </c>
      <c r="B491" s="77" t="n">
        <v>0.910706</v>
      </c>
      <c r="C491" s="78" t="n">
        <f aca="false">05_Unit_Economics!$B$15*EXP((01_Inputs!$C$20-01_Inputs!$C$21^2/2)*01_Inputs!$C$22+01_Inputs!$C$21*SQRT(01_Inputs!$C$22)*B491)</f>
        <v>74.4370967907945</v>
      </c>
      <c r="D491" s="78" t="n">
        <f aca="false">MAX(C491-05_Unit_Economics!$B$21,0)</f>
        <v>36.529491316291</v>
      </c>
      <c r="E491" s="78" t="n">
        <f aca="false">D491*EXP(-01_Inputs!$C$20*01_Inputs!$C$22)</f>
        <v>34.957041279602</v>
      </c>
      <c r="F491" s="80" t="n">
        <f aca="false">AVERAGE(E490:E491)</f>
        <v>18.1680002264126</v>
      </c>
    </row>
    <row r="492" customFormat="false" ht="15" hidden="false" customHeight="false" outlineLevel="0" collapsed="false">
      <c r="A492" s="76" t="n">
        <v>481</v>
      </c>
      <c r="B492" s="77" t="n">
        <v>-1.153752</v>
      </c>
      <c r="C492" s="78" t="n">
        <f aca="false">05_Unit_Economics!$B$15*EXP((01_Inputs!$C$20-01_Inputs!$C$21^2/2)*01_Inputs!$C$22+01_Inputs!$C$21*SQRT(01_Inputs!$C$22)*B492)</f>
        <v>36.1397775657938</v>
      </c>
      <c r="D492" s="78" t="n">
        <f aca="false">MAX(C492-05_Unit_Economics!$B$21,0)</f>
        <v>0</v>
      </c>
      <c r="E492" s="78" t="n">
        <f aca="false">D492*EXP(-01_Inputs!$C$20*01_Inputs!$C$22)</f>
        <v>0</v>
      </c>
      <c r="F492" s="79"/>
    </row>
    <row r="493" customFormat="false" ht="15" hidden="false" customHeight="false" outlineLevel="0" collapsed="false">
      <c r="A493" s="76" t="n">
        <v>482</v>
      </c>
      <c r="B493" s="77" t="n">
        <v>1.153752</v>
      </c>
      <c r="C493" s="78" t="n">
        <f aca="false">05_Unit_Economics!$B$15*EXP((01_Inputs!$C$20-01_Inputs!$C$21^2/2)*01_Inputs!$C$22+01_Inputs!$C$21*SQRT(01_Inputs!$C$22)*B493)</f>
        <v>81.046294654645</v>
      </c>
      <c r="D493" s="78" t="n">
        <f aca="false">MAX(C493-05_Unit_Economics!$B$21,0)</f>
        <v>43.1386891801416</v>
      </c>
      <c r="E493" s="78" t="n">
        <f aca="false">D493*EXP(-01_Inputs!$C$20*01_Inputs!$C$22)</f>
        <v>41.2817393311362</v>
      </c>
      <c r="F493" s="80" t="n">
        <f aca="false">AVERAGE(E492:E493)</f>
        <v>20.6408696655681</v>
      </c>
    </row>
    <row r="494" customFormat="false" ht="15" hidden="false" customHeight="false" outlineLevel="0" collapsed="false">
      <c r="A494" s="76" t="n">
        <v>483</v>
      </c>
      <c r="B494" s="77" t="n">
        <v>-0.556752</v>
      </c>
      <c r="C494" s="78" t="n">
        <f aca="false">05_Unit_Economics!$B$15*EXP((01_Inputs!$C$20-01_Inputs!$C$21^2/2)*01_Inputs!$C$22+01_Inputs!$C$21*SQRT(01_Inputs!$C$22)*B494)</f>
        <v>44.5380611502274</v>
      </c>
      <c r="D494" s="78" t="n">
        <f aca="false">MAX(C494-05_Unit_Economics!$B$21,0)</f>
        <v>6.63045567572397</v>
      </c>
      <c r="E494" s="78" t="n">
        <f aca="false">D494*EXP(-01_Inputs!$C$20*01_Inputs!$C$22)</f>
        <v>6.34504079873367</v>
      </c>
      <c r="F494" s="79"/>
    </row>
    <row r="495" customFormat="false" ht="15" hidden="false" customHeight="false" outlineLevel="0" collapsed="false">
      <c r="A495" s="76" t="n">
        <v>484</v>
      </c>
      <c r="B495" s="77" t="n">
        <v>0.556752</v>
      </c>
      <c r="C495" s="78" t="n">
        <f aca="false">05_Unit_Economics!$B$15*EXP((01_Inputs!$C$20-01_Inputs!$C$21^2/2)*01_Inputs!$C$22+01_Inputs!$C$21*SQRT(01_Inputs!$C$22)*B495)</f>
        <v>65.7638654604006</v>
      </c>
      <c r="D495" s="78" t="n">
        <f aca="false">MAX(C495-05_Unit_Economics!$B$21,0)</f>
        <v>27.8562599858971</v>
      </c>
      <c r="E495" s="78" t="n">
        <f aca="false">D495*EXP(-01_Inputs!$C$20*01_Inputs!$C$22)</f>
        <v>26.6571582339023</v>
      </c>
      <c r="F495" s="80" t="n">
        <f aca="false">AVERAGE(E494:E495)</f>
        <v>16.501099516318</v>
      </c>
    </row>
    <row r="496" customFormat="false" ht="15" hidden="false" customHeight="false" outlineLevel="0" collapsed="false">
      <c r="A496" s="76" t="n">
        <v>485</v>
      </c>
      <c r="B496" s="77" t="n">
        <v>1.203198</v>
      </c>
      <c r="C496" s="78" t="n">
        <f aca="false">05_Unit_Economics!$B$15*EXP((01_Inputs!$C$20-01_Inputs!$C$21^2/2)*01_Inputs!$C$22+01_Inputs!$C$21*SQRT(01_Inputs!$C$22)*B496)</f>
        <v>82.4610969787573</v>
      </c>
      <c r="D496" s="78" t="n">
        <f aca="false">MAX(C496-05_Unit_Economics!$B$21,0)</f>
        <v>44.5534915042538</v>
      </c>
      <c r="E496" s="78" t="n">
        <f aca="false">D496*EXP(-01_Inputs!$C$20*01_Inputs!$C$22)</f>
        <v>42.6356400142375</v>
      </c>
      <c r="F496" s="79"/>
    </row>
    <row r="497" customFormat="false" ht="15" hidden="false" customHeight="false" outlineLevel="0" collapsed="false">
      <c r="A497" s="76" t="n">
        <v>486</v>
      </c>
      <c r="B497" s="77" t="n">
        <v>-1.203198</v>
      </c>
      <c r="C497" s="78" t="n">
        <f aca="false">05_Unit_Economics!$B$15*EXP((01_Inputs!$C$20-01_Inputs!$C$21^2/2)*01_Inputs!$C$22+01_Inputs!$C$21*SQRT(01_Inputs!$C$22)*B497)</f>
        <v>35.5197198274622</v>
      </c>
      <c r="D497" s="78" t="n">
        <f aca="false">MAX(C497-05_Unit_Economics!$B$21,0)</f>
        <v>0</v>
      </c>
      <c r="E497" s="78" t="n">
        <f aca="false">D497*EXP(-01_Inputs!$C$20*01_Inputs!$C$22)</f>
        <v>0</v>
      </c>
      <c r="F497" s="80" t="n">
        <f aca="false">AVERAGE(E496:E497)</f>
        <v>21.3178200071187</v>
      </c>
    </row>
    <row r="498" customFormat="false" ht="15" hidden="false" customHeight="false" outlineLevel="0" collapsed="false">
      <c r="A498" s="76" t="n">
        <v>487</v>
      </c>
      <c r="B498" s="77" t="n">
        <v>0.269191</v>
      </c>
      <c r="C498" s="78" t="n">
        <f aca="false">05_Unit_Economics!$B$15*EXP((01_Inputs!$C$20-01_Inputs!$C$21^2/2)*01_Inputs!$C$22+01_Inputs!$C$21*SQRT(01_Inputs!$C$22)*B498)</f>
        <v>59.4671572017718</v>
      </c>
      <c r="D498" s="78" t="n">
        <f aca="false">MAX(C498-05_Unit_Economics!$B$21,0)</f>
        <v>21.5595517272683</v>
      </c>
      <c r="E498" s="78" t="n">
        <f aca="false">D498*EXP(-01_Inputs!$C$20*01_Inputs!$C$22)</f>
        <v>20.6314983467543</v>
      </c>
      <c r="F498" s="79"/>
    </row>
    <row r="499" customFormat="false" ht="15" hidden="false" customHeight="false" outlineLevel="0" collapsed="false">
      <c r="A499" s="76" t="n">
        <v>488</v>
      </c>
      <c r="B499" s="77" t="n">
        <v>-0.269191</v>
      </c>
      <c r="C499" s="78" t="n">
        <f aca="false">05_Unit_Economics!$B$15*EXP((01_Inputs!$C$20-01_Inputs!$C$21^2/2)*01_Inputs!$C$22+01_Inputs!$C$21*SQRT(01_Inputs!$C$22)*B499)</f>
        <v>49.2539949641881</v>
      </c>
      <c r="D499" s="78" t="n">
        <f aca="false">MAX(C499-05_Unit_Economics!$B$21,0)</f>
        <v>11.3463894896847</v>
      </c>
      <c r="E499" s="78" t="n">
        <f aca="false">D499*EXP(-01_Inputs!$C$20*01_Inputs!$C$22)</f>
        <v>10.8579723251843</v>
      </c>
      <c r="F499" s="80" t="n">
        <f aca="false">AVERAGE(E498:E499)</f>
        <v>15.7447353359693</v>
      </c>
    </row>
    <row r="500" customFormat="false" ht="15" hidden="false" customHeight="false" outlineLevel="0" collapsed="false">
      <c r="A500" s="76" t="n">
        <v>489</v>
      </c>
      <c r="B500" s="77" t="n">
        <v>0.067755</v>
      </c>
      <c r="C500" s="78" t="n">
        <f aca="false">05_Unit_Economics!$B$15*EXP((01_Inputs!$C$20-01_Inputs!$C$21^2/2)*01_Inputs!$C$22+01_Inputs!$C$21*SQRT(01_Inputs!$C$22)*B500)</f>
        <v>55.4189492976171</v>
      </c>
      <c r="D500" s="78" t="n">
        <f aca="false">MAX(C500-05_Unit_Economics!$B$21,0)</f>
        <v>17.5113438231136</v>
      </c>
      <c r="E500" s="78" t="n">
        <f aca="false">D500*EXP(-01_Inputs!$C$20*01_Inputs!$C$22)</f>
        <v>16.7575497721998</v>
      </c>
      <c r="F500" s="79"/>
    </row>
    <row r="501" customFormat="false" ht="15" hidden="false" customHeight="false" outlineLevel="0" collapsed="false">
      <c r="A501" s="76" t="n">
        <v>490</v>
      </c>
      <c r="B501" s="77" t="n">
        <v>-0.067755</v>
      </c>
      <c r="C501" s="78" t="n">
        <f aca="false">05_Unit_Economics!$B$15*EXP((01_Inputs!$C$20-01_Inputs!$C$21^2/2)*01_Inputs!$C$22+01_Inputs!$C$21*SQRT(01_Inputs!$C$22)*B501)</f>
        <v>52.8518692337711</v>
      </c>
      <c r="D501" s="78" t="n">
        <f aca="false">MAX(C501-05_Unit_Economics!$B$21,0)</f>
        <v>14.9442637592677</v>
      </c>
      <c r="E501" s="78" t="n">
        <f aca="false">D501*EXP(-01_Inputs!$C$20*01_Inputs!$C$22)</f>
        <v>14.3009723459522</v>
      </c>
      <c r="F501" s="80" t="n">
        <f aca="false">AVERAGE(E500:E501)</f>
        <v>15.529261059076</v>
      </c>
    </row>
    <row r="502" customFormat="false" ht="15" hidden="false" customHeight="false" outlineLevel="0" collapsed="false">
      <c r="A502" s="76" t="n">
        <v>491</v>
      </c>
      <c r="B502" s="77" t="n">
        <v>0.746926</v>
      </c>
      <c r="C502" s="78" t="n">
        <f aca="false">05_Unit_Economics!$B$15*EXP((01_Inputs!$C$20-01_Inputs!$C$21^2/2)*01_Inputs!$C$22+01_Inputs!$C$21*SQRT(01_Inputs!$C$22)*B502)</f>
        <v>70.2901327895109</v>
      </c>
      <c r="D502" s="78" t="n">
        <f aca="false">MAX(C502-05_Unit_Economics!$B$21,0)</f>
        <v>32.3825273150074</v>
      </c>
      <c r="E502" s="78" t="n">
        <f aca="false">D502*EXP(-01_Inputs!$C$20*01_Inputs!$C$22)</f>
        <v>30.9885876670754</v>
      </c>
      <c r="F502" s="79"/>
    </row>
    <row r="503" customFormat="false" ht="15" hidden="false" customHeight="false" outlineLevel="0" collapsed="false">
      <c r="A503" s="76" t="n">
        <v>492</v>
      </c>
      <c r="B503" s="77" t="n">
        <v>-0.746926</v>
      </c>
      <c r="C503" s="78" t="n">
        <f aca="false">05_Unit_Economics!$B$15*EXP((01_Inputs!$C$20-01_Inputs!$C$21^2/2)*01_Inputs!$C$22+01_Inputs!$C$21*SQRT(01_Inputs!$C$22)*B503)</f>
        <v>41.670074377605</v>
      </c>
      <c r="D503" s="78" t="n">
        <f aca="false">MAX(C503-05_Unit_Economics!$B$21,0)</f>
        <v>3.76246890310154</v>
      </c>
      <c r="E503" s="78" t="n">
        <f aca="false">D503*EXP(-01_Inputs!$C$20*01_Inputs!$C$22)</f>
        <v>3.60050950669229</v>
      </c>
      <c r="F503" s="80" t="n">
        <f aca="false">AVERAGE(E502:E503)</f>
        <v>17.2945485868838</v>
      </c>
    </row>
    <row r="504" customFormat="false" ht="15" hidden="false" customHeight="false" outlineLevel="0" collapsed="false">
      <c r="A504" s="76" t="n">
        <v>493</v>
      </c>
      <c r="B504" s="77" t="n">
        <v>-0.128022</v>
      </c>
      <c r="C504" s="78" t="n">
        <f aca="false">05_Unit_Economics!$B$15*EXP((01_Inputs!$C$20-01_Inputs!$C$21^2/2)*01_Inputs!$C$22+01_Inputs!$C$21*SQRT(01_Inputs!$C$22)*B504)</f>
        <v>51.7487165231295</v>
      </c>
      <c r="D504" s="78" t="n">
        <f aca="false">MAX(C504-05_Unit_Economics!$B$21,0)</f>
        <v>13.841111048626</v>
      </c>
      <c r="E504" s="78" t="n">
        <f aca="false">D504*EXP(-01_Inputs!$C$20*01_Inputs!$C$22)</f>
        <v>13.2453059938066</v>
      </c>
      <c r="F504" s="79"/>
    </row>
    <row r="505" customFormat="false" ht="15" hidden="false" customHeight="false" outlineLevel="0" collapsed="false">
      <c r="A505" s="76" t="n">
        <v>494</v>
      </c>
      <c r="B505" s="77" t="n">
        <v>0.128022</v>
      </c>
      <c r="C505" s="78" t="n">
        <f aca="false">05_Unit_Economics!$B$15*EXP((01_Inputs!$C$20-01_Inputs!$C$21^2/2)*01_Inputs!$C$22+01_Inputs!$C$21*SQRT(01_Inputs!$C$22)*B505)</f>
        <v>56.6003421561483</v>
      </c>
      <c r="D505" s="78" t="n">
        <f aca="false">MAX(C505-05_Unit_Economics!$B$21,0)</f>
        <v>18.6927366816448</v>
      </c>
      <c r="E505" s="78" t="n">
        <f aca="false">D505*EXP(-01_Inputs!$C$20*01_Inputs!$C$22)</f>
        <v>17.8880883435016</v>
      </c>
      <c r="F505" s="80" t="n">
        <f aca="false">AVERAGE(E504:E505)</f>
        <v>15.5666971686541</v>
      </c>
    </row>
    <row r="506" customFormat="false" ht="15" hidden="false" customHeight="false" outlineLevel="0" collapsed="false">
      <c r="A506" s="76" t="n">
        <v>495</v>
      </c>
      <c r="B506" s="77" t="n">
        <v>-0.45253</v>
      </c>
      <c r="C506" s="78" t="n">
        <f aca="false">05_Unit_Economics!$B$15*EXP((01_Inputs!$C$20-01_Inputs!$C$21^2/2)*01_Inputs!$C$22+01_Inputs!$C$21*SQRT(01_Inputs!$C$22)*B506)</f>
        <v>46.1927024670364</v>
      </c>
      <c r="D506" s="78" t="n">
        <f aca="false">MAX(C506-05_Unit_Economics!$B$21,0)</f>
        <v>8.28509699253296</v>
      </c>
      <c r="E506" s="78" t="n">
        <f aca="false">D506*EXP(-01_Inputs!$C$20*01_Inputs!$C$22)</f>
        <v>7.92845635505245</v>
      </c>
      <c r="F506" s="79"/>
    </row>
    <row r="507" customFormat="false" ht="15" hidden="false" customHeight="false" outlineLevel="0" collapsed="false">
      <c r="A507" s="76" t="n">
        <v>496</v>
      </c>
      <c r="B507" s="77" t="n">
        <v>0.45253</v>
      </c>
      <c r="C507" s="78" t="n">
        <f aca="false">05_Unit_Economics!$B$15*EXP((01_Inputs!$C$20-01_Inputs!$C$21^2/2)*01_Inputs!$C$22+01_Inputs!$C$21*SQRT(01_Inputs!$C$22)*B507)</f>
        <v>63.4081771561387</v>
      </c>
      <c r="D507" s="78" t="n">
        <f aca="false">MAX(C507-05_Unit_Economics!$B$21,0)</f>
        <v>25.5005716816352</v>
      </c>
      <c r="E507" s="78" t="n">
        <f aca="false">D507*EXP(-01_Inputs!$C$20*01_Inputs!$C$22)</f>
        <v>24.402872988566</v>
      </c>
      <c r="F507" s="80" t="n">
        <f aca="false">AVERAGE(E506:E507)</f>
        <v>16.1656646718092</v>
      </c>
    </row>
    <row r="508" customFormat="false" ht="15" hidden="false" customHeight="false" outlineLevel="0" collapsed="false">
      <c r="A508" s="76" t="n">
        <v>497</v>
      </c>
      <c r="B508" s="77" t="n">
        <v>-0.069297</v>
      </c>
      <c r="C508" s="78" t="n">
        <f aca="false">05_Unit_Economics!$B$15*EXP((01_Inputs!$C$20-01_Inputs!$C$21^2/2)*01_Inputs!$C$22+01_Inputs!$C$21*SQRT(01_Inputs!$C$22)*B508)</f>
        <v>52.823352775804</v>
      </c>
      <c r="D508" s="78" t="n">
        <f aca="false">MAX(C508-05_Unit_Economics!$B$21,0)</f>
        <v>14.9157473013006</v>
      </c>
      <c r="E508" s="78" t="n">
        <f aca="false">D508*EXP(-01_Inputs!$C$20*01_Inputs!$C$22)</f>
        <v>14.2736834086475</v>
      </c>
      <c r="F508" s="79"/>
    </row>
    <row r="509" customFormat="false" ht="15" hidden="false" customHeight="false" outlineLevel="0" collapsed="false">
      <c r="A509" s="76" t="n">
        <v>498</v>
      </c>
      <c r="B509" s="77" t="n">
        <v>0.069297</v>
      </c>
      <c r="C509" s="78" t="n">
        <f aca="false">05_Unit_Economics!$B$15*EXP((01_Inputs!$C$20-01_Inputs!$C$21^2/2)*01_Inputs!$C$22+01_Inputs!$C$21*SQRT(01_Inputs!$C$22)*B509)</f>
        <v>55.4488669771127</v>
      </c>
      <c r="D509" s="78" t="n">
        <f aca="false">MAX(C509-05_Unit_Economics!$B$21,0)</f>
        <v>17.5412615026092</v>
      </c>
      <c r="E509" s="78" t="n">
        <f aca="false">D509*EXP(-01_Inputs!$C$20*01_Inputs!$C$22)</f>
        <v>16.7861796139915</v>
      </c>
      <c r="F509" s="80" t="n">
        <f aca="false">AVERAGE(E508:E509)</f>
        <v>15.5299315113195</v>
      </c>
    </row>
    <row r="510" customFormat="false" ht="15" hidden="false" customHeight="false" outlineLevel="0" collapsed="false">
      <c r="A510" s="76" t="n">
        <v>499</v>
      </c>
      <c r="B510" s="77" t="n">
        <v>1.377458</v>
      </c>
      <c r="C510" s="78" t="n">
        <f aca="false">05_Unit_Economics!$B$15*EXP((01_Inputs!$C$20-01_Inputs!$C$21^2/2)*01_Inputs!$C$22+01_Inputs!$C$21*SQRT(01_Inputs!$C$22)*B510)</f>
        <v>87.6470216146619</v>
      </c>
      <c r="D510" s="78" t="n">
        <f aca="false">MAX(C510-05_Unit_Economics!$B$21,0)</f>
        <v>49.7394161401585</v>
      </c>
      <c r="E510" s="78" t="n">
        <f aca="false">D510*EXP(-01_Inputs!$C$20*01_Inputs!$C$22)</f>
        <v>47.5983311177234</v>
      </c>
      <c r="F510" s="79"/>
    </row>
    <row r="511" customFormat="false" ht="15" hidden="false" customHeight="false" outlineLevel="0" collapsed="false">
      <c r="A511" s="76" t="n">
        <v>500</v>
      </c>
      <c r="B511" s="77" t="n">
        <v>-1.377458</v>
      </c>
      <c r="C511" s="78" t="n">
        <f aca="false">05_Unit_Economics!$B$15*EXP((01_Inputs!$C$20-01_Inputs!$C$21^2/2)*01_Inputs!$C$22+01_Inputs!$C$21*SQRT(01_Inputs!$C$22)*B511)</f>
        <v>33.4180786453636</v>
      </c>
      <c r="D511" s="78" t="n">
        <f aca="false">MAX(C511-05_Unit_Economics!$B$21,0)</f>
        <v>0</v>
      </c>
      <c r="E511" s="78" t="n">
        <f aca="false">D511*EXP(-01_Inputs!$C$20*01_Inputs!$C$22)</f>
        <v>0</v>
      </c>
      <c r="F511" s="80" t="n">
        <f aca="false">AVERAGE(E510:E511)</f>
        <v>23.7991655588617</v>
      </c>
    </row>
    <row r="512" customFormat="false" ht="15" hidden="false" customHeight="false" outlineLevel="0" collapsed="false">
      <c r="A512" s="76" t="n">
        <v>501</v>
      </c>
      <c r="B512" s="77" t="n">
        <v>0.01601</v>
      </c>
      <c r="C512" s="78" t="n">
        <f aca="false">05_Unit_Economics!$B$15*EXP((01_Inputs!$C$20-01_Inputs!$C$21^2/2)*01_Inputs!$C$22+01_Inputs!$C$21*SQRT(01_Inputs!$C$22)*B512)</f>
        <v>54.4243046288376</v>
      </c>
      <c r="D512" s="78" t="n">
        <f aca="false">MAX(C512-05_Unit_Economics!$B$21,0)</f>
        <v>16.5166991543342</v>
      </c>
      <c r="E512" s="78" t="n">
        <f aca="false">D512*EXP(-01_Inputs!$C$20*01_Inputs!$C$22)</f>
        <v>15.8057206201318</v>
      </c>
      <c r="F512" s="79"/>
    </row>
    <row r="513" customFormat="false" ht="15" hidden="false" customHeight="false" outlineLevel="0" collapsed="false">
      <c r="A513" s="76" t="n">
        <v>502</v>
      </c>
      <c r="B513" s="77" t="n">
        <v>-0.01601</v>
      </c>
      <c r="C513" s="78" t="n">
        <f aca="false">05_Unit_Economics!$B$15*EXP((01_Inputs!$C$20-01_Inputs!$C$21^2/2)*01_Inputs!$C$22+01_Inputs!$C$21*SQRT(01_Inputs!$C$22)*B513)</f>
        <v>53.8177764755248</v>
      </c>
      <c r="D513" s="78" t="n">
        <f aca="false">MAX(C513-05_Unit_Economics!$B$21,0)</f>
        <v>15.9101710010213</v>
      </c>
      <c r="E513" s="78" t="n">
        <f aca="false">D513*EXP(-01_Inputs!$C$20*01_Inputs!$C$22)</f>
        <v>15.2253011035002</v>
      </c>
      <c r="F513" s="80" t="n">
        <f aca="false">AVERAGE(E512:E513)</f>
        <v>15.515510861816</v>
      </c>
    </row>
    <row r="514" customFormat="false" ht="15" hidden="false" customHeight="false" outlineLevel="0" collapsed="false">
      <c r="A514" s="76" t="n">
        <v>503</v>
      </c>
      <c r="B514" s="77" t="n">
        <v>-1.404351</v>
      </c>
      <c r="C514" s="78" t="n">
        <f aca="false">05_Unit_Economics!$B$15*EXP((01_Inputs!$C$20-01_Inputs!$C$21^2/2)*01_Inputs!$C$22+01_Inputs!$C$21*SQRT(01_Inputs!$C$22)*B514)</f>
        <v>33.1050050311555</v>
      </c>
      <c r="D514" s="78" t="n">
        <f aca="false">MAX(C514-05_Unit_Economics!$B$21,0)</f>
        <v>0</v>
      </c>
      <c r="E514" s="78" t="n">
        <f aca="false">D514*EXP(-01_Inputs!$C$20*01_Inputs!$C$22)</f>
        <v>0</v>
      </c>
      <c r="F514" s="79"/>
    </row>
    <row r="515" customFormat="false" ht="15" hidden="false" customHeight="false" outlineLevel="0" collapsed="false">
      <c r="A515" s="76" t="n">
        <v>504</v>
      </c>
      <c r="B515" s="77" t="n">
        <v>1.404351</v>
      </c>
      <c r="C515" s="78" t="n">
        <f aca="false">05_Unit_Economics!$B$15*EXP((01_Inputs!$C$20-01_Inputs!$C$21^2/2)*01_Inputs!$C$22+01_Inputs!$C$21*SQRT(01_Inputs!$C$22)*B515)</f>
        <v>88.4758983904139</v>
      </c>
      <c r="D515" s="78" t="n">
        <f aca="false">MAX(C515-05_Unit_Economics!$B$21,0)</f>
        <v>50.5682929159104</v>
      </c>
      <c r="E515" s="78" t="n">
        <f aca="false">D515*EXP(-01_Inputs!$C$20*01_Inputs!$C$22)</f>
        <v>48.3915280285367</v>
      </c>
      <c r="F515" s="80" t="n">
        <f aca="false">AVERAGE(E514:E515)</f>
        <v>24.1957640142683</v>
      </c>
    </row>
    <row r="516" customFormat="false" ht="15" hidden="false" customHeight="false" outlineLevel="0" collapsed="false">
      <c r="A516" s="76" t="n">
        <v>505</v>
      </c>
      <c r="B516" s="77" t="n">
        <v>-0.93821</v>
      </c>
      <c r="C516" s="78" t="n">
        <f aca="false">05_Unit_Economics!$B$15*EXP((01_Inputs!$C$20-01_Inputs!$C$21^2/2)*01_Inputs!$C$22+01_Inputs!$C$21*SQRT(01_Inputs!$C$22)*B516)</f>
        <v>38.9716255116438</v>
      </c>
      <c r="D516" s="78" t="n">
        <f aca="false">MAX(C516-05_Unit_Economics!$B$21,0)</f>
        <v>1.06402003714033</v>
      </c>
      <c r="E516" s="78" t="n">
        <f aca="false">D516*EXP(-01_Inputs!$C$20*01_Inputs!$C$22)</f>
        <v>1.01821818537206</v>
      </c>
      <c r="F516" s="79"/>
    </row>
    <row r="517" customFormat="false" ht="15" hidden="false" customHeight="false" outlineLevel="0" collapsed="false">
      <c r="A517" s="76" t="n">
        <v>506</v>
      </c>
      <c r="B517" s="77" t="n">
        <v>0.93821</v>
      </c>
      <c r="C517" s="78" t="n">
        <f aca="false">05_Unit_Economics!$B$15*EXP((01_Inputs!$C$20-01_Inputs!$C$21^2/2)*01_Inputs!$C$22+01_Inputs!$C$21*SQRT(01_Inputs!$C$22)*B517)</f>
        <v>75.1571181057238</v>
      </c>
      <c r="D517" s="78" t="n">
        <f aca="false">MAX(C517-05_Unit_Economics!$B$21,0)</f>
        <v>37.2495126312203</v>
      </c>
      <c r="E517" s="78" t="n">
        <f aca="false">D517*EXP(-01_Inputs!$C$20*01_Inputs!$C$22)</f>
        <v>35.6460685263885</v>
      </c>
      <c r="F517" s="80" t="n">
        <f aca="false">AVERAGE(E516:E517)</f>
        <v>18.3321433558803</v>
      </c>
    </row>
    <row r="518" customFormat="false" ht="15" hidden="false" customHeight="false" outlineLevel="0" collapsed="false">
      <c r="A518" s="76" t="n">
        <v>507</v>
      </c>
      <c r="B518" s="77" t="n">
        <v>-0.532357</v>
      </c>
      <c r="C518" s="78" t="n">
        <f aca="false">05_Unit_Economics!$B$15*EXP((01_Inputs!$C$20-01_Inputs!$C$21^2/2)*01_Inputs!$C$22+01_Inputs!$C$21*SQRT(01_Inputs!$C$22)*B518)</f>
        <v>44.9199663316754</v>
      </c>
      <c r="D518" s="78" t="n">
        <f aca="false">MAX(C518-05_Unit_Economics!$B$21,0)</f>
        <v>7.01236085717196</v>
      </c>
      <c r="E518" s="78" t="n">
        <f aca="false">D518*EXP(-01_Inputs!$C$20*01_Inputs!$C$22)</f>
        <v>6.7105064734998</v>
      </c>
      <c r="F518" s="79"/>
    </row>
    <row r="519" customFormat="false" ht="15" hidden="false" customHeight="false" outlineLevel="0" collapsed="false">
      <c r="A519" s="76" t="n">
        <v>508</v>
      </c>
      <c r="B519" s="77" t="n">
        <v>0.532357</v>
      </c>
      <c r="C519" s="78" t="n">
        <f aca="false">05_Unit_Economics!$B$15*EXP((01_Inputs!$C$20-01_Inputs!$C$21^2/2)*01_Inputs!$C$22+01_Inputs!$C$21*SQRT(01_Inputs!$C$22)*B519)</f>
        <v>65.2047474774099</v>
      </c>
      <c r="D519" s="78" t="n">
        <f aca="false">MAX(C519-05_Unit_Economics!$B$21,0)</f>
        <v>27.2971420029064</v>
      </c>
      <c r="E519" s="78" t="n">
        <f aca="false">D519*EXP(-01_Inputs!$C$20*01_Inputs!$C$22)</f>
        <v>26.122108067385</v>
      </c>
      <c r="F519" s="80" t="n">
        <f aca="false">AVERAGE(E518:E519)</f>
        <v>16.4163072704424</v>
      </c>
    </row>
    <row r="520" customFormat="false" ht="15" hidden="false" customHeight="false" outlineLevel="0" collapsed="false">
      <c r="A520" s="76" t="n">
        <v>509</v>
      </c>
      <c r="B520" s="77" t="n">
        <v>0.99245</v>
      </c>
      <c r="C520" s="78" t="n">
        <f aca="false">05_Unit_Economics!$B$15*EXP((01_Inputs!$C$20-01_Inputs!$C$21^2/2)*01_Inputs!$C$22+01_Inputs!$C$21*SQRT(01_Inputs!$C$22)*B520)</f>
        <v>76.5975299660408</v>
      </c>
      <c r="D520" s="78" t="n">
        <f aca="false">MAX(C520-05_Unit_Economics!$B$21,0)</f>
        <v>38.6899244915374</v>
      </c>
      <c r="E520" s="78" t="n">
        <f aca="false">D520*EXP(-01_Inputs!$C$20*01_Inputs!$C$22)</f>
        <v>37.02447635651</v>
      </c>
      <c r="F520" s="79"/>
    </row>
    <row r="521" customFormat="false" ht="15" hidden="false" customHeight="false" outlineLevel="0" collapsed="false">
      <c r="A521" s="76" t="n">
        <v>510</v>
      </c>
      <c r="B521" s="77" t="n">
        <v>-0.99245</v>
      </c>
      <c r="C521" s="78" t="n">
        <f aca="false">05_Unit_Economics!$B$15*EXP((01_Inputs!$C$20-01_Inputs!$C$21^2/2)*01_Inputs!$C$22+01_Inputs!$C$21*SQRT(01_Inputs!$C$22)*B521)</f>
        <v>38.2387664804493</v>
      </c>
      <c r="D521" s="78" t="n">
        <f aca="false">MAX(C521-05_Unit_Economics!$B$21,0)</f>
        <v>0.331161005945816</v>
      </c>
      <c r="E521" s="78" t="n">
        <f aca="false">D521*EXP(-01_Inputs!$C$20*01_Inputs!$C$22)</f>
        <v>0.316905835200604</v>
      </c>
      <c r="F521" s="80" t="n">
        <f aca="false">AVERAGE(E520:E521)</f>
        <v>18.6706910958553</v>
      </c>
    </row>
    <row r="522" customFormat="false" ht="15" hidden="false" customHeight="false" outlineLevel="0" collapsed="false">
      <c r="A522" s="76" t="n">
        <v>511</v>
      </c>
      <c r="B522" s="77" t="n">
        <v>-0.024488</v>
      </c>
      <c r="C522" s="78" t="n">
        <f aca="false">05_Unit_Economics!$B$15*EXP((01_Inputs!$C$20-01_Inputs!$C$21^2/2)*01_Inputs!$C$22+01_Inputs!$C$21*SQRT(01_Inputs!$C$22)*B522)</f>
        <v>53.6583196824597</v>
      </c>
      <c r="D522" s="78" t="n">
        <f aca="false">MAX(C522-05_Unit_Economics!$B$21,0)</f>
        <v>15.7507142079562</v>
      </c>
      <c r="E522" s="78" t="n">
        <f aca="false">D522*EXP(-01_Inputs!$C$20*01_Inputs!$C$22)</f>
        <v>15.0727082943306</v>
      </c>
      <c r="F522" s="79"/>
    </row>
    <row r="523" customFormat="false" ht="15" hidden="false" customHeight="false" outlineLevel="0" collapsed="false">
      <c r="A523" s="76" t="n">
        <v>512</v>
      </c>
      <c r="B523" s="77" t="n">
        <v>0.024488</v>
      </c>
      <c r="C523" s="78" t="n">
        <f aca="false">05_Unit_Economics!$B$15*EXP((01_Inputs!$C$20-01_Inputs!$C$21^2/2)*01_Inputs!$C$22+01_Inputs!$C$21*SQRT(01_Inputs!$C$22)*B523)</f>
        <v>54.5860377045707</v>
      </c>
      <c r="D523" s="78" t="n">
        <f aca="false">MAX(C523-05_Unit_Economics!$B$21,0)</f>
        <v>16.6784322300672</v>
      </c>
      <c r="E523" s="78" t="n">
        <f aca="false">D523*EXP(-01_Inputs!$C$20*01_Inputs!$C$22)</f>
        <v>15.9604917270089</v>
      </c>
      <c r="F523" s="80" t="n">
        <f aca="false">AVERAGE(E522:E523)</f>
        <v>15.5166000106697</v>
      </c>
    </row>
    <row r="524" customFormat="false" ht="15" hidden="false" customHeight="false" outlineLevel="0" collapsed="false">
      <c r="A524" s="76" t="n">
        <v>513</v>
      </c>
      <c r="B524" s="77" t="n">
        <v>2.065239</v>
      </c>
      <c r="C524" s="78" t="n">
        <f aca="false">05_Unit_Economics!$B$15*EXP((01_Inputs!$C$20-01_Inputs!$C$21^2/2)*01_Inputs!$C$22+01_Inputs!$C$21*SQRT(01_Inputs!$C$22)*B524)</f>
        <v>111.501827438909</v>
      </c>
      <c r="D524" s="78" t="n">
        <f aca="false">MAX(C524-05_Unit_Economics!$B$21,0)</f>
        <v>73.5942219644058</v>
      </c>
      <c r="E524" s="78" t="n">
        <f aca="false">D524*EXP(-01_Inputs!$C$20*01_Inputs!$C$22)</f>
        <v>70.4262819559879</v>
      </c>
      <c r="F524" s="79"/>
    </row>
    <row r="525" customFormat="false" ht="15" hidden="false" customHeight="false" outlineLevel="0" collapsed="false">
      <c r="A525" s="76" t="n">
        <v>514</v>
      </c>
      <c r="B525" s="77" t="n">
        <v>-2.065239</v>
      </c>
      <c r="C525" s="78" t="n">
        <f aca="false">05_Unit_Economics!$B$15*EXP((01_Inputs!$C$20-01_Inputs!$C$21^2/2)*01_Inputs!$C$22+01_Inputs!$C$21*SQRT(01_Inputs!$C$22)*B525)</f>
        <v>26.2685834719204</v>
      </c>
      <c r="D525" s="78" t="n">
        <f aca="false">MAX(C525-05_Unit_Economics!$B$21,0)</f>
        <v>0</v>
      </c>
      <c r="E525" s="78" t="n">
        <f aca="false">D525*EXP(-01_Inputs!$C$20*01_Inputs!$C$22)</f>
        <v>0</v>
      </c>
      <c r="F525" s="80" t="n">
        <f aca="false">AVERAGE(E524:E525)</f>
        <v>35.213140977994</v>
      </c>
    </row>
    <row r="526" customFormat="false" ht="15" hidden="false" customHeight="false" outlineLevel="0" collapsed="false">
      <c r="A526" s="76" t="n">
        <v>515</v>
      </c>
      <c r="B526" s="77" t="n">
        <v>0.536713</v>
      </c>
      <c r="C526" s="78" t="n">
        <f aca="false">05_Unit_Economics!$B$15*EXP((01_Inputs!$C$20-01_Inputs!$C$21^2/2)*01_Inputs!$C$22+01_Inputs!$C$21*SQRT(01_Inputs!$C$22)*B526)</f>
        <v>65.3042344550664</v>
      </c>
      <c r="D526" s="78" t="n">
        <f aca="false">MAX(C526-05_Unit_Economics!$B$21,0)</f>
        <v>27.3966289805629</v>
      </c>
      <c r="E526" s="78" t="n">
        <f aca="false">D526*EXP(-01_Inputs!$C$20*01_Inputs!$C$22)</f>
        <v>26.2173125243704</v>
      </c>
      <c r="F526" s="79"/>
    </row>
    <row r="527" customFormat="false" ht="15" hidden="false" customHeight="false" outlineLevel="0" collapsed="false">
      <c r="A527" s="76" t="n">
        <v>516</v>
      </c>
      <c r="B527" s="77" t="n">
        <v>-0.536713</v>
      </c>
      <c r="C527" s="78" t="n">
        <f aca="false">05_Unit_Economics!$B$15*EXP((01_Inputs!$C$20-01_Inputs!$C$21^2/2)*01_Inputs!$C$22+01_Inputs!$C$21*SQRT(01_Inputs!$C$22)*B527)</f>
        <v>44.8515335305859</v>
      </c>
      <c r="D527" s="78" t="n">
        <f aca="false">MAX(C527-05_Unit_Economics!$B$21,0)</f>
        <v>6.94392805608243</v>
      </c>
      <c r="E527" s="78" t="n">
        <f aca="false">D527*EXP(-01_Inputs!$C$20*01_Inputs!$C$22)</f>
        <v>6.6450194336762</v>
      </c>
      <c r="F527" s="80" t="n">
        <f aca="false">AVERAGE(E526:E527)</f>
        <v>16.4311659790233</v>
      </c>
    </row>
    <row r="528" customFormat="false" ht="15" hidden="false" customHeight="false" outlineLevel="0" collapsed="false">
      <c r="A528" s="76" t="n">
        <v>517</v>
      </c>
      <c r="B528" s="77" t="n">
        <v>1.921748</v>
      </c>
      <c r="C528" s="78" t="n">
        <f aca="false">05_Unit_Economics!$B$15*EXP((01_Inputs!$C$20-01_Inputs!$C$21^2/2)*01_Inputs!$C$22+01_Inputs!$C$21*SQRT(01_Inputs!$C$22)*B528)</f>
        <v>106.040291497115</v>
      </c>
      <c r="D528" s="78" t="n">
        <f aca="false">MAX(C528-05_Unit_Economics!$B$21,0)</f>
        <v>68.1326860226116</v>
      </c>
      <c r="E528" s="78" t="n">
        <f aca="false">D528*EXP(-01_Inputs!$C$20*01_Inputs!$C$22)</f>
        <v>65.1998435226067</v>
      </c>
      <c r="F528" s="79"/>
    </row>
    <row r="529" customFormat="false" ht="15" hidden="false" customHeight="false" outlineLevel="0" collapsed="false">
      <c r="A529" s="76" t="n">
        <v>518</v>
      </c>
      <c r="B529" s="77" t="n">
        <v>-1.921748</v>
      </c>
      <c r="C529" s="78" t="n">
        <f aca="false">05_Unit_Economics!$B$15*EXP((01_Inputs!$C$20-01_Inputs!$C$21^2/2)*01_Inputs!$C$22+01_Inputs!$C$21*SQRT(01_Inputs!$C$22)*B529)</f>
        <v>27.6215297034556</v>
      </c>
      <c r="D529" s="78" t="n">
        <f aca="false">MAX(C529-05_Unit_Economics!$B$21,0)</f>
        <v>0</v>
      </c>
      <c r="E529" s="78" t="n">
        <f aca="false">D529*EXP(-01_Inputs!$C$20*01_Inputs!$C$22)</f>
        <v>0</v>
      </c>
      <c r="F529" s="80" t="n">
        <f aca="false">AVERAGE(E528:E529)</f>
        <v>32.5999217613033</v>
      </c>
    </row>
    <row r="530" customFormat="false" ht="15" hidden="false" customHeight="false" outlineLevel="0" collapsed="false">
      <c r="A530" s="76" t="n">
        <v>519</v>
      </c>
      <c r="B530" s="77" t="n">
        <v>-0.221441</v>
      </c>
      <c r="C530" s="78" t="n">
        <f aca="false">05_Unit_Economics!$B$15*EXP((01_Inputs!$C$20-01_Inputs!$C$21^2/2)*01_Inputs!$C$22+01_Inputs!$C$21*SQRT(01_Inputs!$C$22)*B530)</f>
        <v>50.0840693436396</v>
      </c>
      <c r="D530" s="78" t="n">
        <f aca="false">MAX(C530-05_Unit_Economics!$B$21,0)</f>
        <v>12.1764638691361</v>
      </c>
      <c r="E530" s="78" t="n">
        <f aca="false">D530*EXP(-01_Inputs!$C$20*01_Inputs!$C$22)</f>
        <v>11.6523152875974</v>
      </c>
      <c r="F530" s="79"/>
    </row>
    <row r="531" customFormat="false" ht="15" hidden="false" customHeight="false" outlineLevel="0" collapsed="false">
      <c r="A531" s="76" t="n">
        <v>520</v>
      </c>
      <c r="B531" s="77" t="n">
        <v>0.221441</v>
      </c>
      <c r="C531" s="78" t="n">
        <f aca="false">05_Unit_Economics!$B$15*EXP((01_Inputs!$C$20-01_Inputs!$C$21^2/2)*01_Inputs!$C$22+01_Inputs!$C$21*SQRT(01_Inputs!$C$22)*B531)</f>
        <v>58.4815710810971</v>
      </c>
      <c r="D531" s="78" t="n">
        <f aca="false">MAX(C531-05_Unit_Economics!$B$21,0)</f>
        <v>20.5739656065936</v>
      </c>
      <c r="E531" s="78" t="n">
        <f aca="false">D531*EXP(-01_Inputs!$C$20*01_Inputs!$C$22)</f>
        <v>19.6883378081441</v>
      </c>
      <c r="F531" s="80" t="n">
        <f aca="false">AVERAGE(E530:E531)</f>
        <v>15.6703265478707</v>
      </c>
    </row>
    <row r="532" customFormat="false" ht="15" hidden="false" customHeight="false" outlineLevel="0" collapsed="false">
      <c r="A532" s="76" t="n">
        <v>521</v>
      </c>
      <c r="B532" s="77" t="n">
        <v>-0.950512</v>
      </c>
      <c r="C532" s="78" t="n">
        <f aca="false">05_Unit_Economics!$B$15*EXP((01_Inputs!$C$20-01_Inputs!$C$21^2/2)*01_Inputs!$C$22+01_Inputs!$C$21*SQRT(01_Inputs!$C$22)*B532)</f>
        <v>38.8041861142655</v>
      </c>
      <c r="D532" s="78" t="n">
        <f aca="false">MAX(C532-05_Unit_Economics!$B$21,0)</f>
        <v>0.896580639762064</v>
      </c>
      <c r="E532" s="78" t="n">
        <f aca="false">D532*EXP(-01_Inputs!$C$20*01_Inputs!$C$22)</f>
        <v>0.857986391414023</v>
      </c>
      <c r="F532" s="79"/>
    </row>
    <row r="533" customFormat="false" ht="15" hidden="false" customHeight="false" outlineLevel="0" collapsed="false">
      <c r="A533" s="76" t="n">
        <v>522</v>
      </c>
      <c r="B533" s="77" t="n">
        <v>0.950512</v>
      </c>
      <c r="C533" s="78" t="n">
        <f aca="false">05_Unit_Economics!$B$15*EXP((01_Inputs!$C$20-01_Inputs!$C$21^2/2)*01_Inputs!$C$22+01_Inputs!$C$21*SQRT(01_Inputs!$C$22)*B533)</f>
        <v>75.4814197809929</v>
      </c>
      <c r="D533" s="78" t="n">
        <f aca="false">MAX(C533-05_Unit_Economics!$B$21,0)</f>
        <v>37.5738143064894</v>
      </c>
      <c r="E533" s="78" t="n">
        <f aca="false">D533*EXP(-01_Inputs!$C$20*01_Inputs!$C$22)</f>
        <v>35.9564102979524</v>
      </c>
      <c r="F533" s="80" t="n">
        <f aca="false">AVERAGE(E532:E533)</f>
        <v>18.4071983446832</v>
      </c>
    </row>
    <row r="534" customFormat="false" ht="15" hidden="false" customHeight="false" outlineLevel="0" collapsed="false">
      <c r="A534" s="76" t="n">
        <v>523</v>
      </c>
      <c r="B534" s="77" t="n">
        <v>0.02482</v>
      </c>
      <c r="C534" s="78" t="n">
        <f aca="false">05_Unit_Economics!$B$15*EXP((01_Inputs!$C$20-01_Inputs!$C$21^2/2)*01_Inputs!$C$22+01_Inputs!$C$21*SQRT(01_Inputs!$C$22)*B534)</f>
        <v>54.5923809706886</v>
      </c>
      <c r="D534" s="78" t="n">
        <f aca="false">MAX(C534-05_Unit_Economics!$B$21,0)</f>
        <v>16.6847754961851</v>
      </c>
      <c r="E534" s="78" t="n">
        <f aca="false">D534*EXP(-01_Inputs!$C$20*01_Inputs!$C$22)</f>
        <v>15.9665619406237</v>
      </c>
      <c r="F534" s="79"/>
    </row>
    <row r="535" customFormat="false" ht="15" hidden="false" customHeight="false" outlineLevel="0" collapsed="false">
      <c r="A535" s="76" t="n">
        <v>524</v>
      </c>
      <c r="B535" s="77" t="n">
        <v>-0.02482</v>
      </c>
      <c r="C535" s="78" t="n">
        <f aca="false">05_Unit_Economics!$B$15*EXP((01_Inputs!$C$20-01_Inputs!$C$21^2/2)*01_Inputs!$C$22+01_Inputs!$C$21*SQRT(01_Inputs!$C$22)*B535)</f>
        <v>53.6520849479576</v>
      </c>
      <c r="D535" s="78" t="n">
        <f aca="false">MAX(C535-05_Unit_Economics!$B$21,0)</f>
        <v>15.7444794734542</v>
      </c>
      <c r="E535" s="78" t="n">
        <f aca="false">D535*EXP(-01_Inputs!$C$20*01_Inputs!$C$22)</f>
        <v>15.0667419404751</v>
      </c>
      <c r="F535" s="80" t="n">
        <f aca="false">AVERAGE(E534:E535)</f>
        <v>15.5166519405494</v>
      </c>
    </row>
    <row r="536" customFormat="false" ht="15" hidden="false" customHeight="false" outlineLevel="0" collapsed="false">
      <c r="A536" s="76" t="n">
        <v>525</v>
      </c>
      <c r="B536" s="77" t="n">
        <v>-0.566659</v>
      </c>
      <c r="C536" s="78" t="n">
        <f aca="false">05_Unit_Economics!$B$15*EXP((01_Inputs!$C$20-01_Inputs!$C$21^2/2)*01_Inputs!$C$22+01_Inputs!$C$21*SQRT(01_Inputs!$C$22)*B536)</f>
        <v>44.3838950861158</v>
      </c>
      <c r="D536" s="78" t="n">
        <f aca="false">MAX(C536-05_Unit_Economics!$B$21,0)</f>
        <v>6.47628961161232</v>
      </c>
      <c r="E536" s="78" t="n">
        <f aca="false">D536*EXP(-01_Inputs!$C$20*01_Inputs!$C$22)</f>
        <v>6.19751097357399</v>
      </c>
      <c r="F536" s="79"/>
    </row>
    <row r="537" customFormat="false" ht="15" hidden="false" customHeight="false" outlineLevel="0" collapsed="false">
      <c r="A537" s="76" t="n">
        <v>526</v>
      </c>
      <c r="B537" s="77" t="n">
        <v>0.566659</v>
      </c>
      <c r="C537" s="78" t="n">
        <f aca="false">05_Unit_Economics!$B$15*EXP((01_Inputs!$C$20-01_Inputs!$C$21^2/2)*01_Inputs!$C$22+01_Inputs!$C$21*SQRT(01_Inputs!$C$22)*B537)</f>
        <v>65.9922941794016</v>
      </c>
      <c r="D537" s="78" t="n">
        <f aca="false">MAX(C537-05_Unit_Economics!$B$21,0)</f>
        <v>28.0846887048982</v>
      </c>
      <c r="E537" s="78" t="n">
        <f aca="false">D537*EXP(-01_Inputs!$C$20*01_Inputs!$C$22)</f>
        <v>26.8757540005509</v>
      </c>
      <c r="F537" s="80" t="n">
        <f aca="false">AVERAGE(E536:E537)</f>
        <v>16.5366324870624</v>
      </c>
    </row>
    <row r="538" customFormat="false" ht="15" hidden="false" customHeight="false" outlineLevel="0" collapsed="false">
      <c r="A538" s="76" t="n">
        <v>527</v>
      </c>
      <c r="B538" s="77" t="n">
        <v>1.266333</v>
      </c>
      <c r="C538" s="78" t="n">
        <f aca="false">05_Unit_Economics!$B$15*EXP((01_Inputs!$C$20-01_Inputs!$C$21^2/2)*01_Inputs!$C$22+01_Inputs!$C$21*SQRT(01_Inputs!$C$22)*B538)</f>
        <v>84.303541967965</v>
      </c>
      <c r="D538" s="78" t="n">
        <f aca="false">MAX(C538-05_Unit_Economics!$B$21,0)</f>
        <v>46.3959364934615</v>
      </c>
      <c r="E538" s="78" t="n">
        <f aca="false">D538*EXP(-01_Inputs!$C$20*01_Inputs!$C$22)</f>
        <v>44.3987750380862</v>
      </c>
      <c r="F538" s="79"/>
    </row>
    <row r="539" customFormat="false" ht="15" hidden="false" customHeight="false" outlineLevel="0" collapsed="false">
      <c r="A539" s="76" t="n">
        <v>528</v>
      </c>
      <c r="B539" s="77" t="n">
        <v>-1.266333</v>
      </c>
      <c r="C539" s="78" t="n">
        <f aca="false">05_Unit_Economics!$B$15*EXP((01_Inputs!$C$20-01_Inputs!$C$21^2/2)*01_Inputs!$C$22+01_Inputs!$C$21*SQRT(01_Inputs!$C$22)*B539)</f>
        <v>34.7434401091197</v>
      </c>
      <c r="D539" s="78" t="n">
        <f aca="false">MAX(C539-05_Unit_Economics!$B$21,0)</f>
        <v>0</v>
      </c>
      <c r="E539" s="78" t="n">
        <f aca="false">D539*EXP(-01_Inputs!$C$20*01_Inputs!$C$22)</f>
        <v>0</v>
      </c>
      <c r="F539" s="80" t="n">
        <f aca="false">AVERAGE(E538:E539)</f>
        <v>22.1993875190431</v>
      </c>
    </row>
    <row r="540" customFormat="false" ht="15" hidden="false" customHeight="false" outlineLevel="0" collapsed="false">
      <c r="A540" s="76" t="n">
        <v>529</v>
      </c>
      <c r="B540" s="77" t="n">
        <v>0.175417</v>
      </c>
      <c r="C540" s="78" t="n">
        <f aca="false">05_Unit_Economics!$B$15*EXP((01_Inputs!$C$20-01_Inputs!$C$21^2/2)*01_Inputs!$C$22+01_Inputs!$C$21*SQRT(01_Inputs!$C$22)*B540)</f>
        <v>57.547073379791</v>
      </c>
      <c r="D540" s="78" t="n">
        <f aca="false">MAX(C540-05_Unit_Economics!$B$21,0)</f>
        <v>19.6394679052875</v>
      </c>
      <c r="E540" s="78" t="n">
        <f aca="false">D540*EXP(-01_Inputs!$C$20*01_Inputs!$C$22)</f>
        <v>18.7940665346298</v>
      </c>
      <c r="F540" s="79"/>
    </row>
    <row r="541" customFormat="false" ht="15" hidden="false" customHeight="false" outlineLevel="0" collapsed="false">
      <c r="A541" s="76" t="n">
        <v>530</v>
      </c>
      <c r="B541" s="77" t="n">
        <v>-0.175417</v>
      </c>
      <c r="C541" s="78" t="n">
        <f aca="false">05_Unit_Economics!$B$15*EXP((01_Inputs!$C$20-01_Inputs!$C$21^2/2)*01_Inputs!$C$22+01_Inputs!$C$21*SQRT(01_Inputs!$C$22)*B541)</f>
        <v>50.8973765185293</v>
      </c>
      <c r="D541" s="78" t="n">
        <f aca="false">MAX(C541-05_Unit_Economics!$B$21,0)</f>
        <v>12.9897710440258</v>
      </c>
      <c r="E541" s="78" t="n">
        <f aca="false">D541*EXP(-01_Inputs!$C$20*01_Inputs!$C$22)</f>
        <v>12.4306128072493</v>
      </c>
      <c r="F541" s="80" t="n">
        <f aca="false">AVERAGE(E540:E541)</f>
        <v>15.6123396709395</v>
      </c>
    </row>
    <row r="542" customFormat="false" ht="15" hidden="false" customHeight="false" outlineLevel="0" collapsed="false">
      <c r="A542" s="76" t="n">
        <v>531</v>
      </c>
      <c r="B542" s="77" t="n">
        <v>0.136338</v>
      </c>
      <c r="C542" s="78" t="n">
        <f aca="false">05_Unit_Economics!$B$15*EXP((01_Inputs!$C$20-01_Inputs!$C$21^2/2)*01_Inputs!$C$22+01_Inputs!$C$21*SQRT(01_Inputs!$C$22)*B542)</f>
        <v>56.7653230923134</v>
      </c>
      <c r="D542" s="78" t="n">
        <f aca="false">MAX(C542-05_Unit_Economics!$B$21,0)</f>
        <v>18.85771761781</v>
      </c>
      <c r="E542" s="78" t="n">
        <f aca="false">D542*EXP(-01_Inputs!$C$20*01_Inputs!$C$22)</f>
        <v>18.0459675032725</v>
      </c>
      <c r="F542" s="79"/>
    </row>
    <row r="543" customFormat="false" ht="15" hidden="false" customHeight="false" outlineLevel="0" collapsed="false">
      <c r="A543" s="76" t="n">
        <v>532</v>
      </c>
      <c r="B543" s="77" t="n">
        <v>-0.136338</v>
      </c>
      <c r="C543" s="78" t="n">
        <f aca="false">05_Unit_Economics!$B$15*EXP((01_Inputs!$C$20-01_Inputs!$C$21^2/2)*01_Inputs!$C$22+01_Inputs!$C$21*SQRT(01_Inputs!$C$22)*B543)</f>
        <v>51.5983156933227</v>
      </c>
      <c r="D543" s="78" t="n">
        <f aca="false">MAX(C543-05_Unit_Economics!$B$21,0)</f>
        <v>13.6907102188193</v>
      </c>
      <c r="E543" s="78" t="n">
        <f aca="false">D543*EXP(-01_Inputs!$C$20*01_Inputs!$C$22)</f>
        <v>13.1013793245158</v>
      </c>
      <c r="F543" s="80" t="n">
        <f aca="false">AVERAGE(E542:E543)</f>
        <v>15.5736734138941</v>
      </c>
    </row>
    <row r="544" customFormat="false" ht="15" hidden="false" customHeight="false" outlineLevel="0" collapsed="false">
      <c r="A544" s="76" t="n">
        <v>533</v>
      </c>
      <c r="B544" s="77" t="n">
        <v>2.071039</v>
      </c>
      <c r="C544" s="78" t="n">
        <f aca="false">05_Unit_Economics!$B$15*EXP((01_Inputs!$C$20-01_Inputs!$C$21^2/2)*01_Inputs!$C$22+01_Inputs!$C$21*SQRT(01_Inputs!$C$22)*B544)</f>
        <v>111.72840604809</v>
      </c>
      <c r="D544" s="78" t="n">
        <f aca="false">MAX(C544-05_Unit_Economics!$B$21,0)</f>
        <v>73.8208005735861</v>
      </c>
      <c r="E544" s="78" t="n">
        <f aca="false">D544*EXP(-01_Inputs!$C$20*01_Inputs!$C$22)</f>
        <v>70.6431072527218</v>
      </c>
      <c r="F544" s="79"/>
    </row>
    <row r="545" customFormat="false" ht="15" hidden="false" customHeight="false" outlineLevel="0" collapsed="false">
      <c r="A545" s="76" t="n">
        <v>534</v>
      </c>
      <c r="B545" s="77" t="n">
        <v>-2.071039</v>
      </c>
      <c r="C545" s="78" t="n">
        <f aca="false">05_Unit_Economics!$B$15*EXP((01_Inputs!$C$20-01_Inputs!$C$21^2/2)*01_Inputs!$C$22+01_Inputs!$C$21*SQRT(01_Inputs!$C$22)*B545)</f>
        <v>26.2153123359691</v>
      </c>
      <c r="D545" s="78" t="n">
        <f aca="false">MAX(C545-05_Unit_Economics!$B$21,0)</f>
        <v>0</v>
      </c>
      <c r="E545" s="78" t="n">
        <f aca="false">D545*EXP(-01_Inputs!$C$20*01_Inputs!$C$22)</f>
        <v>0</v>
      </c>
      <c r="F545" s="80" t="n">
        <f aca="false">AVERAGE(E544:E545)</f>
        <v>35.3215536263609</v>
      </c>
    </row>
    <row r="546" customFormat="false" ht="15" hidden="false" customHeight="false" outlineLevel="0" collapsed="false">
      <c r="A546" s="76" t="n">
        <v>535</v>
      </c>
      <c r="B546" s="77" t="n">
        <v>0.88493</v>
      </c>
      <c r="C546" s="78" t="n">
        <f aca="false">05_Unit_Economics!$B$15*EXP((01_Inputs!$C$20-01_Inputs!$C$21^2/2)*01_Inputs!$C$22+01_Inputs!$C$21*SQRT(01_Inputs!$C$22)*B546)</f>
        <v>73.76857517987</v>
      </c>
      <c r="D546" s="78" t="n">
        <f aca="false">MAX(C546-05_Unit_Economics!$B$21,0)</f>
        <v>35.8609697053666</v>
      </c>
      <c r="E546" s="78" t="n">
        <f aca="false">D546*EXP(-01_Inputs!$C$20*01_Inputs!$C$22)</f>
        <v>34.3172968783716</v>
      </c>
      <c r="F546" s="79"/>
    </row>
    <row r="547" customFormat="false" ht="15" hidden="false" customHeight="false" outlineLevel="0" collapsed="false">
      <c r="A547" s="76" t="n">
        <v>536</v>
      </c>
      <c r="B547" s="77" t="n">
        <v>-0.88493</v>
      </c>
      <c r="C547" s="78" t="n">
        <f aca="false">05_Unit_Economics!$B$15*EXP((01_Inputs!$C$20-01_Inputs!$C$21^2/2)*01_Inputs!$C$22+01_Inputs!$C$21*SQRT(01_Inputs!$C$22)*B547)</f>
        <v>39.705186852381</v>
      </c>
      <c r="D547" s="78" t="n">
        <f aca="false">MAX(C547-05_Unit_Economics!$B$21,0)</f>
        <v>1.79758137787749</v>
      </c>
      <c r="E547" s="78" t="n">
        <f aca="false">D547*EXP(-01_Inputs!$C$20*01_Inputs!$C$22)</f>
        <v>1.72020261343971</v>
      </c>
      <c r="F547" s="80" t="n">
        <f aca="false">AVERAGE(E546:E547)</f>
        <v>18.0187497459056</v>
      </c>
    </row>
    <row r="548" customFormat="false" ht="15" hidden="false" customHeight="false" outlineLevel="0" collapsed="false">
      <c r="A548" s="76" t="n">
        <v>537</v>
      </c>
      <c r="B548" s="77" t="n">
        <v>-0.435055</v>
      </c>
      <c r="C548" s="78" t="n">
        <f aca="false">05_Unit_Economics!$B$15*EXP((01_Inputs!$C$20-01_Inputs!$C$21^2/2)*01_Inputs!$C$22+01_Inputs!$C$21*SQRT(01_Inputs!$C$22)*B548)</f>
        <v>46.4760943478574</v>
      </c>
      <c r="D548" s="78" t="n">
        <f aca="false">MAX(C548-05_Unit_Economics!$B$21,0)</f>
        <v>8.56848887335396</v>
      </c>
      <c r="E548" s="78" t="n">
        <f aca="false">D548*EXP(-01_Inputs!$C$20*01_Inputs!$C$22)</f>
        <v>8.19964933691984</v>
      </c>
      <c r="F548" s="79"/>
    </row>
    <row r="549" customFormat="false" ht="15" hidden="false" customHeight="false" outlineLevel="0" collapsed="false">
      <c r="A549" s="76" t="n">
        <v>538</v>
      </c>
      <c r="B549" s="77" t="n">
        <v>0.435055</v>
      </c>
      <c r="C549" s="78" t="n">
        <f aca="false">05_Unit_Economics!$B$15*EXP((01_Inputs!$C$20-01_Inputs!$C$21^2/2)*01_Inputs!$C$22+01_Inputs!$C$21*SQRT(01_Inputs!$C$22)*B549)</f>
        <v>63.0215404811803</v>
      </c>
      <c r="D549" s="78" t="n">
        <f aca="false">MAX(C549-05_Unit_Economics!$B$21,0)</f>
        <v>25.1139350066768</v>
      </c>
      <c r="E549" s="78" t="n">
        <f aca="false">D549*EXP(-01_Inputs!$C$20*01_Inputs!$C$22)</f>
        <v>24.0328794923603</v>
      </c>
      <c r="F549" s="80" t="n">
        <f aca="false">AVERAGE(E548:E549)</f>
        <v>16.1162644146401</v>
      </c>
    </row>
    <row r="550" customFormat="false" ht="15" hidden="false" customHeight="false" outlineLevel="0" collapsed="false">
      <c r="A550" s="76" t="n">
        <v>539</v>
      </c>
      <c r="B550" s="77" t="n">
        <v>0.069298</v>
      </c>
      <c r="C550" s="78" t="n">
        <f aca="false">05_Unit_Economics!$B$15*EXP((01_Inputs!$C$20-01_Inputs!$C$21^2/2)*01_Inputs!$C$22+01_Inputs!$C$21*SQRT(01_Inputs!$C$22)*B550)</f>
        <v>55.4488863842195</v>
      </c>
      <c r="D550" s="78" t="n">
        <f aca="false">MAX(C550-05_Unit_Economics!$B$21,0)</f>
        <v>17.541280909716</v>
      </c>
      <c r="E550" s="78" t="n">
        <f aca="false">D550*EXP(-01_Inputs!$C$20*01_Inputs!$C$22)</f>
        <v>16.7861981856992</v>
      </c>
      <c r="F550" s="79"/>
    </row>
    <row r="551" customFormat="false" ht="15" hidden="false" customHeight="false" outlineLevel="0" collapsed="false">
      <c r="A551" s="76" t="n">
        <v>540</v>
      </c>
      <c r="B551" s="77" t="n">
        <v>-0.069298</v>
      </c>
      <c r="C551" s="78" t="n">
        <f aca="false">05_Unit_Economics!$B$15*EXP((01_Inputs!$C$20-01_Inputs!$C$21^2/2)*01_Inputs!$C$22+01_Inputs!$C$21*SQRT(01_Inputs!$C$22)*B551)</f>
        <v>52.8233342876338</v>
      </c>
      <c r="D551" s="78" t="n">
        <f aca="false">MAX(C551-05_Unit_Economics!$B$21,0)</f>
        <v>14.9157288131303</v>
      </c>
      <c r="E551" s="78" t="n">
        <f aca="false">D551*EXP(-01_Inputs!$C$20*01_Inputs!$C$22)</f>
        <v>14.2736657163198</v>
      </c>
      <c r="F551" s="80" t="n">
        <f aca="false">AVERAGE(E550:E551)</f>
        <v>15.5299319510095</v>
      </c>
    </row>
    <row r="552" customFormat="false" ht="15" hidden="false" customHeight="false" outlineLevel="0" collapsed="false">
      <c r="A552" s="76" t="n">
        <v>541</v>
      </c>
      <c r="B552" s="77" t="n">
        <v>1.756078</v>
      </c>
      <c r="C552" s="78" t="n">
        <f aca="false">05_Unit_Economics!$B$15*EXP((01_Inputs!$C$20-01_Inputs!$C$21^2/2)*01_Inputs!$C$22+01_Inputs!$C$21*SQRT(01_Inputs!$C$22)*B552)</f>
        <v>100.066466515646</v>
      </c>
      <c r="D552" s="78" t="n">
        <f aca="false">MAX(C552-05_Unit_Economics!$B$21,0)</f>
        <v>62.1588610411425</v>
      </c>
      <c r="E552" s="78" t="n">
        <f aca="false">D552*EXP(-01_Inputs!$C$20*01_Inputs!$C$22)</f>
        <v>59.4831680653385</v>
      </c>
      <c r="F552" s="79"/>
    </row>
    <row r="553" customFormat="false" ht="15" hidden="false" customHeight="false" outlineLevel="0" collapsed="false">
      <c r="A553" s="76" t="n">
        <v>542</v>
      </c>
      <c r="B553" s="77" t="n">
        <v>-1.756078</v>
      </c>
      <c r="C553" s="78" t="n">
        <f aca="false">05_Unit_Economics!$B$15*EXP((01_Inputs!$C$20-01_Inputs!$C$21^2/2)*01_Inputs!$C$22+01_Inputs!$C$21*SQRT(01_Inputs!$C$22)*B553)</f>
        <v>29.2704955350121</v>
      </c>
      <c r="D553" s="78" t="n">
        <f aca="false">MAX(C553-05_Unit_Economics!$B$21,0)</f>
        <v>0</v>
      </c>
      <c r="E553" s="78" t="n">
        <f aca="false">D553*EXP(-01_Inputs!$C$20*01_Inputs!$C$22)</f>
        <v>0</v>
      </c>
      <c r="F553" s="80" t="n">
        <f aca="false">AVERAGE(E552:E553)</f>
        <v>29.7415840326692</v>
      </c>
    </row>
    <row r="554" customFormat="false" ht="15" hidden="false" customHeight="false" outlineLevel="0" collapsed="false">
      <c r="A554" s="76" t="n">
        <v>543</v>
      </c>
      <c r="B554" s="77" t="n">
        <v>0.057906</v>
      </c>
      <c r="C554" s="78" t="n">
        <f aca="false">05_Unit_Economics!$B$15*EXP((01_Inputs!$C$20-01_Inputs!$C$21^2/2)*01_Inputs!$C$22+01_Inputs!$C$21*SQRT(01_Inputs!$C$22)*B554)</f>
        <v>55.2282407558673</v>
      </c>
      <c r="D554" s="78" t="n">
        <f aca="false">MAX(C554-05_Unit_Economics!$B$21,0)</f>
        <v>17.3206352813638</v>
      </c>
      <c r="E554" s="78" t="n">
        <f aca="false">D554*EXP(-01_Inputs!$C$20*01_Inputs!$C$22)</f>
        <v>16.5750504784484</v>
      </c>
      <c r="F554" s="79"/>
    </row>
    <row r="555" customFormat="false" ht="15" hidden="false" customHeight="false" outlineLevel="0" collapsed="false">
      <c r="A555" s="76" t="n">
        <v>544</v>
      </c>
      <c r="B555" s="77" t="n">
        <v>-0.057906</v>
      </c>
      <c r="C555" s="78" t="n">
        <f aca="false">05_Unit_Economics!$B$15*EXP((01_Inputs!$C$20-01_Inputs!$C$21^2/2)*01_Inputs!$C$22+01_Inputs!$C$21*SQRT(01_Inputs!$C$22)*B555)</f>
        <v>53.0343719311661</v>
      </c>
      <c r="D555" s="78" t="n">
        <f aca="false">MAX(C555-05_Unit_Economics!$B$21,0)</f>
        <v>15.1267664566626</v>
      </c>
      <c r="E555" s="78" t="n">
        <f aca="false">D555*EXP(-01_Inputs!$C$20*01_Inputs!$C$22)</f>
        <v>14.4756190244739</v>
      </c>
      <c r="F555" s="80" t="n">
        <f aca="false">AVERAGE(E554:E555)</f>
        <v>15.5253347514611</v>
      </c>
    </row>
    <row r="556" customFormat="false" ht="15" hidden="false" customHeight="false" outlineLevel="0" collapsed="false">
      <c r="A556" s="76" t="n">
        <v>545</v>
      </c>
      <c r="B556" s="77" t="n">
        <v>0.048875</v>
      </c>
      <c r="C556" s="78" t="n">
        <f aca="false">05_Unit_Economics!$B$15*EXP((01_Inputs!$C$20-01_Inputs!$C$21^2/2)*01_Inputs!$C$22+01_Inputs!$C$21*SQRT(01_Inputs!$C$22)*B556)</f>
        <v>55.0539481725428</v>
      </c>
      <c r="D556" s="78" t="n">
        <f aca="false">MAX(C556-05_Unit_Economics!$B$21,0)</f>
        <v>17.1463426980393</v>
      </c>
      <c r="E556" s="78" t="n">
        <f aca="false">D556*EXP(-01_Inputs!$C$20*01_Inputs!$C$22)</f>
        <v>16.4082605010778</v>
      </c>
      <c r="F556" s="79"/>
    </row>
    <row r="557" customFormat="false" ht="15" hidden="false" customHeight="false" outlineLevel="0" collapsed="false">
      <c r="A557" s="76" t="n">
        <v>546</v>
      </c>
      <c r="B557" s="77" t="n">
        <v>-0.048875</v>
      </c>
      <c r="C557" s="78" t="n">
        <f aca="false">05_Unit_Economics!$B$15*EXP((01_Inputs!$C$20-01_Inputs!$C$21^2/2)*01_Inputs!$C$22+01_Inputs!$C$21*SQRT(01_Inputs!$C$22)*B557)</f>
        <v>53.2022708375244</v>
      </c>
      <c r="D557" s="78" t="n">
        <f aca="false">MAX(C557-05_Unit_Economics!$B$21,0)</f>
        <v>15.2946653630209</v>
      </c>
      <c r="E557" s="78" t="n">
        <f aca="false">D557*EXP(-01_Inputs!$C$20*01_Inputs!$C$22)</f>
        <v>14.6362905473688</v>
      </c>
      <c r="F557" s="80" t="n">
        <f aca="false">AVERAGE(E556:E557)</f>
        <v>15.5222755242233</v>
      </c>
    </row>
    <row r="558" customFormat="false" ht="15" hidden="false" customHeight="false" outlineLevel="0" collapsed="false">
      <c r="A558" s="76" t="n">
        <v>547</v>
      </c>
      <c r="B558" s="77" t="n">
        <v>-1.423658</v>
      </c>
      <c r="C558" s="78" t="n">
        <f aca="false">05_Unit_Economics!$B$15*EXP((01_Inputs!$C$20-01_Inputs!$C$21^2/2)*01_Inputs!$C$22+01_Inputs!$C$21*SQRT(01_Inputs!$C$22)*B558)</f>
        <v>32.8820537543476</v>
      </c>
      <c r="D558" s="78" t="n">
        <f aca="false">MAX(C558-05_Unit_Economics!$B$21,0)</f>
        <v>0</v>
      </c>
      <c r="E558" s="78" t="n">
        <f aca="false">D558*EXP(-01_Inputs!$C$20*01_Inputs!$C$22)</f>
        <v>0</v>
      </c>
      <c r="F558" s="79"/>
    </row>
    <row r="559" customFormat="false" ht="15" hidden="false" customHeight="false" outlineLevel="0" collapsed="false">
      <c r="A559" s="76" t="n">
        <v>548</v>
      </c>
      <c r="B559" s="77" t="n">
        <v>1.423658</v>
      </c>
      <c r="C559" s="78" t="n">
        <f aca="false">05_Unit_Economics!$B$15*EXP((01_Inputs!$C$20-01_Inputs!$C$21^2/2)*01_Inputs!$C$22+01_Inputs!$C$21*SQRT(01_Inputs!$C$22)*B559)</f>
        <v>89.0757944510504</v>
      </c>
      <c r="D559" s="78" t="n">
        <f aca="false">MAX(C559-05_Unit_Economics!$B$21,0)</f>
        <v>51.1681889765469</v>
      </c>
      <c r="E559" s="78" t="n">
        <f aca="false">D559*EXP(-01_Inputs!$C$20*01_Inputs!$C$22)</f>
        <v>48.9656009378353</v>
      </c>
      <c r="F559" s="80" t="n">
        <f aca="false">AVERAGE(E558:E559)</f>
        <v>24.4828004689176</v>
      </c>
    </row>
    <row r="560" customFormat="false" ht="15" hidden="false" customHeight="false" outlineLevel="0" collapsed="false">
      <c r="A560" s="76" t="n">
        <v>549</v>
      </c>
      <c r="B560" s="77" t="n">
        <v>2.748245</v>
      </c>
      <c r="C560" s="78" t="n">
        <f aca="false">05_Unit_Economics!$B$15*EXP((01_Inputs!$C$20-01_Inputs!$C$21^2/2)*01_Inputs!$C$22+01_Inputs!$C$21*SQRT(01_Inputs!$C$22)*B560)</f>
        <v>141.61230544621</v>
      </c>
      <c r="D560" s="78" t="n">
        <f aca="false">MAX(C560-05_Unit_Economics!$B$21,0)</f>
        <v>103.704699971706</v>
      </c>
      <c r="E560" s="78" t="n">
        <f aca="false">D560*EXP(-01_Inputs!$C$20*01_Inputs!$C$22)</f>
        <v>99.2406230464791</v>
      </c>
      <c r="F560" s="79"/>
    </row>
    <row r="561" customFormat="false" ht="15" hidden="false" customHeight="false" outlineLevel="0" collapsed="false">
      <c r="A561" s="76" t="n">
        <v>550</v>
      </c>
      <c r="B561" s="77" t="n">
        <v>-2.748245</v>
      </c>
      <c r="C561" s="78" t="n">
        <f aca="false">05_Unit_Economics!$B$15*EXP((01_Inputs!$C$20-01_Inputs!$C$21^2/2)*01_Inputs!$C$22+01_Inputs!$C$21*SQRT(01_Inputs!$C$22)*B561)</f>
        <v>20.6831959420589</v>
      </c>
      <c r="D561" s="78" t="n">
        <f aca="false">MAX(C561-05_Unit_Economics!$B$21,0)</f>
        <v>0</v>
      </c>
      <c r="E561" s="78" t="n">
        <f aca="false">D561*EXP(-01_Inputs!$C$20*01_Inputs!$C$22)</f>
        <v>0</v>
      </c>
      <c r="F561" s="80" t="n">
        <f aca="false">AVERAGE(E560:E561)</f>
        <v>49.6203115232396</v>
      </c>
    </row>
    <row r="562" customFormat="false" ht="15" hidden="false" customHeight="false" outlineLevel="0" collapsed="false">
      <c r="A562" s="76" t="n">
        <v>551</v>
      </c>
      <c r="B562" s="77" t="n">
        <v>0.364273</v>
      </c>
      <c r="C562" s="78" t="n">
        <f aca="false">05_Unit_Economics!$B$15*EXP((01_Inputs!$C$20-01_Inputs!$C$21^2/2)*01_Inputs!$C$22+01_Inputs!$C$21*SQRT(01_Inputs!$C$22)*B562)</f>
        <v>61.4794443267267</v>
      </c>
      <c r="D562" s="78" t="n">
        <f aca="false">MAX(C562-05_Unit_Economics!$B$21,0)</f>
        <v>23.5718388522233</v>
      </c>
      <c r="E562" s="78" t="n">
        <f aca="false">D562*EXP(-01_Inputs!$C$20*01_Inputs!$C$22)</f>
        <v>22.557164474552</v>
      </c>
      <c r="F562" s="79"/>
    </row>
    <row r="563" customFormat="false" ht="15" hidden="false" customHeight="false" outlineLevel="0" collapsed="false">
      <c r="A563" s="76" t="n">
        <v>552</v>
      </c>
      <c r="B563" s="77" t="n">
        <v>-0.364273</v>
      </c>
      <c r="C563" s="78" t="n">
        <f aca="false">05_Unit_Economics!$B$15*EXP((01_Inputs!$C$20-01_Inputs!$C$21^2/2)*01_Inputs!$C$22+01_Inputs!$C$21*SQRT(01_Inputs!$C$22)*B563)</f>
        <v>47.6418597049248</v>
      </c>
      <c r="D563" s="78" t="n">
        <f aca="false">MAX(C563-05_Unit_Economics!$B$21,0)</f>
        <v>9.73425423042137</v>
      </c>
      <c r="E563" s="78" t="n">
        <f aca="false">D563*EXP(-01_Inputs!$C$20*01_Inputs!$C$22)</f>
        <v>9.31523310885048</v>
      </c>
      <c r="F563" s="80" t="n">
        <f aca="false">AVERAGE(E562:E563)</f>
        <v>15.9361987917012</v>
      </c>
    </row>
    <row r="564" customFormat="false" ht="15" hidden="false" customHeight="false" outlineLevel="0" collapsed="false">
      <c r="A564" s="76" t="n">
        <v>553</v>
      </c>
      <c r="B564" s="77" t="n">
        <v>0.310455</v>
      </c>
      <c r="C564" s="78" t="n">
        <f aca="false">05_Unit_Economics!$B$15*EXP((01_Inputs!$C$20-01_Inputs!$C$21^2/2)*01_Inputs!$C$22+01_Inputs!$C$21*SQRT(01_Inputs!$C$22)*B564)</f>
        <v>60.3322375544893</v>
      </c>
      <c r="D564" s="78" t="n">
        <f aca="false">MAX(C564-05_Unit_Economics!$B$21,0)</f>
        <v>22.4246320799858</v>
      </c>
      <c r="E564" s="78" t="n">
        <f aca="false">D564*EXP(-01_Inputs!$C$20*01_Inputs!$C$22)</f>
        <v>21.4593404138195</v>
      </c>
      <c r="F564" s="79"/>
    </row>
    <row r="565" customFormat="false" ht="15" hidden="false" customHeight="false" outlineLevel="0" collapsed="false">
      <c r="A565" s="76" t="n">
        <v>554</v>
      </c>
      <c r="B565" s="77" t="n">
        <v>-0.310455</v>
      </c>
      <c r="C565" s="78" t="n">
        <f aca="false">05_Unit_Economics!$B$15*EXP((01_Inputs!$C$20-01_Inputs!$C$21^2/2)*01_Inputs!$C$22+01_Inputs!$C$21*SQRT(01_Inputs!$C$22)*B565)</f>
        <v>48.547761198237</v>
      </c>
      <c r="D565" s="78" t="n">
        <f aca="false">MAX(C565-05_Unit_Economics!$B$21,0)</f>
        <v>10.6401557237335</v>
      </c>
      <c r="E565" s="78" t="n">
        <f aca="false">D565*EXP(-01_Inputs!$C$20*01_Inputs!$C$22)</f>
        <v>10.1821391279563</v>
      </c>
      <c r="F565" s="80" t="n">
        <f aca="false">AVERAGE(E564:E565)</f>
        <v>15.8207397708879</v>
      </c>
    </row>
    <row r="566" customFormat="false" ht="15" hidden="false" customHeight="false" outlineLevel="0" collapsed="false">
      <c r="A566" s="76" t="n">
        <v>555</v>
      </c>
      <c r="B566" s="77" t="n">
        <v>1.320466</v>
      </c>
      <c r="C566" s="78" t="n">
        <f aca="false">05_Unit_Economics!$B$15*EXP((01_Inputs!$C$20-01_Inputs!$C$21^2/2)*01_Inputs!$C$22+01_Inputs!$C$21*SQRT(01_Inputs!$C$22)*B566)</f>
        <v>85.9160305526353</v>
      </c>
      <c r="D566" s="78" t="n">
        <f aca="false">MAX(C566-05_Unit_Economics!$B$21,0)</f>
        <v>48.0084250781319</v>
      </c>
      <c r="E566" s="78" t="n">
        <f aca="false">D566*EXP(-01_Inputs!$C$20*01_Inputs!$C$22)</f>
        <v>45.9418523705665</v>
      </c>
      <c r="F566" s="79"/>
    </row>
    <row r="567" customFormat="false" ht="15" hidden="false" customHeight="false" outlineLevel="0" collapsed="false">
      <c r="A567" s="76" t="n">
        <v>556</v>
      </c>
      <c r="B567" s="77" t="n">
        <v>-1.320466</v>
      </c>
      <c r="C567" s="78" t="n">
        <f aca="false">05_Unit_Economics!$B$15*EXP((01_Inputs!$C$20-01_Inputs!$C$21^2/2)*01_Inputs!$C$22+01_Inputs!$C$21*SQRT(01_Inputs!$C$22)*B567)</f>
        <v>34.0913685433389</v>
      </c>
      <c r="D567" s="78" t="n">
        <f aca="false">MAX(C567-05_Unit_Economics!$B$21,0)</f>
        <v>0</v>
      </c>
      <c r="E567" s="78" t="n">
        <f aca="false">D567*EXP(-01_Inputs!$C$20*01_Inputs!$C$22)</f>
        <v>0</v>
      </c>
      <c r="F567" s="80" t="n">
        <f aca="false">AVERAGE(E566:E567)</f>
        <v>22.9709261852833</v>
      </c>
    </row>
    <row r="568" customFormat="false" ht="15" hidden="false" customHeight="false" outlineLevel="0" collapsed="false">
      <c r="A568" s="76" t="n">
        <v>557</v>
      </c>
      <c r="B568" s="77" t="n">
        <v>-0.170587</v>
      </c>
      <c r="C568" s="78" t="n">
        <f aca="false">05_Unit_Economics!$B$15*EXP((01_Inputs!$C$20-01_Inputs!$C$21^2/2)*01_Inputs!$C$22+01_Inputs!$C$21*SQRT(01_Inputs!$C$22)*B568)</f>
        <v>50.983491301546</v>
      </c>
      <c r="D568" s="78" t="n">
        <f aca="false">MAX(C568-05_Unit_Economics!$B$21,0)</f>
        <v>13.0758858270425</v>
      </c>
      <c r="E568" s="78" t="n">
        <f aca="false">D568*EXP(-01_Inputs!$C$20*01_Inputs!$C$22)</f>
        <v>12.5130206896541</v>
      </c>
      <c r="F568" s="79"/>
    </row>
    <row r="569" customFormat="false" ht="15" hidden="false" customHeight="false" outlineLevel="0" collapsed="false">
      <c r="A569" s="76" t="n">
        <v>558</v>
      </c>
      <c r="B569" s="77" t="n">
        <v>0.170587</v>
      </c>
      <c r="C569" s="78" t="n">
        <f aca="false">05_Unit_Economics!$B$15*EXP((01_Inputs!$C$20-01_Inputs!$C$21^2/2)*01_Inputs!$C$22+01_Inputs!$C$21*SQRT(01_Inputs!$C$22)*B569)</f>
        <v>57.4498722346587</v>
      </c>
      <c r="D569" s="78" t="n">
        <f aca="false">MAX(C569-05_Unit_Economics!$B$21,0)</f>
        <v>19.5422667601553</v>
      </c>
      <c r="E569" s="78" t="n">
        <f aca="false">D569*EXP(-01_Inputs!$C$20*01_Inputs!$C$22)</f>
        <v>18.7010495141245</v>
      </c>
      <c r="F569" s="80" t="n">
        <f aca="false">AVERAGE(E568:E569)</f>
        <v>15.6070351018893</v>
      </c>
    </row>
    <row r="570" customFormat="false" ht="15" hidden="false" customHeight="false" outlineLevel="0" collapsed="false">
      <c r="A570" s="76" t="n">
        <v>559</v>
      </c>
      <c r="B570" s="77" t="n">
        <v>-0.12866</v>
      </c>
      <c r="C570" s="78" t="n">
        <f aca="false">05_Unit_Economics!$B$15*EXP((01_Inputs!$C$20-01_Inputs!$C$21^2/2)*01_Inputs!$C$22+01_Inputs!$C$21*SQRT(01_Inputs!$C$22)*B570)</f>
        <v>51.7371623248041</v>
      </c>
      <c r="D570" s="78" t="n">
        <f aca="false">MAX(C570-05_Unit_Economics!$B$21,0)</f>
        <v>13.8295568503006</v>
      </c>
      <c r="E570" s="78" t="n">
        <f aca="false">D570*EXP(-01_Inputs!$C$20*01_Inputs!$C$22)</f>
        <v>13.2342491579937</v>
      </c>
      <c r="F570" s="79"/>
    </row>
    <row r="571" customFormat="false" ht="15" hidden="false" customHeight="false" outlineLevel="0" collapsed="false">
      <c r="A571" s="76" t="n">
        <v>560</v>
      </c>
      <c r="B571" s="77" t="n">
        <v>0.12866</v>
      </c>
      <c r="C571" s="78" t="n">
        <f aca="false">05_Unit_Economics!$B$15*EXP((01_Inputs!$C$20-01_Inputs!$C$21^2/2)*01_Inputs!$C$22+01_Inputs!$C$21*SQRT(01_Inputs!$C$22)*B571)</f>
        <v>56.6129824237851</v>
      </c>
      <c r="D571" s="78" t="n">
        <f aca="false">MAX(C571-05_Unit_Economics!$B$21,0)</f>
        <v>18.7053769492816</v>
      </c>
      <c r="E571" s="78" t="n">
        <f aca="false">D571*EXP(-01_Inputs!$C$20*01_Inputs!$C$22)</f>
        <v>17.9001844976402</v>
      </c>
      <c r="F571" s="80" t="n">
        <f aca="false">AVERAGE(E570:E571)</f>
        <v>15.5672168278169</v>
      </c>
    </row>
    <row r="572" customFormat="false" ht="15" hidden="false" customHeight="false" outlineLevel="0" collapsed="false">
      <c r="A572" s="76" t="n">
        <v>561</v>
      </c>
      <c r="B572" s="77" t="n">
        <v>0.59432</v>
      </c>
      <c r="C572" s="78" t="n">
        <f aca="false">05_Unit_Economics!$B$15*EXP((01_Inputs!$C$20-01_Inputs!$C$21^2/2)*01_Inputs!$C$22+01_Inputs!$C$21*SQRT(01_Inputs!$C$22)*B572)</f>
        <v>66.63429136192</v>
      </c>
      <c r="D572" s="78" t="n">
        <f aca="false">MAX(C572-05_Unit_Economics!$B$21,0)</f>
        <v>28.7266858874165</v>
      </c>
      <c r="E572" s="78" t="n">
        <f aca="false">D572*EXP(-01_Inputs!$C$20*01_Inputs!$C$22)</f>
        <v>27.4901157450483</v>
      </c>
      <c r="F572" s="79"/>
    </row>
    <row r="573" customFormat="false" ht="15" hidden="false" customHeight="false" outlineLevel="0" collapsed="false">
      <c r="A573" s="76" t="n">
        <v>562</v>
      </c>
      <c r="B573" s="77" t="n">
        <v>-0.59432</v>
      </c>
      <c r="C573" s="78" t="n">
        <f aca="false">05_Unit_Economics!$B$15*EXP((01_Inputs!$C$20-01_Inputs!$C$21^2/2)*01_Inputs!$C$22+01_Inputs!$C$21*SQRT(01_Inputs!$C$22)*B573)</f>
        <v>43.9562723859702</v>
      </c>
      <c r="D573" s="78" t="n">
        <f aca="false">MAX(C573-05_Unit_Economics!$B$21,0)</f>
        <v>6.0486669114667</v>
      </c>
      <c r="E573" s="78" t="n">
        <f aca="false">D573*EXP(-01_Inputs!$C$20*01_Inputs!$C$22)</f>
        <v>5.78829573836433</v>
      </c>
      <c r="F573" s="80" t="n">
        <f aca="false">AVERAGE(E572:E573)</f>
        <v>16.6392057417063</v>
      </c>
    </row>
    <row r="574" customFormat="false" ht="15" hidden="false" customHeight="false" outlineLevel="0" collapsed="false">
      <c r="A574" s="76" t="n">
        <v>563</v>
      </c>
      <c r="B574" s="77" t="n">
        <v>1.588827</v>
      </c>
      <c r="C574" s="78" t="n">
        <f aca="false">05_Unit_Economics!$B$15*EXP((01_Inputs!$C$20-01_Inputs!$C$21^2/2)*01_Inputs!$C$22+01_Inputs!$C$21*SQRT(01_Inputs!$C$22)*B574)</f>
        <v>94.3769415763963</v>
      </c>
      <c r="D574" s="78" t="n">
        <f aca="false">MAX(C574-05_Unit_Economics!$B$21,0)</f>
        <v>56.4693361018929</v>
      </c>
      <c r="E574" s="78" t="n">
        <f aca="false">D574*EXP(-01_Inputs!$C$20*01_Inputs!$C$22)</f>
        <v>54.038554658582</v>
      </c>
      <c r="F574" s="79"/>
    </row>
    <row r="575" customFormat="false" ht="15" hidden="false" customHeight="false" outlineLevel="0" collapsed="false">
      <c r="A575" s="76" t="n">
        <v>564</v>
      </c>
      <c r="B575" s="77" t="n">
        <v>-1.588827</v>
      </c>
      <c r="C575" s="78" t="n">
        <f aca="false">05_Unit_Economics!$B$15*EXP((01_Inputs!$C$20-01_Inputs!$C$21^2/2)*01_Inputs!$C$22+01_Inputs!$C$21*SQRT(01_Inputs!$C$22)*B575)</f>
        <v>31.035070774991</v>
      </c>
      <c r="D575" s="78" t="n">
        <f aca="false">MAX(C575-05_Unit_Economics!$B$21,0)</f>
        <v>0</v>
      </c>
      <c r="E575" s="78" t="n">
        <f aca="false">D575*EXP(-01_Inputs!$C$20*01_Inputs!$C$22)</f>
        <v>0</v>
      </c>
      <c r="F575" s="80" t="n">
        <f aca="false">AVERAGE(E574:E575)</f>
        <v>27.019277329291</v>
      </c>
    </row>
    <row r="576" customFormat="false" ht="15" hidden="false" customHeight="false" outlineLevel="0" collapsed="false">
      <c r="A576" s="76" t="n">
        <v>565</v>
      </c>
      <c r="B576" s="77" t="n">
        <v>-0.77977</v>
      </c>
      <c r="C576" s="78" t="n">
        <f aca="false">05_Unit_Economics!$B$15*EXP((01_Inputs!$C$20-01_Inputs!$C$21^2/2)*01_Inputs!$C$22+01_Inputs!$C$21*SQRT(01_Inputs!$C$22)*B576)</f>
        <v>41.1938029147901</v>
      </c>
      <c r="D576" s="78" t="n">
        <f aca="false">MAX(C576-05_Unit_Economics!$B$21,0)</f>
        <v>3.28619744028661</v>
      </c>
      <c r="E576" s="78" t="n">
        <f aca="false">D576*EXP(-01_Inputs!$C$20*01_Inputs!$C$22)</f>
        <v>3.14473964552007</v>
      </c>
      <c r="F576" s="79"/>
    </row>
    <row r="577" customFormat="false" ht="15" hidden="false" customHeight="false" outlineLevel="0" collapsed="false">
      <c r="A577" s="76" t="n">
        <v>566</v>
      </c>
      <c r="B577" s="77" t="n">
        <v>0.77977</v>
      </c>
      <c r="C577" s="78" t="n">
        <f aca="false">05_Unit_Economics!$B$15*EXP((01_Inputs!$C$20-01_Inputs!$C$21^2/2)*01_Inputs!$C$22+01_Inputs!$C$21*SQRT(01_Inputs!$C$22)*B577)</f>
        <v>71.1028080463781</v>
      </c>
      <c r="D577" s="78" t="n">
        <f aca="false">MAX(C577-05_Unit_Economics!$B$21,0)</f>
        <v>33.1952025718747</v>
      </c>
      <c r="E577" s="78" t="n">
        <f aca="false">D577*EXP(-01_Inputs!$C$20*01_Inputs!$C$22)</f>
        <v>31.7662804702749</v>
      </c>
      <c r="F577" s="80" t="n">
        <f aca="false">AVERAGE(E576:E577)</f>
        <v>17.4555100578975</v>
      </c>
    </row>
    <row r="578" customFormat="false" ht="15" hidden="false" customHeight="false" outlineLevel="0" collapsed="false">
      <c r="A578" s="76" t="n">
        <v>567</v>
      </c>
      <c r="B578" s="77" t="n">
        <v>1.445081</v>
      </c>
      <c r="C578" s="78" t="n">
        <f aca="false">05_Unit_Economics!$B$15*EXP((01_Inputs!$C$20-01_Inputs!$C$21^2/2)*01_Inputs!$C$22+01_Inputs!$C$21*SQRT(01_Inputs!$C$22)*B578)</f>
        <v>89.7461994357955</v>
      </c>
      <c r="D578" s="78" t="n">
        <f aca="false">MAX(C578-05_Unit_Economics!$B$21,0)</f>
        <v>51.838593961292</v>
      </c>
      <c r="E578" s="78" t="n">
        <f aca="false">D578*EXP(-01_Inputs!$C$20*01_Inputs!$C$22)</f>
        <v>49.6071476410968</v>
      </c>
      <c r="F578" s="79"/>
    </row>
    <row r="579" customFormat="false" ht="15" hidden="false" customHeight="false" outlineLevel="0" collapsed="false">
      <c r="A579" s="76" t="n">
        <v>568</v>
      </c>
      <c r="B579" s="77" t="n">
        <v>-1.445081</v>
      </c>
      <c r="C579" s="78" t="n">
        <f aca="false">05_Unit_Economics!$B$15*EXP((01_Inputs!$C$20-01_Inputs!$C$21^2/2)*01_Inputs!$C$22+01_Inputs!$C$21*SQRT(01_Inputs!$C$22)*B579)</f>
        <v>32.6364244922266</v>
      </c>
      <c r="D579" s="78" t="n">
        <f aca="false">MAX(C579-05_Unit_Economics!$B$21,0)</f>
        <v>0</v>
      </c>
      <c r="E579" s="78" t="n">
        <f aca="false">D579*EXP(-01_Inputs!$C$20*01_Inputs!$C$22)</f>
        <v>0</v>
      </c>
      <c r="F579" s="80" t="n">
        <f aca="false">AVERAGE(E578:E579)</f>
        <v>24.8035738205484</v>
      </c>
    </row>
    <row r="580" customFormat="false" ht="15" hidden="false" customHeight="false" outlineLevel="0" collapsed="false">
      <c r="A580" s="76" t="n">
        <v>569</v>
      </c>
      <c r="B580" s="77" t="n">
        <v>-1.302841</v>
      </c>
      <c r="C580" s="78" t="n">
        <f aca="false">05_Unit_Economics!$B$15*EXP((01_Inputs!$C$20-01_Inputs!$C$21^2/2)*01_Inputs!$C$22+01_Inputs!$C$21*SQRT(01_Inputs!$C$22)*B580)</f>
        <v>34.3023196564285</v>
      </c>
      <c r="D580" s="78" t="n">
        <f aca="false">MAX(C580-05_Unit_Economics!$B$21,0)</f>
        <v>0</v>
      </c>
      <c r="E580" s="78" t="n">
        <f aca="false">D580*EXP(-01_Inputs!$C$20*01_Inputs!$C$22)</f>
        <v>0</v>
      </c>
      <c r="F580" s="79"/>
    </row>
    <row r="581" customFormat="false" ht="15" hidden="false" customHeight="false" outlineLevel="0" collapsed="false">
      <c r="A581" s="76" t="n">
        <v>570</v>
      </c>
      <c r="B581" s="77" t="n">
        <v>1.302841</v>
      </c>
      <c r="C581" s="78" t="n">
        <f aca="false">05_Unit_Economics!$B$15*EXP((01_Inputs!$C$20-01_Inputs!$C$21^2/2)*01_Inputs!$C$22+01_Inputs!$C$21*SQRT(01_Inputs!$C$22)*B581)</f>
        <v>85.3876673848131</v>
      </c>
      <c r="D581" s="78" t="n">
        <f aca="false">MAX(C581-05_Unit_Economics!$B$21,0)</f>
        <v>47.4800619103096</v>
      </c>
      <c r="E581" s="78" t="n">
        <f aca="false">D581*EXP(-01_Inputs!$C$20*01_Inputs!$C$22)</f>
        <v>45.436233146136</v>
      </c>
      <c r="F581" s="80" t="n">
        <f aca="false">AVERAGE(E580:E581)</f>
        <v>22.718116573068</v>
      </c>
    </row>
    <row r="582" customFormat="false" ht="15" hidden="false" customHeight="false" outlineLevel="0" collapsed="false">
      <c r="A582" s="76" t="n">
        <v>571</v>
      </c>
      <c r="B582" s="77" t="n">
        <v>1.406146</v>
      </c>
      <c r="C582" s="78" t="n">
        <f aca="false">05_Unit_Economics!$B$15*EXP((01_Inputs!$C$20-01_Inputs!$C$21^2/2)*01_Inputs!$C$22+01_Inputs!$C$21*SQRT(01_Inputs!$C$22)*B582)</f>
        <v>88.5315008378676</v>
      </c>
      <c r="D582" s="78" t="n">
        <f aca="false">MAX(C582-05_Unit_Economics!$B$21,0)</f>
        <v>50.6238953633641</v>
      </c>
      <c r="E582" s="78" t="n">
        <f aca="false">D582*EXP(-01_Inputs!$C$20*01_Inputs!$C$22)</f>
        <v>48.4447370106727</v>
      </c>
      <c r="F582" s="79"/>
    </row>
    <row r="583" customFormat="false" ht="15" hidden="false" customHeight="false" outlineLevel="0" collapsed="false">
      <c r="A583" s="76" t="n">
        <v>572</v>
      </c>
      <c r="B583" s="77" t="n">
        <v>-1.406146</v>
      </c>
      <c r="C583" s="78" t="n">
        <f aca="false">05_Unit_Economics!$B$15*EXP((01_Inputs!$C$20-01_Inputs!$C$21^2/2)*01_Inputs!$C$22+01_Inputs!$C$21*SQRT(01_Inputs!$C$22)*B583)</f>
        <v>33.0842133436174</v>
      </c>
      <c r="D583" s="78" t="n">
        <f aca="false">MAX(C583-05_Unit_Economics!$B$21,0)</f>
        <v>0</v>
      </c>
      <c r="E583" s="78" t="n">
        <f aca="false">D583*EXP(-01_Inputs!$C$20*01_Inputs!$C$22)</f>
        <v>0</v>
      </c>
      <c r="F583" s="80" t="n">
        <f aca="false">AVERAGE(E582:E583)</f>
        <v>24.2223685053364</v>
      </c>
    </row>
    <row r="584" customFormat="false" ht="15" hidden="false" customHeight="false" outlineLevel="0" collapsed="false">
      <c r="A584" s="76" t="n">
        <v>573</v>
      </c>
      <c r="B584" s="77" t="n">
        <v>0.948855</v>
      </c>
      <c r="C584" s="78" t="n">
        <f aca="false">05_Unit_Economics!$B$15*EXP((01_Inputs!$C$20-01_Inputs!$C$21^2/2)*01_Inputs!$C$22+01_Inputs!$C$21*SQRT(01_Inputs!$C$22)*B584)</f>
        <v>75.4376570229233</v>
      </c>
      <c r="D584" s="78" t="n">
        <f aca="false">MAX(C584-05_Unit_Economics!$B$21,0)</f>
        <v>37.5300515484198</v>
      </c>
      <c r="E584" s="78" t="n">
        <f aca="false">D584*EXP(-01_Inputs!$C$20*01_Inputs!$C$22)</f>
        <v>35.9145313534278</v>
      </c>
      <c r="F584" s="79"/>
    </row>
    <row r="585" customFormat="false" ht="15" hidden="false" customHeight="false" outlineLevel="0" collapsed="false">
      <c r="A585" s="76" t="n">
        <v>574</v>
      </c>
      <c r="B585" s="77" t="n">
        <v>-0.948855</v>
      </c>
      <c r="C585" s="78" t="n">
        <f aca="false">05_Unit_Economics!$B$15*EXP((01_Inputs!$C$20-01_Inputs!$C$21^2/2)*01_Inputs!$C$22+01_Inputs!$C$21*SQRT(01_Inputs!$C$22)*B585)</f>
        <v>38.8266971290031</v>
      </c>
      <c r="D585" s="78" t="n">
        <f aca="false">MAX(C585-05_Unit_Economics!$B$21,0)</f>
        <v>0.919091654499582</v>
      </c>
      <c r="E585" s="78" t="n">
        <f aca="false">D585*EXP(-01_Inputs!$C$20*01_Inputs!$C$22)</f>
        <v>0.879528396053825</v>
      </c>
      <c r="F585" s="80" t="n">
        <f aca="false">AVERAGE(E584:E585)</f>
        <v>18.3970298747408</v>
      </c>
    </row>
    <row r="586" customFormat="false" ht="15" hidden="false" customHeight="false" outlineLevel="0" collapsed="false">
      <c r="A586" s="76" t="n">
        <v>575</v>
      </c>
      <c r="B586" s="77" t="n">
        <v>1.144527</v>
      </c>
      <c r="C586" s="78" t="n">
        <f aca="false">05_Unit_Economics!$B$15*EXP((01_Inputs!$C$20-01_Inputs!$C$21^2/2)*01_Inputs!$C$22+01_Inputs!$C$21*SQRT(01_Inputs!$C$22)*B586)</f>
        <v>80.7850384232699</v>
      </c>
      <c r="D586" s="78" t="n">
        <f aca="false">MAX(C586-05_Unit_Economics!$B$21,0)</f>
        <v>42.8774329487664</v>
      </c>
      <c r="E586" s="78" t="n">
        <f aca="false">D586*EXP(-01_Inputs!$C$20*01_Inputs!$C$22)</f>
        <v>41.0317291466072</v>
      </c>
      <c r="F586" s="79"/>
    </row>
    <row r="587" customFormat="false" ht="15" hidden="false" customHeight="false" outlineLevel="0" collapsed="false">
      <c r="A587" s="76" t="n">
        <v>576</v>
      </c>
      <c r="B587" s="77" t="n">
        <v>-1.144527</v>
      </c>
      <c r="C587" s="78" t="n">
        <f aca="false">05_Unit_Economics!$B$15*EXP((01_Inputs!$C$20-01_Inputs!$C$21^2/2)*01_Inputs!$C$22+01_Inputs!$C$21*SQRT(01_Inputs!$C$22)*B587)</f>
        <v>36.2566524509687</v>
      </c>
      <c r="D587" s="78" t="n">
        <f aca="false">MAX(C587-05_Unit_Economics!$B$21,0)</f>
        <v>0</v>
      </c>
      <c r="E587" s="78" t="n">
        <f aca="false">D587*EXP(-01_Inputs!$C$20*01_Inputs!$C$22)</f>
        <v>0</v>
      </c>
      <c r="F587" s="80" t="n">
        <f aca="false">AVERAGE(E586:E587)</f>
        <v>20.5158645733036</v>
      </c>
    </row>
    <row r="588" customFormat="false" ht="15" hidden="false" customHeight="false" outlineLevel="0" collapsed="false">
      <c r="A588" s="76" t="n">
        <v>577</v>
      </c>
      <c r="B588" s="77" t="n">
        <v>0.93416</v>
      </c>
      <c r="C588" s="78" t="n">
        <f aca="false">05_Unit_Economics!$B$15*EXP((01_Inputs!$C$20-01_Inputs!$C$21^2/2)*01_Inputs!$C$22+01_Inputs!$C$21*SQRT(01_Inputs!$C$22)*B588)</f>
        <v>75.0506583619782</v>
      </c>
      <c r="D588" s="78" t="n">
        <f aca="false">MAX(C588-05_Unit_Economics!$B$21,0)</f>
        <v>37.1430528874747</v>
      </c>
      <c r="E588" s="78" t="n">
        <f aca="false">D588*EXP(-01_Inputs!$C$20*01_Inputs!$C$22)</f>
        <v>35.5441914532996</v>
      </c>
      <c r="F588" s="79"/>
    </row>
    <row r="589" customFormat="false" ht="15" hidden="false" customHeight="false" outlineLevel="0" collapsed="false">
      <c r="A589" s="76" t="n">
        <v>578</v>
      </c>
      <c r="B589" s="77" t="n">
        <v>-0.93416</v>
      </c>
      <c r="C589" s="78" t="n">
        <f aca="false">05_Unit_Economics!$B$15*EXP((01_Inputs!$C$20-01_Inputs!$C$21^2/2)*01_Inputs!$C$22+01_Inputs!$C$21*SQRT(01_Inputs!$C$22)*B589)</f>
        <v>39.0269069622783</v>
      </c>
      <c r="D589" s="78" t="n">
        <f aca="false">MAX(C589-05_Unit_Economics!$B$21,0)</f>
        <v>1.11930148777478</v>
      </c>
      <c r="E589" s="78" t="n">
        <f aca="false">D589*EXP(-01_Inputs!$C$20*01_Inputs!$C$22)</f>
        <v>1.07111998833155</v>
      </c>
      <c r="F589" s="80" t="n">
        <f aca="false">AVERAGE(E588:E589)</f>
        <v>18.3076557208156</v>
      </c>
    </row>
    <row r="590" customFormat="false" ht="15" hidden="false" customHeight="false" outlineLevel="0" collapsed="false">
      <c r="A590" s="76" t="n">
        <v>579</v>
      </c>
      <c r="B590" s="77" t="n">
        <v>1.490359</v>
      </c>
      <c r="C590" s="78" t="n">
        <f aca="false">05_Unit_Economics!$B$15*EXP((01_Inputs!$C$20-01_Inputs!$C$21^2/2)*01_Inputs!$C$22+01_Inputs!$C$21*SQRT(01_Inputs!$C$22)*B590)</f>
        <v>91.1797634399242</v>
      </c>
      <c r="D590" s="78" t="n">
        <f aca="false">MAX(C590-05_Unit_Economics!$B$21,0)</f>
        <v>53.2721579654207</v>
      </c>
      <c r="E590" s="78" t="n">
        <f aca="false">D590*EXP(-01_Inputs!$C$20*01_Inputs!$C$22)</f>
        <v>50.9790023881386</v>
      </c>
      <c r="F590" s="79"/>
    </row>
    <row r="591" customFormat="false" ht="15" hidden="false" customHeight="false" outlineLevel="0" collapsed="false">
      <c r="A591" s="76" t="n">
        <v>580</v>
      </c>
      <c r="B591" s="77" t="n">
        <v>-1.490359</v>
      </c>
      <c r="C591" s="78" t="n">
        <f aca="false">05_Unit_Economics!$B$15*EXP((01_Inputs!$C$20-01_Inputs!$C$21^2/2)*01_Inputs!$C$22+01_Inputs!$C$21*SQRT(01_Inputs!$C$22)*B591)</f>
        <v>32.1233018254153</v>
      </c>
      <c r="D591" s="78" t="n">
        <f aca="false">MAX(C591-05_Unit_Economics!$B$21,0)</f>
        <v>0</v>
      </c>
      <c r="E591" s="78" t="n">
        <f aca="false">D591*EXP(-01_Inputs!$C$20*01_Inputs!$C$22)</f>
        <v>0</v>
      </c>
      <c r="F591" s="80" t="n">
        <f aca="false">AVERAGE(E590:E591)</f>
        <v>25.4895011940693</v>
      </c>
    </row>
    <row r="592" customFormat="false" ht="15" hidden="false" customHeight="false" outlineLevel="0" collapsed="false">
      <c r="A592" s="76" t="n">
        <v>581</v>
      </c>
      <c r="B592" s="77" t="n">
        <v>-0.215732</v>
      </c>
      <c r="C592" s="78" t="n">
        <f aca="false">05_Unit_Economics!$B$15*EXP((01_Inputs!$C$20-01_Inputs!$C$21^2/2)*01_Inputs!$C$22+01_Inputs!$C$21*SQRT(01_Inputs!$C$22)*B592)</f>
        <v>50.1842448763388</v>
      </c>
      <c r="D592" s="78" t="n">
        <f aca="false">MAX(C592-05_Unit_Economics!$B$21,0)</f>
        <v>12.2766394018353</v>
      </c>
      <c r="E592" s="78" t="n">
        <f aca="false">D592*EXP(-01_Inputs!$C$20*01_Inputs!$C$22)</f>
        <v>11.7481786600559</v>
      </c>
      <c r="F592" s="79"/>
    </row>
    <row r="593" customFormat="false" ht="15" hidden="false" customHeight="false" outlineLevel="0" collapsed="false">
      <c r="A593" s="76" t="n">
        <v>582</v>
      </c>
      <c r="B593" s="77" t="n">
        <v>0.215732</v>
      </c>
      <c r="C593" s="78" t="n">
        <f aca="false">05_Unit_Economics!$B$15*EXP((01_Inputs!$C$20-01_Inputs!$C$21^2/2)*01_Inputs!$C$22+01_Inputs!$C$21*SQRT(01_Inputs!$C$22)*B593)</f>
        <v>58.3648327989814</v>
      </c>
      <c r="D593" s="78" t="n">
        <f aca="false">MAX(C593-05_Unit_Economics!$B$21,0)</f>
        <v>20.4572273244779</v>
      </c>
      <c r="E593" s="78" t="n">
        <f aca="false">D593*EXP(-01_Inputs!$C$20*01_Inputs!$C$22)</f>
        <v>19.5766246470849</v>
      </c>
      <c r="F593" s="80" t="n">
        <f aca="false">AVERAGE(E592:E593)</f>
        <v>15.6624016535704</v>
      </c>
    </row>
    <row r="594" customFormat="false" ht="15" hidden="false" customHeight="false" outlineLevel="0" collapsed="false">
      <c r="A594" s="76" t="n">
        <v>583</v>
      </c>
      <c r="B594" s="77" t="n">
        <v>0.347158</v>
      </c>
      <c r="C594" s="78" t="n">
        <f aca="false">05_Unit_Economics!$B$15*EXP((01_Inputs!$C$20-01_Inputs!$C$21^2/2)*01_Inputs!$C$22+01_Inputs!$C$21*SQRT(01_Inputs!$C$22)*B594)</f>
        <v>61.1122679225277</v>
      </c>
      <c r="D594" s="78" t="n">
        <f aca="false">MAX(C594-05_Unit_Economics!$B$21,0)</f>
        <v>23.2046624480242</v>
      </c>
      <c r="E594" s="78" t="n">
        <f aca="false">D594*EXP(-01_Inputs!$C$20*01_Inputs!$C$22)</f>
        <v>22.205793561463</v>
      </c>
      <c r="F594" s="79"/>
    </row>
    <row r="595" customFormat="false" ht="15" hidden="false" customHeight="false" outlineLevel="0" collapsed="false">
      <c r="A595" s="76" t="n">
        <v>584</v>
      </c>
      <c r="B595" s="77" t="n">
        <v>-0.347158</v>
      </c>
      <c r="C595" s="78" t="n">
        <f aca="false">05_Unit_Economics!$B$15*EXP((01_Inputs!$C$20-01_Inputs!$C$21^2/2)*01_Inputs!$C$22+01_Inputs!$C$21*SQRT(01_Inputs!$C$22)*B595)</f>
        <v>47.9281028330311</v>
      </c>
      <c r="D595" s="78" t="n">
        <f aca="false">MAX(C595-05_Unit_Economics!$B$21,0)</f>
        <v>10.0204973585276</v>
      </c>
      <c r="E595" s="78" t="n">
        <f aca="false">D595*EXP(-01_Inputs!$C$20*01_Inputs!$C$22)</f>
        <v>9.58915460309119</v>
      </c>
      <c r="F595" s="80" t="n">
        <f aca="false">AVERAGE(E594:E595)</f>
        <v>15.8974740822771</v>
      </c>
    </row>
    <row r="596" customFormat="false" ht="15" hidden="false" customHeight="false" outlineLevel="0" collapsed="false">
      <c r="A596" s="76" t="n">
        <v>585</v>
      </c>
      <c r="B596" s="77" t="n">
        <v>-0.383784</v>
      </c>
      <c r="C596" s="78" t="n">
        <f aca="false">05_Unit_Economics!$B$15*EXP((01_Inputs!$C$20-01_Inputs!$C$21^2/2)*01_Inputs!$C$22+01_Inputs!$C$21*SQRT(01_Inputs!$C$22)*B596)</f>
        <v>47.3176289129927</v>
      </c>
      <c r="D596" s="78" t="n">
        <f aca="false">MAX(C596-05_Unit_Economics!$B$21,0)</f>
        <v>9.41002343848923</v>
      </c>
      <c r="E596" s="78" t="n">
        <f aca="false">D596*EXP(-01_Inputs!$C$20*01_Inputs!$C$22)</f>
        <v>9.0049591693764</v>
      </c>
      <c r="F596" s="79"/>
    </row>
    <row r="597" customFormat="false" ht="15" hidden="false" customHeight="false" outlineLevel="0" collapsed="false">
      <c r="A597" s="76" t="n">
        <v>586</v>
      </c>
      <c r="B597" s="77" t="n">
        <v>0.383784</v>
      </c>
      <c r="C597" s="78" t="n">
        <f aca="false">05_Unit_Economics!$B$15*EXP((01_Inputs!$C$20-01_Inputs!$C$21^2/2)*01_Inputs!$C$22+01_Inputs!$C$21*SQRT(01_Inputs!$C$22)*B597)</f>
        <v>61.9007149901037</v>
      </c>
      <c r="D597" s="78" t="n">
        <f aca="false">MAX(C597-05_Unit_Economics!$B$21,0)</f>
        <v>23.9931095156002</v>
      </c>
      <c r="E597" s="78" t="n">
        <f aca="false">D597*EXP(-01_Inputs!$C$20*01_Inputs!$C$22)</f>
        <v>22.9603011030379</v>
      </c>
      <c r="F597" s="80" t="n">
        <f aca="false">AVERAGE(E596:E597)</f>
        <v>15.9826301362071</v>
      </c>
    </row>
    <row r="598" customFormat="false" ht="15" hidden="false" customHeight="false" outlineLevel="0" collapsed="false">
      <c r="A598" s="76" t="n">
        <v>587</v>
      </c>
      <c r="B598" s="77" t="n">
        <v>-0.555623</v>
      </c>
      <c r="C598" s="78" t="n">
        <f aca="false">05_Unit_Economics!$B$15*EXP((01_Inputs!$C$20-01_Inputs!$C$21^2/2)*01_Inputs!$C$22+01_Inputs!$C$21*SQRT(01_Inputs!$C$22)*B598)</f>
        <v>44.5556638427139</v>
      </c>
      <c r="D598" s="78" t="n">
        <f aca="false">MAX(C598-05_Unit_Economics!$B$21,0)</f>
        <v>6.6480583682104</v>
      </c>
      <c r="E598" s="78" t="n">
        <f aca="false">D598*EXP(-01_Inputs!$C$20*01_Inputs!$C$22)</f>
        <v>6.36188576497075</v>
      </c>
      <c r="F598" s="79"/>
    </row>
    <row r="599" customFormat="false" ht="15" hidden="false" customHeight="false" outlineLevel="0" collapsed="false">
      <c r="A599" s="76" t="n">
        <v>588</v>
      </c>
      <c r="B599" s="77" t="n">
        <v>0.555623</v>
      </c>
      <c r="C599" s="78" t="n">
        <f aca="false">05_Unit_Economics!$B$15*EXP((01_Inputs!$C$20-01_Inputs!$C$21^2/2)*01_Inputs!$C$22+01_Inputs!$C$21*SQRT(01_Inputs!$C$22)*B599)</f>
        <v>65.7378840025885</v>
      </c>
      <c r="D599" s="78" t="n">
        <f aca="false">MAX(C599-05_Unit_Economics!$B$21,0)</f>
        <v>27.830278528085</v>
      </c>
      <c r="E599" s="78" t="n">
        <f aca="false">D599*EXP(-01_Inputs!$C$20*01_Inputs!$C$22)</f>
        <v>26.6322951750281</v>
      </c>
      <c r="F599" s="80" t="n">
        <f aca="false">AVERAGE(E598:E599)</f>
        <v>16.4970904699994</v>
      </c>
    </row>
    <row r="600" customFormat="false" ht="15" hidden="false" customHeight="false" outlineLevel="0" collapsed="false">
      <c r="A600" s="76" t="n">
        <v>589</v>
      </c>
      <c r="B600" s="77" t="n">
        <v>-1.181783</v>
      </c>
      <c r="C600" s="78" t="n">
        <f aca="false">05_Unit_Economics!$B$15*EXP((01_Inputs!$C$20-01_Inputs!$C$21^2/2)*01_Inputs!$C$22+01_Inputs!$C$21*SQRT(01_Inputs!$C$22)*B600)</f>
        <v>35.7869492320459</v>
      </c>
      <c r="D600" s="78" t="n">
        <f aca="false">MAX(C600-05_Unit_Economics!$B$21,0)</f>
        <v>0</v>
      </c>
      <c r="E600" s="78" t="n">
        <f aca="false">D600*EXP(-01_Inputs!$C$20*01_Inputs!$C$22)</f>
        <v>0</v>
      </c>
      <c r="F600" s="79"/>
    </row>
    <row r="601" customFormat="false" ht="15" hidden="false" customHeight="false" outlineLevel="0" collapsed="false">
      <c r="A601" s="76" t="n">
        <v>590</v>
      </c>
      <c r="B601" s="77" t="n">
        <v>1.181783</v>
      </c>
      <c r="C601" s="78" t="n">
        <f aca="false">05_Unit_Economics!$B$15*EXP((01_Inputs!$C$20-01_Inputs!$C$21^2/2)*01_Inputs!$C$22+01_Inputs!$C$21*SQRT(01_Inputs!$C$22)*B601)</f>
        <v>81.8453409470245</v>
      </c>
      <c r="D601" s="78" t="n">
        <f aca="false">MAX(C601-05_Unit_Economics!$B$21,0)</f>
        <v>43.937735472521</v>
      </c>
      <c r="E601" s="78" t="n">
        <f aca="false">D601*EXP(-01_Inputs!$C$20*01_Inputs!$C$22)</f>
        <v>42.0463898428329</v>
      </c>
      <c r="F601" s="80" t="n">
        <f aca="false">AVERAGE(E600:E601)</f>
        <v>21.0231949214164</v>
      </c>
    </row>
    <row r="602" customFormat="false" ht="15" hidden="false" customHeight="false" outlineLevel="0" collapsed="false">
      <c r="A602" s="76" t="n">
        <v>591</v>
      </c>
      <c r="B602" s="77" t="n">
        <v>-0.206829</v>
      </c>
      <c r="C602" s="78" t="n">
        <f aca="false">05_Unit_Economics!$B$15*EXP((01_Inputs!$C$20-01_Inputs!$C$21^2/2)*01_Inputs!$C$22+01_Inputs!$C$21*SQRT(01_Inputs!$C$22)*B602)</f>
        <v>50.3408653845239</v>
      </c>
      <c r="D602" s="78" t="n">
        <f aca="false">MAX(C602-05_Unit_Economics!$B$21,0)</f>
        <v>12.4332599100205</v>
      </c>
      <c r="E602" s="78" t="n">
        <f aca="false">D602*EXP(-01_Inputs!$C$20*01_Inputs!$C$22)</f>
        <v>11.8980572751851</v>
      </c>
      <c r="F602" s="79"/>
    </row>
    <row r="603" customFormat="false" ht="15" hidden="false" customHeight="false" outlineLevel="0" collapsed="false">
      <c r="A603" s="76" t="n">
        <v>592</v>
      </c>
      <c r="B603" s="77" t="n">
        <v>0.206829</v>
      </c>
      <c r="C603" s="78" t="n">
        <f aca="false">05_Unit_Economics!$B$15*EXP((01_Inputs!$C$20-01_Inputs!$C$21^2/2)*01_Inputs!$C$22+01_Inputs!$C$21*SQRT(01_Inputs!$C$22)*B603)</f>
        <v>58.183248122133</v>
      </c>
      <c r="D603" s="78" t="n">
        <f aca="false">MAX(C603-05_Unit_Economics!$B$21,0)</f>
        <v>20.2756426476295</v>
      </c>
      <c r="E603" s="78" t="n">
        <f aca="false">D603*EXP(-01_Inputs!$C$20*01_Inputs!$C$22)</f>
        <v>19.4028564719583</v>
      </c>
      <c r="F603" s="80" t="n">
        <f aca="false">AVERAGE(E602:E603)</f>
        <v>15.6504568735717</v>
      </c>
    </row>
    <row r="604" customFormat="false" ht="15" hidden="false" customHeight="false" outlineLevel="0" collapsed="false">
      <c r="A604" s="76" t="n">
        <v>593</v>
      </c>
      <c r="B604" s="77" t="n">
        <v>0.072203</v>
      </c>
      <c r="C604" s="78" t="n">
        <f aca="false">05_Unit_Economics!$B$15*EXP((01_Inputs!$C$20-01_Inputs!$C$21^2/2)*01_Inputs!$C$22+01_Inputs!$C$21*SQRT(01_Inputs!$C$22)*B604)</f>
        <v>55.5052927101573</v>
      </c>
      <c r="D604" s="78" t="n">
        <f aca="false">MAX(C604-05_Unit_Economics!$B$21,0)</f>
        <v>17.5976872356538</v>
      </c>
      <c r="E604" s="78" t="n">
        <f aca="false">D604*EXP(-01_Inputs!$C$20*01_Inputs!$C$22)</f>
        <v>16.8401764425318</v>
      </c>
      <c r="F604" s="79"/>
    </row>
    <row r="605" customFormat="false" ht="15" hidden="false" customHeight="false" outlineLevel="0" collapsed="false">
      <c r="A605" s="76" t="n">
        <v>594</v>
      </c>
      <c r="B605" s="77" t="n">
        <v>-0.072203</v>
      </c>
      <c r="C605" s="78" t="n">
        <f aca="false">05_Unit_Economics!$B$15*EXP((01_Inputs!$C$20-01_Inputs!$C$21^2/2)*01_Inputs!$C$22+01_Inputs!$C$21*SQRT(01_Inputs!$C$22)*B605)</f>
        <v>52.7696534571136</v>
      </c>
      <c r="D605" s="78" t="n">
        <f aca="false">MAX(C605-05_Unit_Economics!$B$21,0)</f>
        <v>14.8620479826101</v>
      </c>
      <c r="E605" s="78" t="n">
        <f aca="false">D605*EXP(-01_Inputs!$C$20*01_Inputs!$C$22)</f>
        <v>14.222295633113</v>
      </c>
      <c r="F605" s="80" t="n">
        <f aca="false">AVERAGE(E604:E605)</f>
        <v>15.5312360378224</v>
      </c>
    </row>
    <row r="606" customFormat="false" ht="15" hidden="false" customHeight="false" outlineLevel="0" collapsed="false">
      <c r="A606" s="76" t="n">
        <v>595</v>
      </c>
      <c r="B606" s="77" t="n">
        <v>2.171662</v>
      </c>
      <c r="C606" s="78" t="n">
        <f aca="false">05_Unit_Economics!$B$15*EXP((01_Inputs!$C$20-01_Inputs!$C$21^2/2)*01_Inputs!$C$22+01_Inputs!$C$21*SQRT(01_Inputs!$C$22)*B606)</f>
        <v>115.733372246869</v>
      </c>
      <c r="D606" s="78" t="n">
        <f aca="false">MAX(C606-05_Unit_Economics!$B$21,0)</f>
        <v>77.8257667723655</v>
      </c>
      <c r="E606" s="78" t="n">
        <f aca="false">D606*EXP(-01_Inputs!$C$20*01_Inputs!$C$22)</f>
        <v>74.4756755061895</v>
      </c>
      <c r="F606" s="79"/>
    </row>
    <row r="607" customFormat="false" ht="15" hidden="false" customHeight="false" outlineLevel="0" collapsed="false">
      <c r="A607" s="76" t="n">
        <v>596</v>
      </c>
      <c r="B607" s="77" t="n">
        <v>-2.171662</v>
      </c>
      <c r="C607" s="78" t="n">
        <f aca="false">05_Unit_Economics!$B$15*EXP((01_Inputs!$C$20-01_Inputs!$C$21^2/2)*01_Inputs!$C$22+01_Inputs!$C$21*SQRT(01_Inputs!$C$22)*B607)</f>
        <v>25.3081285413758</v>
      </c>
      <c r="D607" s="78" t="n">
        <f aca="false">MAX(C607-05_Unit_Economics!$B$21,0)</f>
        <v>0</v>
      </c>
      <c r="E607" s="78" t="n">
        <f aca="false">D607*EXP(-01_Inputs!$C$20*01_Inputs!$C$22)</f>
        <v>0</v>
      </c>
      <c r="F607" s="80" t="n">
        <f aca="false">AVERAGE(E606:E607)</f>
        <v>37.2378377530947</v>
      </c>
    </row>
    <row r="608" customFormat="false" ht="15" hidden="false" customHeight="false" outlineLevel="0" collapsed="false">
      <c r="A608" s="76" t="n">
        <v>597</v>
      </c>
      <c r="B608" s="77" t="n">
        <v>0.688442</v>
      </c>
      <c r="C608" s="78" t="n">
        <f aca="false">05_Unit_Economics!$B$15*EXP((01_Inputs!$C$20-01_Inputs!$C$21^2/2)*01_Inputs!$C$22+01_Inputs!$C$21*SQRT(01_Inputs!$C$22)*B608)</f>
        <v>68.8659616364172</v>
      </c>
      <c r="D608" s="78" t="n">
        <f aca="false">MAX(C608-05_Unit_Economics!$B$21,0)</f>
        <v>30.9583561619138</v>
      </c>
      <c r="E608" s="78" t="n">
        <f aca="false">D608*EXP(-01_Inputs!$C$20*01_Inputs!$C$22)</f>
        <v>29.6257214460035</v>
      </c>
      <c r="F608" s="79"/>
    </row>
    <row r="609" customFormat="false" ht="15" hidden="false" customHeight="false" outlineLevel="0" collapsed="false">
      <c r="A609" s="76" t="n">
        <v>598</v>
      </c>
      <c r="B609" s="77" t="n">
        <v>-0.688442</v>
      </c>
      <c r="C609" s="78" t="n">
        <f aca="false">05_Unit_Economics!$B$15*EXP((01_Inputs!$C$20-01_Inputs!$C$21^2/2)*01_Inputs!$C$22+01_Inputs!$C$21*SQRT(01_Inputs!$C$22)*B609)</f>
        <v>42.5318254730035</v>
      </c>
      <c r="D609" s="78" t="n">
        <f aca="false">MAX(C609-05_Unit_Economics!$B$21,0)</f>
        <v>4.62421999850002</v>
      </c>
      <c r="E609" s="78" t="n">
        <f aca="false">D609*EXP(-01_Inputs!$C$20*01_Inputs!$C$22)</f>
        <v>4.4251656277906</v>
      </c>
      <c r="F609" s="80" t="n">
        <f aca="false">AVERAGE(E608:E609)</f>
        <v>17.025443536897</v>
      </c>
    </row>
    <row r="610" customFormat="false" ht="15" hidden="false" customHeight="false" outlineLevel="0" collapsed="false">
      <c r="A610" s="76" t="n">
        <v>599</v>
      </c>
      <c r="B610" s="77" t="n">
        <v>0.995327</v>
      </c>
      <c r="C610" s="78" t="n">
        <f aca="false">05_Unit_Economics!$B$15*EXP((01_Inputs!$C$20-01_Inputs!$C$21^2/2)*01_Inputs!$C$22+01_Inputs!$C$21*SQRT(01_Inputs!$C$22)*B610)</f>
        <v>76.6746986948455</v>
      </c>
      <c r="D610" s="78" t="n">
        <f aca="false">MAX(C610-05_Unit_Economics!$B$21,0)</f>
        <v>38.767093220342</v>
      </c>
      <c r="E610" s="78" t="n">
        <f aca="false">D610*EXP(-01_Inputs!$C$20*01_Inputs!$C$22)</f>
        <v>37.0983232769328</v>
      </c>
      <c r="F610" s="79"/>
    </row>
    <row r="611" customFormat="false" ht="15" hidden="false" customHeight="false" outlineLevel="0" collapsed="false">
      <c r="A611" s="76" t="n">
        <v>600</v>
      </c>
      <c r="B611" s="77" t="n">
        <v>-0.995327</v>
      </c>
      <c r="C611" s="78" t="n">
        <f aca="false">05_Unit_Economics!$B$15*EXP((01_Inputs!$C$20-01_Inputs!$C$21^2/2)*01_Inputs!$C$22+01_Inputs!$C$21*SQRT(01_Inputs!$C$22)*B611)</f>
        <v>38.2002813341027</v>
      </c>
      <c r="D611" s="78" t="n">
        <f aca="false">MAX(C611-05_Unit_Economics!$B$21,0)</f>
        <v>0.292675859599214</v>
      </c>
      <c r="E611" s="78" t="n">
        <f aca="false">D611*EXP(-01_Inputs!$C$20*01_Inputs!$C$22)</f>
        <v>0.280077322100294</v>
      </c>
      <c r="F611" s="80" t="n">
        <f aca="false">AVERAGE(E610:E611)</f>
        <v>18.6892002995165</v>
      </c>
    </row>
    <row r="612" customFormat="false" ht="15" hidden="false" customHeight="false" outlineLevel="0" collapsed="false">
      <c r="A612" s="76" t="n">
        <v>601</v>
      </c>
      <c r="B612" s="77" t="n">
        <v>0.136065</v>
      </c>
      <c r="C612" s="78" t="n">
        <f aca="false">05_Unit_Economics!$B$15*EXP((01_Inputs!$C$20-01_Inputs!$C$21^2/2)*01_Inputs!$C$22+01_Inputs!$C$21*SQRT(01_Inputs!$C$22)*B612)</f>
        <v>56.7598994248118</v>
      </c>
      <c r="D612" s="78" t="n">
        <f aca="false">MAX(C612-05_Unit_Economics!$B$21,0)</f>
        <v>18.8522939503083</v>
      </c>
      <c r="E612" s="78" t="n">
        <f aca="false">D612*EXP(-01_Inputs!$C$20*01_Inputs!$C$22)</f>
        <v>18.0407773031927</v>
      </c>
      <c r="F612" s="79"/>
    </row>
    <row r="613" customFormat="false" ht="15" hidden="false" customHeight="false" outlineLevel="0" collapsed="false">
      <c r="A613" s="76" t="n">
        <v>602</v>
      </c>
      <c r="B613" s="77" t="n">
        <v>-0.136065</v>
      </c>
      <c r="C613" s="78" t="n">
        <f aca="false">05_Unit_Economics!$B$15*EXP((01_Inputs!$C$20-01_Inputs!$C$21^2/2)*01_Inputs!$C$22+01_Inputs!$C$21*SQRT(01_Inputs!$C$22)*B613)</f>
        <v>51.6032461479359</v>
      </c>
      <c r="D613" s="78" t="n">
        <f aca="false">MAX(C613-05_Unit_Economics!$B$21,0)</f>
        <v>13.6956406734325</v>
      </c>
      <c r="E613" s="78" t="n">
        <f aca="false">D613*EXP(-01_Inputs!$C$20*01_Inputs!$C$22)</f>
        <v>13.10609754257</v>
      </c>
      <c r="F613" s="80" t="n">
        <f aca="false">AVERAGE(E612:E613)</f>
        <v>15.5734374228814</v>
      </c>
    </row>
    <row r="614" customFormat="false" ht="15" hidden="false" customHeight="false" outlineLevel="0" collapsed="false">
      <c r="A614" s="76" t="n">
        <v>603</v>
      </c>
      <c r="B614" s="77" t="n">
        <v>-0.292588</v>
      </c>
      <c r="C614" s="78" t="n">
        <f aca="false">05_Unit_Economics!$B$15*EXP((01_Inputs!$C$20-01_Inputs!$C$21^2/2)*01_Inputs!$C$22+01_Inputs!$C$21*SQRT(01_Inputs!$C$22)*B614)</f>
        <v>48.8523034228469</v>
      </c>
      <c r="D614" s="78" t="n">
        <f aca="false">MAX(C614-05_Unit_Economics!$B$21,0)</f>
        <v>10.9446979483434</v>
      </c>
      <c r="E614" s="78" t="n">
        <f aca="false">D614*EXP(-01_Inputs!$C$20*01_Inputs!$C$22)</f>
        <v>10.4735720150143</v>
      </c>
      <c r="F614" s="79"/>
    </row>
    <row r="615" customFormat="false" ht="15" hidden="false" customHeight="false" outlineLevel="0" collapsed="false">
      <c r="A615" s="76" t="n">
        <v>604</v>
      </c>
      <c r="B615" s="77" t="n">
        <v>0.292588</v>
      </c>
      <c r="C615" s="78" t="n">
        <f aca="false">05_Unit_Economics!$B$15*EXP((01_Inputs!$C$20-01_Inputs!$C$21^2/2)*01_Inputs!$C$22+01_Inputs!$C$21*SQRT(01_Inputs!$C$22)*B615)</f>
        <v>59.9561301336887</v>
      </c>
      <c r="D615" s="78" t="n">
        <f aca="false">MAX(C615-05_Unit_Economics!$B$21,0)</f>
        <v>22.0485246591852</v>
      </c>
      <c r="E615" s="78" t="n">
        <f aca="false">D615*EXP(-01_Inputs!$C$20*01_Inputs!$C$22)</f>
        <v>21.0994229290494</v>
      </c>
      <c r="F615" s="80" t="n">
        <f aca="false">AVERAGE(E614:E615)</f>
        <v>15.7864974720319</v>
      </c>
    </row>
    <row r="616" customFormat="false" ht="15" hidden="false" customHeight="false" outlineLevel="0" collapsed="false">
      <c r="A616" s="76" t="n">
        <v>605</v>
      </c>
      <c r="B616" s="77" t="n">
        <v>1.416924</v>
      </c>
      <c r="C616" s="78" t="n">
        <f aca="false">05_Unit_Economics!$B$15*EXP((01_Inputs!$C$20-01_Inputs!$C$21^2/2)*01_Inputs!$C$22+01_Inputs!$C$21*SQRT(01_Inputs!$C$22)*B616)</f>
        <v>88.8660989238739</v>
      </c>
      <c r="D616" s="78" t="n">
        <f aca="false">MAX(C616-05_Unit_Economics!$B$21,0)</f>
        <v>50.9584934493704</v>
      </c>
      <c r="E616" s="78" t="n">
        <f aca="false">D616*EXP(-01_Inputs!$C$20*01_Inputs!$C$22)</f>
        <v>48.7649319732393</v>
      </c>
      <c r="F616" s="79"/>
    </row>
    <row r="617" customFormat="false" ht="15" hidden="false" customHeight="false" outlineLevel="0" collapsed="false">
      <c r="A617" s="76" t="n">
        <v>606</v>
      </c>
      <c r="B617" s="77" t="n">
        <v>-1.416924</v>
      </c>
      <c r="C617" s="78" t="n">
        <f aca="false">05_Unit_Economics!$B$15*EXP((01_Inputs!$C$20-01_Inputs!$C$21^2/2)*01_Inputs!$C$22+01_Inputs!$C$21*SQRT(01_Inputs!$C$22)*B617)</f>
        <v>32.9596448681712</v>
      </c>
      <c r="D617" s="78" t="n">
        <f aca="false">MAX(C617-05_Unit_Economics!$B$21,0)</f>
        <v>0</v>
      </c>
      <c r="E617" s="78" t="n">
        <f aca="false">D617*EXP(-01_Inputs!$C$20*01_Inputs!$C$22)</f>
        <v>0</v>
      </c>
      <c r="F617" s="80" t="n">
        <f aca="false">AVERAGE(E616:E617)</f>
        <v>24.3824659866197</v>
      </c>
    </row>
    <row r="618" customFormat="false" ht="15" hidden="false" customHeight="false" outlineLevel="0" collapsed="false">
      <c r="A618" s="76" t="n">
        <v>607</v>
      </c>
      <c r="B618" s="77" t="n">
        <v>-0.390827</v>
      </c>
      <c r="C618" s="78" t="n">
        <f aca="false">05_Unit_Economics!$B$15*EXP((01_Inputs!$C$20-01_Inputs!$C$21^2/2)*01_Inputs!$C$22+01_Inputs!$C$21*SQRT(01_Inputs!$C$22)*B618)</f>
        <v>47.2011322358984</v>
      </c>
      <c r="D618" s="78" t="n">
        <f aca="false">MAX(C618-05_Unit_Economics!$B$21,0)</f>
        <v>9.29352676139492</v>
      </c>
      <c r="E618" s="78" t="n">
        <f aca="false">D618*EXP(-01_Inputs!$C$20*01_Inputs!$C$22)</f>
        <v>8.89347721319853</v>
      </c>
      <c r="F618" s="79"/>
    </row>
    <row r="619" customFormat="false" ht="15" hidden="false" customHeight="false" outlineLevel="0" collapsed="false">
      <c r="A619" s="76" t="n">
        <v>608</v>
      </c>
      <c r="B619" s="77" t="n">
        <v>0.390827</v>
      </c>
      <c r="C619" s="78" t="n">
        <f aca="false">05_Unit_Economics!$B$15*EXP((01_Inputs!$C$20-01_Inputs!$C$21^2/2)*01_Inputs!$C$22+01_Inputs!$C$21*SQRT(01_Inputs!$C$22)*B619)</f>
        <v>62.0534915711838</v>
      </c>
      <c r="D619" s="78" t="n">
        <f aca="false">MAX(C619-05_Unit_Economics!$B$21,0)</f>
        <v>24.1458860966803</v>
      </c>
      <c r="E619" s="78" t="n">
        <f aca="false">D619*EXP(-01_Inputs!$C$20*01_Inputs!$C$22)</f>
        <v>23.1065012569116</v>
      </c>
      <c r="F619" s="80" t="n">
        <f aca="false">AVERAGE(E618:E619)</f>
        <v>15.9999892350551</v>
      </c>
    </row>
    <row r="620" customFormat="false" ht="15" hidden="false" customHeight="false" outlineLevel="0" collapsed="false">
      <c r="A620" s="76" t="n">
        <v>609</v>
      </c>
      <c r="B620" s="77" t="n">
        <v>0.324425</v>
      </c>
      <c r="C620" s="78" t="n">
        <f aca="false">05_Unit_Economics!$B$15*EXP((01_Inputs!$C$20-01_Inputs!$C$21^2/2)*01_Inputs!$C$22+01_Inputs!$C$21*SQRT(01_Inputs!$C$22)*B620)</f>
        <v>60.62795439461</v>
      </c>
      <c r="D620" s="78" t="n">
        <f aca="false">MAX(C620-05_Unit_Economics!$B$21,0)</f>
        <v>22.7203489201066</v>
      </c>
      <c r="E620" s="78" t="n">
        <f aca="false">D620*EXP(-01_Inputs!$C$20*01_Inputs!$C$22)</f>
        <v>21.7423278142645</v>
      </c>
      <c r="F620" s="79"/>
    </row>
    <row r="621" customFormat="false" ht="15" hidden="false" customHeight="false" outlineLevel="0" collapsed="false">
      <c r="A621" s="76" t="n">
        <v>610</v>
      </c>
      <c r="B621" s="77" t="n">
        <v>-0.324425</v>
      </c>
      <c r="C621" s="78" t="n">
        <f aca="false">05_Unit_Economics!$B$15*EXP((01_Inputs!$C$20-01_Inputs!$C$21^2/2)*01_Inputs!$C$22+01_Inputs!$C$21*SQRT(01_Inputs!$C$22)*B621)</f>
        <v>48.3109662959542</v>
      </c>
      <c r="D621" s="78" t="n">
        <f aca="false">MAX(C621-05_Unit_Economics!$B$21,0)</f>
        <v>10.4033608214507</v>
      </c>
      <c r="E621" s="78" t="n">
        <f aca="false">D621*EXP(-01_Inputs!$C$20*01_Inputs!$C$22)</f>
        <v>9.95553730910729</v>
      </c>
      <c r="F621" s="80" t="n">
        <f aca="false">AVERAGE(E620:E621)</f>
        <v>15.8489325616859</v>
      </c>
    </row>
    <row r="622" customFormat="false" ht="15" hidden="false" customHeight="false" outlineLevel="0" collapsed="false">
      <c r="A622" s="76" t="n">
        <v>611</v>
      </c>
      <c r="B622" s="77" t="n">
        <v>-0.489455</v>
      </c>
      <c r="C622" s="78" t="n">
        <f aca="false">05_Unit_Economics!$B$15*EXP((01_Inputs!$C$20-01_Inputs!$C$21^2/2)*01_Inputs!$C$22+01_Inputs!$C$21*SQRT(01_Inputs!$C$22)*B622)</f>
        <v>45.5995605928634</v>
      </c>
      <c r="D622" s="78" t="n">
        <f aca="false">MAX(C622-05_Unit_Economics!$B$21,0)</f>
        <v>7.69195511835991</v>
      </c>
      <c r="E622" s="78" t="n">
        <f aca="false">D622*EXP(-01_Inputs!$C$20*01_Inputs!$C$22)</f>
        <v>7.36084689121958</v>
      </c>
      <c r="F622" s="79"/>
    </row>
    <row r="623" customFormat="false" ht="15" hidden="false" customHeight="false" outlineLevel="0" collapsed="false">
      <c r="A623" s="76" t="n">
        <v>612</v>
      </c>
      <c r="B623" s="77" t="n">
        <v>0.489455</v>
      </c>
      <c r="C623" s="78" t="n">
        <f aca="false">05_Unit_Economics!$B$15*EXP((01_Inputs!$C$20-01_Inputs!$C$21^2/2)*01_Inputs!$C$22+01_Inputs!$C$21*SQRT(01_Inputs!$C$22)*B623)</f>
        <v>64.2329667933041</v>
      </c>
      <c r="D623" s="78" t="n">
        <f aca="false">MAX(C623-05_Unit_Economics!$B$21,0)</f>
        <v>26.3253613188006</v>
      </c>
      <c r="E623" s="78" t="n">
        <f aca="false">D623*EXP(-01_Inputs!$C$20*01_Inputs!$C$22)</f>
        <v>25.1921586959341</v>
      </c>
      <c r="F623" s="80" t="n">
        <f aca="false">AVERAGE(E622:E623)</f>
        <v>16.2765027935768</v>
      </c>
    </row>
    <row r="624" customFormat="false" ht="15" hidden="false" customHeight="false" outlineLevel="0" collapsed="false">
      <c r="A624" s="76" t="n">
        <v>613</v>
      </c>
      <c r="B624" s="77" t="n">
        <v>-1.328086</v>
      </c>
      <c r="C624" s="78" t="n">
        <f aca="false">05_Unit_Economics!$B$15*EXP((01_Inputs!$C$20-01_Inputs!$C$21^2/2)*01_Inputs!$C$22+01_Inputs!$C$21*SQRT(01_Inputs!$C$22)*B624)</f>
        <v>34.0005679997798</v>
      </c>
      <c r="D624" s="78" t="n">
        <f aca="false">MAX(C624-05_Unit_Economics!$B$21,0)</f>
        <v>0</v>
      </c>
      <c r="E624" s="78" t="n">
        <f aca="false">D624*EXP(-01_Inputs!$C$20*01_Inputs!$C$22)</f>
        <v>0</v>
      </c>
      <c r="F624" s="79"/>
    </row>
    <row r="625" customFormat="false" ht="15" hidden="false" customHeight="false" outlineLevel="0" collapsed="false">
      <c r="A625" s="76" t="n">
        <v>614</v>
      </c>
      <c r="B625" s="77" t="n">
        <v>1.328086</v>
      </c>
      <c r="C625" s="78" t="n">
        <f aca="false">05_Unit_Economics!$B$15*EXP((01_Inputs!$C$20-01_Inputs!$C$21^2/2)*01_Inputs!$C$22+01_Inputs!$C$21*SQRT(01_Inputs!$C$22)*B625)</f>
        <v>86.1454744335337</v>
      </c>
      <c r="D625" s="78" t="n">
        <f aca="false">MAX(C625-05_Unit_Economics!$B$21,0)</f>
        <v>48.2378689590302</v>
      </c>
      <c r="E625" s="78" t="n">
        <f aca="false">D625*EXP(-01_Inputs!$C$20*01_Inputs!$C$22)</f>
        <v>46.1614196004102</v>
      </c>
      <c r="F625" s="80" t="n">
        <f aca="false">AVERAGE(E624:E625)</f>
        <v>23.0807098002051</v>
      </c>
    </row>
    <row r="626" customFormat="false" ht="15" hidden="false" customHeight="false" outlineLevel="0" collapsed="false">
      <c r="A626" s="76" t="n">
        <v>615</v>
      </c>
      <c r="B626" s="77" t="n">
        <v>-1.75448</v>
      </c>
      <c r="C626" s="78" t="n">
        <f aca="false">05_Unit_Economics!$B$15*EXP((01_Inputs!$C$20-01_Inputs!$C$21^2/2)*01_Inputs!$C$22+01_Inputs!$C$21*SQRT(01_Inputs!$C$22)*B626)</f>
        <v>29.2868711021653</v>
      </c>
      <c r="D626" s="78" t="n">
        <f aca="false">MAX(C626-05_Unit_Economics!$B$21,0)</f>
        <v>0</v>
      </c>
      <c r="E626" s="78" t="n">
        <f aca="false">D626*EXP(-01_Inputs!$C$20*01_Inputs!$C$22)</f>
        <v>0</v>
      </c>
      <c r="F626" s="79"/>
    </row>
    <row r="627" customFormat="false" ht="15" hidden="false" customHeight="false" outlineLevel="0" collapsed="false">
      <c r="A627" s="76" t="n">
        <v>616</v>
      </c>
      <c r="B627" s="77" t="n">
        <v>1.75448</v>
      </c>
      <c r="C627" s="78" t="n">
        <f aca="false">05_Unit_Economics!$B$15*EXP((01_Inputs!$C$20-01_Inputs!$C$21^2/2)*01_Inputs!$C$22+01_Inputs!$C$21*SQRT(01_Inputs!$C$22)*B627)</f>
        <v>100.010514989227</v>
      </c>
      <c r="D627" s="78" t="n">
        <f aca="false">MAX(C627-05_Unit_Economics!$B$21,0)</f>
        <v>62.1029095147232</v>
      </c>
      <c r="E627" s="78" t="n">
        <f aca="false">D627*EXP(-01_Inputs!$C$20*01_Inputs!$C$22)</f>
        <v>59.4296250307049</v>
      </c>
      <c r="F627" s="80" t="n">
        <f aca="false">AVERAGE(E626:E627)</f>
        <v>29.7148125153524</v>
      </c>
    </row>
    <row r="628" customFormat="false" ht="15" hidden="false" customHeight="false" outlineLevel="0" collapsed="false">
      <c r="A628" s="76" t="n">
        <v>617</v>
      </c>
      <c r="B628" s="77" t="n">
        <v>0.561252</v>
      </c>
      <c r="C628" s="78" t="n">
        <f aca="false">05_Unit_Economics!$B$15*EXP((01_Inputs!$C$20-01_Inputs!$C$21^2/2)*01_Inputs!$C$22+01_Inputs!$C$21*SQRT(01_Inputs!$C$22)*B628)</f>
        <v>65.8675251590851</v>
      </c>
      <c r="D628" s="78" t="n">
        <f aca="false">MAX(C628-05_Unit_Economics!$B$21,0)</f>
        <v>27.9599196845816</v>
      </c>
      <c r="E628" s="78" t="n">
        <f aca="false">D628*EXP(-01_Inputs!$C$20*01_Inputs!$C$22)</f>
        <v>26.7563557927889</v>
      </c>
      <c r="F628" s="79"/>
    </row>
    <row r="629" customFormat="false" ht="15" hidden="false" customHeight="false" outlineLevel="0" collapsed="false">
      <c r="A629" s="76" t="n">
        <v>618</v>
      </c>
      <c r="B629" s="77" t="n">
        <v>-0.561252</v>
      </c>
      <c r="C629" s="78" t="n">
        <f aca="false">05_Unit_Economics!$B$15*EXP((01_Inputs!$C$20-01_Inputs!$C$21^2/2)*01_Inputs!$C$22+01_Inputs!$C$21*SQRT(01_Inputs!$C$22)*B629)</f>
        <v>44.4679689160396</v>
      </c>
      <c r="D629" s="78" t="n">
        <f aca="false">MAX(C629-05_Unit_Economics!$B$21,0)</f>
        <v>6.56036344153615</v>
      </c>
      <c r="E629" s="78" t="n">
        <f aca="false">D629*EXP(-01_Inputs!$C$20*01_Inputs!$C$22)</f>
        <v>6.27796575783952</v>
      </c>
      <c r="F629" s="80" t="n">
        <f aca="false">AVERAGE(E628:E629)</f>
        <v>16.5171607753142</v>
      </c>
    </row>
    <row r="630" customFormat="false" ht="15" hidden="false" customHeight="false" outlineLevel="0" collapsed="false">
      <c r="A630" s="76" t="n">
        <v>619</v>
      </c>
      <c r="B630" s="77" t="n">
        <v>0.256518</v>
      </c>
      <c r="C630" s="78" t="n">
        <f aca="false">05_Unit_Economics!$B$15*EXP((01_Inputs!$C$20-01_Inputs!$C$21^2/2)*01_Inputs!$C$22+01_Inputs!$C$21*SQRT(01_Inputs!$C$22)*B630)</f>
        <v>59.2039717702106</v>
      </c>
      <c r="D630" s="78" t="n">
        <f aca="false">MAX(C630-05_Unit_Economics!$B$21,0)</f>
        <v>21.2963662957071</v>
      </c>
      <c r="E630" s="78" t="n">
        <f aca="false">D630*EXP(-01_Inputs!$C$20*01_Inputs!$C$22)</f>
        <v>20.3796420064726</v>
      </c>
      <c r="F630" s="79"/>
    </row>
    <row r="631" customFormat="false" ht="15" hidden="false" customHeight="false" outlineLevel="0" collapsed="false">
      <c r="A631" s="76" t="n">
        <v>620</v>
      </c>
      <c r="B631" s="77" t="n">
        <v>-0.256518</v>
      </c>
      <c r="C631" s="78" t="n">
        <f aca="false">05_Unit_Economics!$B$15*EXP((01_Inputs!$C$20-01_Inputs!$C$21^2/2)*01_Inputs!$C$22+01_Inputs!$C$21*SQRT(01_Inputs!$C$22)*B631)</f>
        <v>49.4729487528136</v>
      </c>
      <c r="D631" s="78" t="n">
        <f aca="false">MAX(C631-05_Unit_Economics!$B$21,0)</f>
        <v>11.5653432783101</v>
      </c>
      <c r="E631" s="78" t="n">
        <f aca="false">D631*EXP(-01_Inputs!$C$20*01_Inputs!$C$22)</f>
        <v>11.0675010197132</v>
      </c>
      <c r="F631" s="80" t="n">
        <f aca="false">AVERAGE(E630:E631)</f>
        <v>15.7235715130929</v>
      </c>
    </row>
    <row r="632" customFormat="false" ht="15" hidden="false" customHeight="false" outlineLevel="0" collapsed="false">
      <c r="A632" s="76" t="n">
        <v>621</v>
      </c>
      <c r="B632" s="77" t="n">
        <v>0.072551</v>
      </c>
      <c r="C632" s="78" t="n">
        <f aca="false">05_Unit_Economics!$B$15*EXP((01_Inputs!$C$20-01_Inputs!$C$21^2/2)*01_Inputs!$C$22+01_Inputs!$C$21*SQRT(01_Inputs!$C$22)*B632)</f>
        <v>55.5120536665433</v>
      </c>
      <c r="D632" s="78" t="n">
        <f aca="false">MAX(C632-05_Unit_Economics!$B$21,0)</f>
        <v>17.6044481920398</v>
      </c>
      <c r="E632" s="78" t="n">
        <f aca="false">D632*EXP(-01_Inputs!$C$20*01_Inputs!$C$22)</f>
        <v>16.8466463665017</v>
      </c>
      <c r="F632" s="79"/>
    </row>
    <row r="633" customFormat="false" ht="15" hidden="false" customHeight="false" outlineLevel="0" collapsed="false">
      <c r="A633" s="76" t="n">
        <v>622</v>
      </c>
      <c r="B633" s="77" t="n">
        <v>-0.072551</v>
      </c>
      <c r="C633" s="78" t="n">
        <f aca="false">05_Unit_Economics!$B$15*EXP((01_Inputs!$C$20-01_Inputs!$C$21^2/2)*01_Inputs!$C$22+01_Inputs!$C$21*SQRT(01_Inputs!$C$22)*B633)</f>
        <v>52.7632265047318</v>
      </c>
      <c r="D633" s="78" t="n">
        <f aca="false">MAX(C633-05_Unit_Economics!$B$21,0)</f>
        <v>14.8556210302284</v>
      </c>
      <c r="E633" s="78" t="n">
        <f aca="false">D633*EXP(-01_Inputs!$C$20*01_Inputs!$C$22)</f>
        <v>14.2161453355969</v>
      </c>
      <c r="F633" s="80" t="n">
        <f aca="false">AVERAGE(E632:E633)</f>
        <v>15.5313958510493</v>
      </c>
    </row>
    <row r="634" customFormat="false" ht="15" hidden="false" customHeight="false" outlineLevel="0" collapsed="false">
      <c r="A634" s="76" t="n">
        <v>623</v>
      </c>
      <c r="B634" s="77" t="n">
        <v>-0.30772</v>
      </c>
      <c r="C634" s="78" t="n">
        <f aca="false">05_Unit_Economics!$B$15*EXP((01_Inputs!$C$20-01_Inputs!$C$21^2/2)*01_Inputs!$C$22+01_Inputs!$C$21*SQRT(01_Inputs!$C$22)*B634)</f>
        <v>48.5942557925689</v>
      </c>
      <c r="D634" s="78" t="n">
        <f aca="false">MAX(C634-05_Unit_Economics!$B$21,0)</f>
        <v>10.6866503180654</v>
      </c>
      <c r="E634" s="78" t="n">
        <f aca="false">D634*EXP(-01_Inputs!$C$20*01_Inputs!$C$22)</f>
        <v>10.2266323140033</v>
      </c>
      <c r="F634" s="79"/>
    </row>
    <row r="635" customFormat="false" ht="15" hidden="false" customHeight="false" outlineLevel="0" collapsed="false">
      <c r="A635" s="76" t="n">
        <v>624</v>
      </c>
      <c r="B635" s="77" t="n">
        <v>0.30772</v>
      </c>
      <c r="C635" s="78" t="n">
        <f aca="false">05_Unit_Economics!$B$15*EXP((01_Inputs!$C$20-01_Inputs!$C$21^2/2)*01_Inputs!$C$22+01_Inputs!$C$21*SQRT(01_Inputs!$C$22)*B635)</f>
        <v>60.2745121533184</v>
      </c>
      <c r="D635" s="78" t="n">
        <f aca="false">MAX(C635-05_Unit_Economics!$B$21,0)</f>
        <v>22.3669066788149</v>
      </c>
      <c r="E635" s="78" t="n">
        <f aca="false">D635*EXP(-01_Inputs!$C$20*01_Inputs!$C$22)</f>
        <v>21.4040998627222</v>
      </c>
      <c r="F635" s="80" t="n">
        <f aca="false">AVERAGE(E634:E635)</f>
        <v>15.8153660883627</v>
      </c>
    </row>
    <row r="636" customFormat="false" ht="15" hidden="false" customHeight="false" outlineLevel="0" collapsed="false">
      <c r="A636" s="76" t="n">
        <v>625</v>
      </c>
      <c r="B636" s="77" t="n">
        <v>1.007991</v>
      </c>
      <c r="C636" s="78" t="n">
        <f aca="false">05_Unit_Economics!$B$15*EXP((01_Inputs!$C$20-01_Inputs!$C$21^2/2)*01_Inputs!$C$22+01_Inputs!$C$21*SQRT(01_Inputs!$C$22)*B636)</f>
        <v>77.0153059254495</v>
      </c>
      <c r="D636" s="78" t="n">
        <f aca="false">MAX(C636-05_Unit_Economics!$B$21,0)</f>
        <v>39.107700450946</v>
      </c>
      <c r="E636" s="78" t="n">
        <f aca="false">D636*EXP(-01_Inputs!$C$20*01_Inputs!$C$22)</f>
        <v>37.4242687142033</v>
      </c>
      <c r="F636" s="79"/>
    </row>
    <row r="637" customFormat="false" ht="15" hidden="false" customHeight="false" outlineLevel="0" collapsed="false">
      <c r="A637" s="76" t="n">
        <v>626</v>
      </c>
      <c r="B637" s="77" t="n">
        <v>-1.007991</v>
      </c>
      <c r="C637" s="78" t="n">
        <f aca="false">05_Unit_Economics!$B$15*EXP((01_Inputs!$C$20-01_Inputs!$C$21^2/2)*01_Inputs!$C$22+01_Inputs!$C$21*SQRT(01_Inputs!$C$22)*B637)</f>
        <v>38.0313370979258</v>
      </c>
      <c r="D637" s="78" t="n">
        <f aca="false">MAX(C637-05_Unit_Economics!$B$21,0)</f>
        <v>0.123731623422323</v>
      </c>
      <c r="E637" s="78" t="n">
        <f aca="false">D637*EXP(-01_Inputs!$C$20*01_Inputs!$C$22)</f>
        <v>0.118405466698557</v>
      </c>
      <c r="F637" s="80" t="n">
        <f aca="false">AVERAGE(E636:E637)</f>
        <v>18.7713370904509</v>
      </c>
    </row>
    <row r="638" customFormat="false" ht="15" hidden="false" customHeight="false" outlineLevel="0" collapsed="false">
      <c r="A638" s="76" t="n">
        <v>627</v>
      </c>
      <c r="B638" s="77" t="n">
        <v>0.996975</v>
      </c>
      <c r="C638" s="78" t="n">
        <f aca="false">05_Unit_Economics!$B$15*EXP((01_Inputs!$C$20-01_Inputs!$C$21^2/2)*01_Inputs!$C$22+01_Inputs!$C$21*SQRT(01_Inputs!$C$22)*B638)</f>
        <v>76.718937418274</v>
      </c>
      <c r="D638" s="78" t="n">
        <f aca="false">MAX(C638-05_Unit_Economics!$B$21,0)</f>
        <v>38.8113319437705</v>
      </c>
      <c r="E638" s="78" t="n">
        <f aca="false">D638*EXP(-01_Inputs!$C$20*01_Inputs!$C$22)</f>
        <v>37.1406576983913</v>
      </c>
      <c r="F638" s="79"/>
    </row>
    <row r="639" customFormat="false" ht="15" hidden="false" customHeight="false" outlineLevel="0" collapsed="false">
      <c r="A639" s="76" t="n">
        <v>628</v>
      </c>
      <c r="B639" s="77" t="n">
        <v>-0.996975</v>
      </c>
      <c r="C639" s="78" t="n">
        <f aca="false">05_Unit_Economics!$B$15*EXP((01_Inputs!$C$20-01_Inputs!$C$21^2/2)*01_Inputs!$C$22+01_Inputs!$C$21*SQRT(01_Inputs!$C$22)*B639)</f>
        <v>38.1782537651908</v>
      </c>
      <c r="D639" s="78" t="n">
        <f aca="false">MAX(C639-05_Unit_Economics!$B$21,0)</f>
        <v>0.270648290687291</v>
      </c>
      <c r="E639" s="78" t="n">
        <f aca="false">D639*EXP(-01_Inputs!$C$20*01_Inputs!$C$22)</f>
        <v>0.258997952856518</v>
      </c>
      <c r="F639" s="80" t="n">
        <f aca="false">AVERAGE(E638:E639)</f>
        <v>18.6998278256239</v>
      </c>
    </row>
    <row r="640" customFormat="false" ht="15" hidden="false" customHeight="false" outlineLevel="0" collapsed="false">
      <c r="A640" s="76" t="n">
        <v>629</v>
      </c>
      <c r="B640" s="77" t="n">
        <v>-1.064541</v>
      </c>
      <c r="C640" s="78" t="n">
        <f aca="false">05_Unit_Economics!$B$15*EXP((01_Inputs!$C$20-01_Inputs!$C$21^2/2)*01_Inputs!$C$22+01_Inputs!$C$21*SQRT(01_Inputs!$C$22)*B640)</f>
        <v>37.2860022102853</v>
      </c>
      <c r="D640" s="78" t="n">
        <f aca="false">MAX(C640-05_Unit_Economics!$B$21,0)</f>
        <v>0</v>
      </c>
      <c r="E640" s="78" t="n">
        <f aca="false">D640*EXP(-01_Inputs!$C$20*01_Inputs!$C$22)</f>
        <v>0</v>
      </c>
      <c r="F640" s="79"/>
    </row>
    <row r="641" customFormat="false" ht="15" hidden="false" customHeight="false" outlineLevel="0" collapsed="false">
      <c r="A641" s="76" t="n">
        <v>630</v>
      </c>
      <c r="B641" s="77" t="n">
        <v>1.064541</v>
      </c>
      <c r="C641" s="78" t="n">
        <f aca="false">05_Unit_Economics!$B$15*EXP((01_Inputs!$C$20-01_Inputs!$C$21^2/2)*01_Inputs!$C$22+01_Inputs!$C$21*SQRT(01_Inputs!$C$22)*B641)</f>
        <v>78.5548164920372</v>
      </c>
      <c r="D641" s="78" t="n">
        <f aca="false">MAX(C641-05_Unit_Economics!$B$21,0)</f>
        <v>40.6472110175337</v>
      </c>
      <c r="E641" s="78" t="n">
        <f aca="false">D641*EXP(-01_Inputs!$C$20*01_Inputs!$C$22)</f>
        <v>38.8975094434709</v>
      </c>
      <c r="F641" s="80" t="n">
        <f aca="false">AVERAGE(E640:E641)</f>
        <v>19.4487547217354</v>
      </c>
    </row>
    <row r="642" customFormat="false" ht="15" hidden="false" customHeight="false" outlineLevel="0" collapsed="false">
      <c r="A642" s="76" t="n">
        <v>631</v>
      </c>
      <c r="B642" s="77" t="n">
        <v>-2.031538</v>
      </c>
      <c r="C642" s="78" t="n">
        <f aca="false">05_Unit_Economics!$B$15*EXP((01_Inputs!$C$20-01_Inputs!$C$21^2/2)*01_Inputs!$C$22+01_Inputs!$C$21*SQRT(01_Inputs!$C$22)*B642)</f>
        <v>26.5802651917743</v>
      </c>
      <c r="D642" s="78" t="n">
        <f aca="false">MAX(C642-05_Unit_Economics!$B$21,0)</f>
        <v>0</v>
      </c>
      <c r="E642" s="78" t="n">
        <f aca="false">D642*EXP(-01_Inputs!$C$20*01_Inputs!$C$22)</f>
        <v>0</v>
      </c>
      <c r="F642" s="79"/>
    </row>
    <row r="643" customFormat="false" ht="15" hidden="false" customHeight="false" outlineLevel="0" collapsed="false">
      <c r="A643" s="76" t="n">
        <v>632</v>
      </c>
      <c r="B643" s="77" t="n">
        <v>2.031538</v>
      </c>
      <c r="C643" s="78" t="n">
        <f aca="false">05_Unit_Economics!$B$15*EXP((01_Inputs!$C$20-01_Inputs!$C$21^2/2)*01_Inputs!$C$22+01_Inputs!$C$21*SQRT(01_Inputs!$C$22)*B643)</f>
        <v>110.194350591245</v>
      </c>
      <c r="D643" s="78" t="n">
        <f aca="false">MAX(C643-05_Unit_Economics!$B$21,0)</f>
        <v>72.2867451167418</v>
      </c>
      <c r="E643" s="78" t="n">
        <f aca="false">D643*EXP(-01_Inputs!$C$20*01_Inputs!$C$22)</f>
        <v>69.1750868123115</v>
      </c>
      <c r="F643" s="80" t="n">
        <f aca="false">AVERAGE(E642:E643)</f>
        <v>34.5875434061557</v>
      </c>
    </row>
    <row r="644" customFormat="false" ht="15" hidden="false" customHeight="false" outlineLevel="0" collapsed="false">
      <c r="A644" s="76" t="n">
        <v>633</v>
      </c>
      <c r="B644" s="77" t="n">
        <v>-0.862212</v>
      </c>
      <c r="C644" s="78" t="n">
        <f aca="false">05_Unit_Economics!$B$15*EXP((01_Inputs!$C$20-01_Inputs!$C$21^2/2)*01_Inputs!$C$22+01_Inputs!$C$21*SQRT(01_Inputs!$C$22)*B644)</f>
        <v>40.0221531818216</v>
      </c>
      <c r="D644" s="78" t="n">
        <f aca="false">MAX(C644-05_Unit_Economics!$B$21,0)</f>
        <v>2.11454770731816</v>
      </c>
      <c r="E644" s="78" t="n">
        <f aca="false">D644*EXP(-01_Inputs!$C$20*01_Inputs!$C$22)</f>
        <v>2.02352479678367</v>
      </c>
      <c r="F644" s="79"/>
    </row>
    <row r="645" customFormat="false" ht="15" hidden="false" customHeight="false" outlineLevel="0" collapsed="false">
      <c r="A645" s="76" t="n">
        <v>634</v>
      </c>
      <c r="B645" s="77" t="n">
        <v>0.862212</v>
      </c>
      <c r="C645" s="78" t="n">
        <f aca="false">05_Unit_Economics!$B$15*EXP((01_Inputs!$C$20-01_Inputs!$C$21^2/2)*01_Inputs!$C$22+01_Inputs!$C$21*SQRT(01_Inputs!$C$22)*B645)</f>
        <v>73.1843448813</v>
      </c>
      <c r="D645" s="78" t="n">
        <f aca="false">MAX(C645-05_Unit_Economics!$B$21,0)</f>
        <v>35.2767394067965</v>
      </c>
      <c r="E645" s="78" t="n">
        <f aca="false">D645*EXP(-01_Inputs!$C$20*01_Inputs!$C$22)</f>
        <v>33.7582153820793</v>
      </c>
      <c r="F645" s="80" t="n">
        <f aca="false">AVERAGE(E644:E645)</f>
        <v>17.8908700894315</v>
      </c>
    </row>
    <row r="646" customFormat="false" ht="15" hidden="false" customHeight="false" outlineLevel="0" collapsed="false">
      <c r="A646" s="76" t="n">
        <v>635</v>
      </c>
      <c r="B646" s="77" t="n">
        <v>0.321319</v>
      </c>
      <c r="C646" s="78" t="n">
        <f aca="false">05_Unit_Economics!$B$15*EXP((01_Inputs!$C$20-01_Inputs!$C$21^2/2)*01_Inputs!$C$22+01_Inputs!$C$21*SQRT(01_Inputs!$C$22)*B646)</f>
        <v>60.5620815570558</v>
      </c>
      <c r="D646" s="78" t="n">
        <f aca="false">MAX(C646-05_Unit_Economics!$B$21,0)</f>
        <v>22.6544760825523</v>
      </c>
      <c r="E646" s="78" t="n">
        <f aca="false">D646*EXP(-01_Inputs!$C$20*01_Inputs!$C$22)</f>
        <v>21.679290541677</v>
      </c>
      <c r="F646" s="79"/>
    </row>
    <row r="647" customFormat="false" ht="15" hidden="false" customHeight="false" outlineLevel="0" collapsed="false">
      <c r="A647" s="76" t="n">
        <v>636</v>
      </c>
      <c r="B647" s="77" t="n">
        <v>-0.321319</v>
      </c>
      <c r="C647" s="78" t="n">
        <f aca="false">05_Unit_Economics!$B$15*EXP((01_Inputs!$C$20-01_Inputs!$C$21^2/2)*01_Inputs!$C$22+01_Inputs!$C$21*SQRT(01_Inputs!$C$22)*B647)</f>
        <v>48.3635137043834</v>
      </c>
      <c r="D647" s="78" t="n">
        <f aca="false">MAX(C647-05_Unit_Economics!$B$21,0)</f>
        <v>10.4559082298799</v>
      </c>
      <c r="E647" s="78" t="n">
        <f aca="false">D647*EXP(-01_Inputs!$C$20*01_Inputs!$C$22)</f>
        <v>10.0058227595586</v>
      </c>
      <c r="F647" s="80" t="n">
        <f aca="false">AVERAGE(E646:E647)</f>
        <v>15.8425566506178</v>
      </c>
    </row>
    <row r="648" customFormat="false" ht="15" hidden="false" customHeight="false" outlineLevel="0" collapsed="false">
      <c r="A648" s="76" t="n">
        <v>637</v>
      </c>
      <c r="B648" s="77" t="n">
        <v>0.166675</v>
      </c>
      <c r="C648" s="78" t="n">
        <f aca="false">05_Unit_Economics!$B$15*EXP((01_Inputs!$C$20-01_Inputs!$C$21^2/2)*01_Inputs!$C$22+01_Inputs!$C$21*SQRT(01_Inputs!$C$22)*B648)</f>
        <v>57.3712656959118</v>
      </c>
      <c r="D648" s="78" t="n">
        <f aca="false">MAX(C648-05_Unit_Economics!$B$21,0)</f>
        <v>19.4636602214083</v>
      </c>
      <c r="E648" s="78" t="n">
        <f aca="false">D648*EXP(-01_Inputs!$C$20*01_Inputs!$C$22)</f>
        <v>18.6258266757874</v>
      </c>
      <c r="F648" s="79"/>
    </row>
    <row r="649" customFormat="false" ht="15" hidden="false" customHeight="false" outlineLevel="0" collapsed="false">
      <c r="A649" s="76" t="n">
        <v>638</v>
      </c>
      <c r="B649" s="77" t="n">
        <v>-0.166675</v>
      </c>
      <c r="C649" s="78" t="n">
        <f aca="false">05_Unit_Economics!$B$15*EXP((01_Inputs!$C$20-01_Inputs!$C$21^2/2)*01_Inputs!$C$22+01_Inputs!$C$21*SQRT(01_Inputs!$C$22)*B649)</f>
        <v>51.0533457092505</v>
      </c>
      <c r="D649" s="78" t="n">
        <f aca="false">MAX(C649-05_Unit_Economics!$B$21,0)</f>
        <v>13.1457402347471</v>
      </c>
      <c r="E649" s="78" t="n">
        <f aca="false">D649*EXP(-01_Inputs!$C$20*01_Inputs!$C$22)</f>
        <v>12.5798681415539</v>
      </c>
      <c r="F649" s="80" t="n">
        <f aca="false">AVERAGE(E648:E649)</f>
        <v>15.6028474086706</v>
      </c>
    </row>
    <row r="650" customFormat="false" ht="15" hidden="false" customHeight="false" outlineLevel="0" collapsed="false">
      <c r="A650" s="76" t="n">
        <v>639</v>
      </c>
      <c r="B650" s="77" t="n">
        <v>-1.772606</v>
      </c>
      <c r="C650" s="78" t="n">
        <f aca="false">05_Unit_Economics!$B$15*EXP((01_Inputs!$C$20-01_Inputs!$C$21^2/2)*01_Inputs!$C$22+01_Inputs!$C$21*SQRT(01_Inputs!$C$22)*B650)</f>
        <v>29.101660382061</v>
      </c>
      <c r="D650" s="78" t="n">
        <f aca="false">MAX(C650-05_Unit_Economics!$B$21,0)</f>
        <v>0</v>
      </c>
      <c r="E650" s="78" t="n">
        <f aca="false">D650*EXP(-01_Inputs!$C$20*01_Inputs!$C$22)</f>
        <v>0</v>
      </c>
      <c r="F650" s="79"/>
    </row>
    <row r="651" customFormat="false" ht="15" hidden="false" customHeight="false" outlineLevel="0" collapsed="false">
      <c r="A651" s="76" t="n">
        <v>640</v>
      </c>
      <c r="B651" s="77" t="n">
        <v>1.772606</v>
      </c>
      <c r="C651" s="78" t="n">
        <f aca="false">05_Unit_Economics!$B$15*EXP((01_Inputs!$C$20-01_Inputs!$C$21^2/2)*01_Inputs!$C$22+01_Inputs!$C$21*SQRT(01_Inputs!$C$22)*B651)</f>
        <v>100.647008551999</v>
      </c>
      <c r="D651" s="78" t="n">
        <f aca="false">MAX(C651-05_Unit_Economics!$B$21,0)</f>
        <v>62.7394030774951</v>
      </c>
      <c r="E651" s="78" t="n">
        <f aca="false">D651*EXP(-01_Inputs!$C$20*01_Inputs!$C$22)</f>
        <v>60.0387200645056</v>
      </c>
      <c r="F651" s="80" t="n">
        <f aca="false">AVERAGE(E650:E651)</f>
        <v>30.0193600322528</v>
      </c>
    </row>
    <row r="652" customFormat="false" ht="15" hidden="false" customHeight="false" outlineLevel="0" collapsed="false">
      <c r="A652" s="76" t="n">
        <v>641</v>
      </c>
      <c r="B652" s="77" t="n">
        <v>0.199387</v>
      </c>
      <c r="C652" s="78" t="n">
        <f aca="false">05_Unit_Economics!$B$15*EXP((01_Inputs!$C$20-01_Inputs!$C$21^2/2)*01_Inputs!$C$22+01_Inputs!$C$21*SQRT(01_Inputs!$C$22)*B652)</f>
        <v>58.0318954155173</v>
      </c>
      <c r="D652" s="78" t="n">
        <f aca="false">MAX(C652-05_Unit_Economics!$B$21,0)</f>
        <v>20.1242899410138</v>
      </c>
      <c r="E652" s="78" t="n">
        <f aca="false">D652*EXP(-01_Inputs!$C$20*01_Inputs!$C$22)</f>
        <v>19.2580189003882</v>
      </c>
      <c r="F652" s="79"/>
    </row>
    <row r="653" customFormat="false" ht="15" hidden="false" customHeight="false" outlineLevel="0" collapsed="false">
      <c r="A653" s="76" t="n">
        <v>642</v>
      </c>
      <c r="B653" s="77" t="n">
        <v>-0.199387</v>
      </c>
      <c r="C653" s="78" t="n">
        <f aca="false">05_Unit_Economics!$B$15*EXP((01_Inputs!$C$20-01_Inputs!$C$21^2/2)*01_Inputs!$C$22+01_Inputs!$C$21*SQRT(01_Inputs!$C$22)*B653)</f>
        <v>50.4721591528003</v>
      </c>
      <c r="D653" s="78" t="n">
        <f aca="false">MAX(C653-05_Unit_Economics!$B$21,0)</f>
        <v>12.5645536782969</v>
      </c>
      <c r="E653" s="78" t="n">
        <f aca="false">D653*EXP(-01_Inputs!$C$20*01_Inputs!$C$22)</f>
        <v>12.0236993663287</v>
      </c>
      <c r="F653" s="80" t="n">
        <f aca="false">AVERAGE(E652:E653)</f>
        <v>15.6408591333584</v>
      </c>
    </row>
    <row r="654" customFormat="false" ht="15" hidden="false" customHeight="false" outlineLevel="0" collapsed="false">
      <c r="A654" s="76" t="n">
        <v>643</v>
      </c>
      <c r="B654" s="77" t="n">
        <v>0.266905</v>
      </c>
      <c r="C654" s="78" t="n">
        <f aca="false">05_Unit_Economics!$B$15*EXP((01_Inputs!$C$20-01_Inputs!$C$21^2/2)*01_Inputs!$C$22+01_Inputs!$C$21*SQRT(01_Inputs!$C$22)*B654)</f>
        <v>59.4195965584672</v>
      </c>
      <c r="D654" s="78" t="n">
        <f aca="false">MAX(C654-05_Unit_Economics!$B$21,0)</f>
        <v>21.5119910839637</v>
      </c>
      <c r="E654" s="78" t="n">
        <f aca="false">D654*EXP(-01_Inputs!$C$20*01_Inputs!$C$22)</f>
        <v>20.585985000924</v>
      </c>
      <c r="F654" s="79"/>
    </row>
    <row r="655" customFormat="false" ht="15" hidden="false" customHeight="false" outlineLevel="0" collapsed="false">
      <c r="A655" s="76" t="n">
        <v>644</v>
      </c>
      <c r="B655" s="77" t="n">
        <v>-0.266905</v>
      </c>
      <c r="C655" s="78" t="n">
        <f aca="false">05_Unit_Economics!$B$15*EXP((01_Inputs!$C$20-01_Inputs!$C$21^2/2)*01_Inputs!$C$22+01_Inputs!$C$21*SQRT(01_Inputs!$C$22)*B655)</f>
        <v>49.2934188549834</v>
      </c>
      <c r="D655" s="78" t="n">
        <f aca="false">MAX(C655-05_Unit_Economics!$B$21,0)</f>
        <v>11.3858133804799</v>
      </c>
      <c r="E655" s="78" t="n">
        <f aca="false">D655*EXP(-01_Inputs!$C$20*01_Inputs!$C$22)</f>
        <v>10.8956991734998</v>
      </c>
      <c r="F655" s="80" t="n">
        <f aca="false">AVERAGE(E654:E655)</f>
        <v>15.7408420872119</v>
      </c>
    </row>
    <row r="656" customFormat="false" ht="15" hidden="false" customHeight="false" outlineLevel="0" collapsed="false">
      <c r="A656" s="76" t="n">
        <v>645</v>
      </c>
      <c r="B656" s="77" t="n">
        <v>0.017859</v>
      </c>
      <c r="C656" s="78" t="n">
        <f aca="false">05_Unit_Economics!$B$15*EXP((01_Inputs!$C$20-01_Inputs!$C$21^2/2)*01_Inputs!$C$22+01_Inputs!$C$21*SQRT(01_Inputs!$C$22)*B656)</f>
        <v>54.4595367165714</v>
      </c>
      <c r="D656" s="78" t="n">
        <f aca="false">MAX(C656-05_Unit_Economics!$B$21,0)</f>
        <v>16.5519312420679</v>
      </c>
      <c r="E656" s="78" t="n">
        <f aca="false">D656*EXP(-01_Inputs!$C$20*01_Inputs!$C$22)</f>
        <v>15.8394361059186</v>
      </c>
      <c r="F656" s="79"/>
    </row>
    <row r="657" customFormat="false" ht="15" hidden="false" customHeight="false" outlineLevel="0" collapsed="false">
      <c r="A657" s="76" t="n">
        <v>646</v>
      </c>
      <c r="B657" s="77" t="n">
        <v>-0.017859</v>
      </c>
      <c r="C657" s="78" t="n">
        <f aca="false">05_Unit_Economics!$B$15*EXP((01_Inputs!$C$20-01_Inputs!$C$21^2/2)*01_Inputs!$C$22+01_Inputs!$C$21*SQRT(01_Inputs!$C$22)*B657)</f>
        <v>53.7829595685744</v>
      </c>
      <c r="D657" s="78" t="n">
        <f aca="false">MAX(C657-05_Unit_Economics!$B$21,0)</f>
        <v>15.875354094071</v>
      </c>
      <c r="E657" s="78" t="n">
        <f aca="false">D657*EXP(-01_Inputs!$C$20*01_Inputs!$C$22)</f>
        <v>15.1919829266071</v>
      </c>
      <c r="F657" s="80" t="n">
        <f aca="false">AVERAGE(E656:E657)</f>
        <v>15.5157095162629</v>
      </c>
    </row>
    <row r="658" customFormat="false" ht="15" hidden="false" customHeight="false" outlineLevel="0" collapsed="false">
      <c r="A658" s="76" t="n">
        <v>647</v>
      </c>
      <c r="B658" s="77" t="n">
        <v>0.468288</v>
      </c>
      <c r="C658" s="78" t="n">
        <f aca="false">05_Unit_Economics!$B$15*EXP((01_Inputs!$C$20-01_Inputs!$C$21^2/2)*01_Inputs!$C$22+01_Inputs!$C$21*SQRT(01_Inputs!$C$22)*B658)</f>
        <v>63.7588584429247</v>
      </c>
      <c r="D658" s="78" t="n">
        <f aca="false">MAX(C658-05_Unit_Economics!$B$21,0)</f>
        <v>25.8512529684212</v>
      </c>
      <c r="E658" s="78" t="n">
        <f aca="false">D658*EXP(-01_Inputs!$C$20*01_Inputs!$C$22)</f>
        <v>24.7384588337675</v>
      </c>
      <c r="F658" s="79"/>
    </row>
    <row r="659" customFormat="false" ht="15" hidden="false" customHeight="false" outlineLevel="0" collapsed="false">
      <c r="A659" s="76" t="n">
        <v>648</v>
      </c>
      <c r="B659" s="77" t="n">
        <v>-0.468288</v>
      </c>
      <c r="C659" s="78" t="n">
        <f aca="false">05_Unit_Economics!$B$15*EXP((01_Inputs!$C$20-01_Inputs!$C$21^2/2)*01_Inputs!$C$22+01_Inputs!$C$21*SQRT(01_Inputs!$C$22)*B659)</f>
        <v>45.9386371224418</v>
      </c>
      <c r="D659" s="78" t="n">
        <f aca="false">MAX(C659-05_Unit_Economics!$B$21,0)</f>
        <v>8.03103164793832</v>
      </c>
      <c r="E659" s="78" t="n">
        <f aca="false">D659*EXP(-01_Inputs!$C$20*01_Inputs!$C$22)</f>
        <v>7.68532751808586</v>
      </c>
      <c r="F659" s="80" t="n">
        <f aca="false">AVERAGE(E658:E659)</f>
        <v>16.2118931759267</v>
      </c>
    </row>
    <row r="660" customFormat="false" ht="15" hidden="false" customHeight="false" outlineLevel="0" collapsed="false">
      <c r="A660" s="76" t="n">
        <v>649</v>
      </c>
      <c r="B660" s="77" t="n">
        <v>-0.638559</v>
      </c>
      <c r="C660" s="78" t="n">
        <f aca="false">05_Unit_Economics!$B$15*EXP((01_Inputs!$C$20-01_Inputs!$C$21^2/2)*01_Inputs!$C$22+01_Inputs!$C$21*SQRT(01_Inputs!$C$22)*B660)</f>
        <v>43.2809108724266</v>
      </c>
      <c r="D660" s="78" t="n">
        <f aca="false">MAX(C660-05_Unit_Economics!$B$21,0)</f>
        <v>5.37330539792311</v>
      </c>
      <c r="E660" s="78" t="n">
        <f aca="false">D660*EXP(-01_Inputs!$C$20*01_Inputs!$C$22)</f>
        <v>5.14200586525381</v>
      </c>
      <c r="F660" s="79"/>
    </row>
    <row r="661" customFormat="false" ht="15" hidden="false" customHeight="false" outlineLevel="0" collapsed="false">
      <c r="A661" s="76" t="n">
        <v>650</v>
      </c>
      <c r="B661" s="77" t="n">
        <v>0.638559</v>
      </c>
      <c r="C661" s="78" t="n">
        <f aca="false">05_Unit_Economics!$B$15*EXP((01_Inputs!$C$20-01_Inputs!$C$21^2/2)*01_Inputs!$C$22+01_Inputs!$C$21*SQRT(01_Inputs!$C$22)*B661)</f>
        <v>67.6740623593635</v>
      </c>
      <c r="D661" s="78" t="n">
        <f aca="false">MAX(C661-05_Unit_Economics!$B$21,0)</f>
        <v>29.7664568848601</v>
      </c>
      <c r="E661" s="78" t="n">
        <f aca="false">D661*EXP(-01_Inputs!$C$20*01_Inputs!$C$22)</f>
        <v>28.4851287159177</v>
      </c>
      <c r="F661" s="80" t="n">
        <f aca="false">AVERAGE(E660:E661)</f>
        <v>16.8135672905857</v>
      </c>
    </row>
    <row r="662" customFormat="false" ht="15" hidden="false" customHeight="false" outlineLevel="0" collapsed="false">
      <c r="A662" s="76" t="n">
        <v>651</v>
      </c>
      <c r="B662" s="77" t="n">
        <v>0.223422</v>
      </c>
      <c r="C662" s="78" t="n">
        <f aca="false">05_Unit_Economics!$B$15*EXP((01_Inputs!$C$20-01_Inputs!$C$21^2/2)*01_Inputs!$C$22+01_Inputs!$C$21*SQRT(01_Inputs!$C$22)*B662)</f>
        <v>58.5221333387018</v>
      </c>
      <c r="D662" s="78" t="n">
        <f aca="false">MAX(C662-05_Unit_Economics!$B$21,0)</f>
        <v>20.6145278641983</v>
      </c>
      <c r="E662" s="78" t="n">
        <f aca="false">D662*EXP(-01_Inputs!$C$20*01_Inputs!$C$22)</f>
        <v>19.727154021083</v>
      </c>
      <c r="F662" s="79"/>
    </row>
    <row r="663" customFormat="false" ht="15" hidden="false" customHeight="false" outlineLevel="0" collapsed="false">
      <c r="A663" s="76" t="n">
        <v>652</v>
      </c>
      <c r="B663" s="77" t="n">
        <v>-0.223422</v>
      </c>
      <c r="C663" s="78" t="n">
        <f aca="false">05_Unit_Economics!$B$15*EXP((01_Inputs!$C$20-01_Inputs!$C$21^2/2)*01_Inputs!$C$22+01_Inputs!$C$21*SQRT(01_Inputs!$C$22)*B663)</f>
        <v>50.0493555899414</v>
      </c>
      <c r="D663" s="78" t="n">
        <f aca="false">MAX(C663-05_Unit_Economics!$B$21,0)</f>
        <v>12.1417501154379</v>
      </c>
      <c r="E663" s="78" t="n">
        <f aca="false">D663*EXP(-01_Inputs!$C$20*01_Inputs!$C$22)</f>
        <v>11.6190958236171</v>
      </c>
      <c r="F663" s="80" t="n">
        <f aca="false">AVERAGE(E662:E663)</f>
        <v>15.6731249223501</v>
      </c>
    </row>
    <row r="664" customFormat="false" ht="15" hidden="false" customHeight="false" outlineLevel="0" collapsed="false">
      <c r="A664" s="76" t="n">
        <v>653</v>
      </c>
      <c r="B664" s="77" t="n">
        <v>0.54634</v>
      </c>
      <c r="C664" s="78" t="n">
        <f aca="false">05_Unit_Economics!$B$15*EXP((01_Inputs!$C$20-01_Inputs!$C$21^2/2)*01_Inputs!$C$22+01_Inputs!$C$21*SQRT(01_Inputs!$C$22)*B664)</f>
        <v>65.5246449303588</v>
      </c>
      <c r="D664" s="78" t="n">
        <f aca="false">MAX(C664-05_Unit_Economics!$B$21,0)</f>
        <v>27.6170394558553</v>
      </c>
      <c r="E664" s="78" t="n">
        <f aca="false">D664*EXP(-01_Inputs!$C$20*01_Inputs!$C$22)</f>
        <v>26.42823520097</v>
      </c>
      <c r="F664" s="79"/>
    </row>
    <row r="665" customFormat="false" ht="15" hidden="false" customHeight="false" outlineLevel="0" collapsed="false">
      <c r="A665" s="76" t="n">
        <v>654</v>
      </c>
      <c r="B665" s="77" t="n">
        <v>-0.54634</v>
      </c>
      <c r="C665" s="78" t="n">
        <f aca="false">05_Unit_Economics!$B$15*EXP((01_Inputs!$C$20-01_Inputs!$C$21^2/2)*01_Inputs!$C$22+01_Inputs!$C$21*SQRT(01_Inputs!$C$22)*B665)</f>
        <v>44.7006628492785</v>
      </c>
      <c r="D665" s="78" t="n">
        <f aca="false">MAX(C665-05_Unit_Economics!$B$21,0)</f>
        <v>6.793057374775</v>
      </c>
      <c r="E665" s="78" t="n">
        <f aca="false">D665*EXP(-01_Inputs!$C$20*01_Inputs!$C$22)</f>
        <v>6.5006431381324</v>
      </c>
      <c r="F665" s="80" t="n">
        <f aca="false">AVERAGE(E664:E665)</f>
        <v>16.4644391695512</v>
      </c>
    </row>
    <row r="666" customFormat="false" ht="15" hidden="false" customHeight="false" outlineLevel="0" collapsed="false">
      <c r="A666" s="76" t="n">
        <v>655</v>
      </c>
      <c r="B666" s="77" t="n">
        <v>0.454641</v>
      </c>
      <c r="C666" s="78" t="n">
        <f aca="false">05_Unit_Economics!$B$15*EXP((01_Inputs!$C$20-01_Inputs!$C$21^2/2)*01_Inputs!$C$22+01_Inputs!$C$21*SQRT(01_Inputs!$C$22)*B666)</f>
        <v>63.4550435993343</v>
      </c>
      <c r="D666" s="78" t="n">
        <f aca="false">MAX(C666-05_Unit_Economics!$B$21,0)</f>
        <v>25.5474381248308</v>
      </c>
      <c r="E666" s="78" t="n">
        <f aca="false">D666*EXP(-01_Inputs!$C$20*01_Inputs!$C$22)</f>
        <v>24.4477220168546</v>
      </c>
      <c r="F666" s="79"/>
    </row>
    <row r="667" customFormat="false" ht="15" hidden="false" customHeight="false" outlineLevel="0" collapsed="false">
      <c r="A667" s="76" t="n">
        <v>656</v>
      </c>
      <c r="B667" s="77" t="n">
        <v>-0.454641</v>
      </c>
      <c r="C667" s="78" t="n">
        <f aca="false">05_Unit_Economics!$B$15*EXP((01_Inputs!$C$20-01_Inputs!$C$21^2/2)*01_Inputs!$C$22+01_Inputs!$C$21*SQRT(01_Inputs!$C$22)*B667)</f>
        <v>46.1585855939965</v>
      </c>
      <c r="D667" s="78" t="n">
        <f aca="false">MAX(C667-05_Unit_Economics!$B$21,0)</f>
        <v>8.25098011949304</v>
      </c>
      <c r="E667" s="78" t="n">
        <f aca="false">D667*EXP(-01_Inputs!$C$20*01_Inputs!$C$22)</f>
        <v>7.8958080783803</v>
      </c>
      <c r="F667" s="80" t="n">
        <f aca="false">AVERAGE(E666:E667)</f>
        <v>16.1717650476175</v>
      </c>
    </row>
    <row r="668" customFormat="false" ht="15" hidden="false" customHeight="false" outlineLevel="0" collapsed="false">
      <c r="A668" s="76" t="n">
        <v>657</v>
      </c>
      <c r="B668" s="77" t="n">
        <v>0.9345</v>
      </c>
      <c r="C668" s="78" t="n">
        <f aca="false">05_Unit_Economics!$B$15*EXP((01_Inputs!$C$20-01_Inputs!$C$21^2/2)*01_Inputs!$C$22+01_Inputs!$C$21*SQRT(01_Inputs!$C$22)*B668)</f>
        <v>75.0595899217405</v>
      </c>
      <c r="D668" s="78" t="n">
        <f aca="false">MAX(C668-05_Unit_Economics!$B$21,0)</f>
        <v>37.151984447237</v>
      </c>
      <c r="E668" s="78" t="n">
        <f aca="false">D668*EXP(-01_Inputs!$C$20*01_Inputs!$C$22)</f>
        <v>35.5527385447606</v>
      </c>
      <c r="F668" s="79"/>
    </row>
    <row r="669" customFormat="false" ht="15" hidden="false" customHeight="false" outlineLevel="0" collapsed="false">
      <c r="A669" s="76" t="n">
        <v>658</v>
      </c>
      <c r="B669" s="77" t="n">
        <v>-0.9345</v>
      </c>
      <c r="C669" s="78" t="n">
        <f aca="false">05_Unit_Economics!$B$15*EXP((01_Inputs!$C$20-01_Inputs!$C$21^2/2)*01_Inputs!$C$22+01_Inputs!$C$21*SQRT(01_Inputs!$C$22)*B669)</f>
        <v>39.0222630366688</v>
      </c>
      <c r="D669" s="78" t="n">
        <f aca="false">MAX(C669-05_Unit_Economics!$B$21,0)</f>
        <v>1.11465756216532</v>
      </c>
      <c r="E669" s="78" t="n">
        <f aca="false">D669*EXP(-01_Inputs!$C$20*01_Inputs!$C$22)</f>
        <v>1.06667596534136</v>
      </c>
      <c r="F669" s="80" t="n">
        <f aca="false">AVERAGE(E668:E669)</f>
        <v>18.309707255051</v>
      </c>
    </row>
    <row r="670" customFormat="false" ht="15" hidden="false" customHeight="false" outlineLevel="0" collapsed="false">
      <c r="A670" s="76" t="n">
        <v>659</v>
      </c>
      <c r="B670" s="77" t="n">
        <v>0.116519</v>
      </c>
      <c r="C670" s="78" t="n">
        <f aca="false">05_Unit_Economics!$B$15*EXP((01_Inputs!$C$20-01_Inputs!$C$21^2/2)*01_Inputs!$C$22+01_Inputs!$C$21*SQRT(01_Inputs!$C$22)*B670)</f>
        <v>56.3729244533176</v>
      </c>
      <c r="D670" s="78" t="n">
        <f aca="false">MAX(C670-05_Unit_Economics!$B$21,0)</f>
        <v>18.4653189788142</v>
      </c>
      <c r="E670" s="78" t="n">
        <f aca="false">D670*EXP(-01_Inputs!$C$20*01_Inputs!$C$22)</f>
        <v>17.6704600727784</v>
      </c>
      <c r="F670" s="79"/>
    </row>
    <row r="671" customFormat="false" ht="15" hidden="false" customHeight="false" outlineLevel="0" collapsed="false">
      <c r="A671" s="76" t="n">
        <v>660</v>
      </c>
      <c r="B671" s="77" t="n">
        <v>-0.116519</v>
      </c>
      <c r="C671" s="78" t="n">
        <f aca="false">05_Unit_Economics!$B$15*EXP((01_Inputs!$C$20-01_Inputs!$C$21^2/2)*01_Inputs!$C$22+01_Inputs!$C$21*SQRT(01_Inputs!$C$22)*B671)</f>
        <v>51.9574794062024</v>
      </c>
      <c r="D671" s="78" t="n">
        <f aca="false">MAX(C671-05_Unit_Economics!$B$21,0)</f>
        <v>14.0498739316989</v>
      </c>
      <c r="E671" s="78" t="n">
        <f aca="false">D671*EXP(-01_Inputs!$C$20*01_Inputs!$C$22)</f>
        <v>13.4450824609366</v>
      </c>
      <c r="F671" s="80" t="n">
        <f aca="false">AVERAGE(E670:E671)</f>
        <v>15.5577712668575</v>
      </c>
    </row>
    <row r="672" customFormat="false" ht="15" hidden="false" customHeight="false" outlineLevel="0" collapsed="false">
      <c r="A672" s="76" t="n">
        <v>661</v>
      </c>
      <c r="B672" s="77" t="n">
        <v>0.482624</v>
      </c>
      <c r="C672" s="78" t="n">
        <f aca="false">05_Unit_Economics!$B$15*EXP((01_Inputs!$C$20-01_Inputs!$C$21^2/2)*01_Inputs!$C$22+01_Inputs!$C$21*SQRT(01_Inputs!$C$22)*B672)</f>
        <v>64.0795788415045</v>
      </c>
      <c r="D672" s="78" t="n">
        <f aca="false">MAX(C672-05_Unit_Economics!$B$21,0)</f>
        <v>26.171973367001</v>
      </c>
      <c r="E672" s="78" t="n">
        <f aca="false">D672*EXP(-01_Inputs!$C$20*01_Inputs!$C$22)</f>
        <v>25.0453734884308</v>
      </c>
      <c r="F672" s="79"/>
    </row>
    <row r="673" customFormat="false" ht="15" hidden="false" customHeight="false" outlineLevel="0" collapsed="false">
      <c r="A673" s="76" t="n">
        <v>662</v>
      </c>
      <c r="B673" s="77" t="n">
        <v>-0.482624</v>
      </c>
      <c r="C673" s="78" t="n">
        <f aca="false">05_Unit_Economics!$B$15*EXP((01_Inputs!$C$20-01_Inputs!$C$21^2/2)*01_Inputs!$C$22+01_Inputs!$C$21*SQRT(01_Inputs!$C$22)*B673)</f>
        <v>45.7087127335103</v>
      </c>
      <c r="D673" s="78" t="n">
        <f aca="false">MAX(C673-05_Unit_Economics!$B$21,0)</f>
        <v>7.80110725900681</v>
      </c>
      <c r="E673" s="78" t="n">
        <f aca="false">D673*EXP(-01_Inputs!$C$20*01_Inputs!$C$22)</f>
        <v>7.46530046417828</v>
      </c>
      <c r="F673" s="80" t="n">
        <f aca="false">AVERAGE(E672:E673)</f>
        <v>16.2553369763045</v>
      </c>
    </row>
    <row r="674" customFormat="false" ht="15" hidden="false" customHeight="false" outlineLevel="0" collapsed="false">
      <c r="A674" s="76" t="n">
        <v>663</v>
      </c>
      <c r="B674" s="77" t="n">
        <v>0.441729</v>
      </c>
      <c r="C674" s="78" t="n">
        <f aca="false">05_Unit_Economics!$B$15*EXP((01_Inputs!$C$20-01_Inputs!$C$21^2/2)*01_Inputs!$C$22+01_Inputs!$C$21*SQRT(01_Inputs!$C$22)*B674)</f>
        <v>63.1689245678184</v>
      </c>
      <c r="D674" s="78" t="n">
        <f aca="false">MAX(C674-05_Unit_Economics!$B$21,0)</f>
        <v>25.2613190933149</v>
      </c>
      <c r="E674" s="78" t="n">
        <f aca="false">D674*EXP(-01_Inputs!$C$20*01_Inputs!$C$22)</f>
        <v>24.1739192773371</v>
      </c>
      <c r="F674" s="79"/>
    </row>
    <row r="675" customFormat="false" ht="15" hidden="false" customHeight="false" outlineLevel="0" collapsed="false">
      <c r="A675" s="76" t="n">
        <v>664</v>
      </c>
      <c r="B675" s="77" t="n">
        <v>-0.441729</v>
      </c>
      <c r="C675" s="78" t="n">
        <f aca="false">05_Unit_Economics!$B$15*EXP((01_Inputs!$C$20-01_Inputs!$C$21^2/2)*01_Inputs!$C$22+01_Inputs!$C$21*SQRT(01_Inputs!$C$22)*B675)</f>
        <v>46.3676575371498</v>
      </c>
      <c r="D675" s="78" t="n">
        <f aca="false">MAX(C675-05_Unit_Economics!$B$21,0)</f>
        <v>8.46005206264634</v>
      </c>
      <c r="E675" s="78" t="n">
        <f aca="false">D675*EXP(-01_Inputs!$C$20*01_Inputs!$C$22)</f>
        <v>8.09588030177743</v>
      </c>
      <c r="F675" s="80" t="n">
        <f aca="false">AVERAGE(E674:E675)</f>
        <v>16.1348997895573</v>
      </c>
    </row>
    <row r="676" customFormat="false" ht="15" hidden="false" customHeight="false" outlineLevel="0" collapsed="false">
      <c r="A676" s="76" t="n">
        <v>665</v>
      </c>
      <c r="B676" s="77" t="n">
        <v>-1.099598</v>
      </c>
      <c r="C676" s="78" t="n">
        <f aca="false">05_Unit_Economics!$B$15*EXP((01_Inputs!$C$20-01_Inputs!$C$21^2/2)*01_Inputs!$C$22+01_Inputs!$C$21*SQRT(01_Inputs!$C$22)*B676)</f>
        <v>36.8313001180989</v>
      </c>
      <c r="D676" s="78" t="n">
        <f aca="false">MAX(C676-05_Unit_Economics!$B$21,0)</f>
        <v>0</v>
      </c>
      <c r="E676" s="78" t="n">
        <f aca="false">D676*EXP(-01_Inputs!$C$20*01_Inputs!$C$22)</f>
        <v>0</v>
      </c>
      <c r="F676" s="79"/>
    </row>
    <row r="677" customFormat="false" ht="15" hidden="false" customHeight="false" outlineLevel="0" collapsed="false">
      <c r="A677" s="76" t="n">
        <v>666</v>
      </c>
      <c r="B677" s="77" t="n">
        <v>1.099598</v>
      </c>
      <c r="C677" s="78" t="n">
        <f aca="false">05_Unit_Economics!$B$15*EXP((01_Inputs!$C$20-01_Inputs!$C$21^2/2)*01_Inputs!$C$22+01_Inputs!$C$21*SQRT(01_Inputs!$C$22)*B677)</f>
        <v>79.5246177017612</v>
      </c>
      <c r="D677" s="78" t="n">
        <f aca="false">MAX(C677-05_Unit_Economics!$B$21,0)</f>
        <v>41.6170122272578</v>
      </c>
      <c r="E677" s="78" t="n">
        <f aca="false">D677*EXP(-01_Inputs!$C$20*01_Inputs!$C$22)</f>
        <v>39.8255645490785</v>
      </c>
      <c r="F677" s="80" t="n">
        <f aca="false">AVERAGE(E676:E677)</f>
        <v>19.9127822745392</v>
      </c>
    </row>
    <row r="678" customFormat="false" ht="15" hidden="false" customHeight="false" outlineLevel="0" collapsed="false">
      <c r="A678" s="76" t="n">
        <v>667</v>
      </c>
      <c r="B678" s="77" t="n">
        <v>1.355425</v>
      </c>
      <c r="C678" s="78" t="n">
        <f aca="false">05_Unit_Economics!$B$15*EXP((01_Inputs!$C$20-01_Inputs!$C$21^2/2)*01_Inputs!$C$22+01_Inputs!$C$21*SQRT(01_Inputs!$C$22)*B678)</f>
        <v>86.9737266356993</v>
      </c>
      <c r="D678" s="78" t="n">
        <f aca="false">MAX(C678-05_Unit_Economics!$B$21,0)</f>
        <v>49.0661211611958</v>
      </c>
      <c r="E678" s="78" t="n">
        <f aca="false">D678*EXP(-01_Inputs!$C$20*01_Inputs!$C$22)</f>
        <v>46.9540188230583</v>
      </c>
      <c r="F678" s="79"/>
    </row>
    <row r="679" customFormat="false" ht="15" hidden="false" customHeight="false" outlineLevel="0" collapsed="false">
      <c r="A679" s="76" t="n">
        <v>668</v>
      </c>
      <c r="B679" s="77" t="n">
        <v>-1.355425</v>
      </c>
      <c r="C679" s="78" t="n">
        <f aca="false">05_Unit_Economics!$B$15*EXP((01_Inputs!$C$20-01_Inputs!$C$21^2/2)*01_Inputs!$C$22+01_Inputs!$C$21*SQRT(01_Inputs!$C$22)*B679)</f>
        <v>33.6767800420825</v>
      </c>
      <c r="D679" s="78" t="n">
        <f aca="false">MAX(C679-05_Unit_Economics!$B$21,0)</f>
        <v>0</v>
      </c>
      <c r="E679" s="78" t="n">
        <f aca="false">D679*EXP(-01_Inputs!$C$20*01_Inputs!$C$22)</f>
        <v>0</v>
      </c>
      <c r="F679" s="80" t="n">
        <f aca="false">AVERAGE(E678:E679)</f>
        <v>23.4770094115292</v>
      </c>
    </row>
    <row r="680" customFormat="false" ht="15" hidden="false" customHeight="false" outlineLevel="0" collapsed="false">
      <c r="A680" s="76" t="n">
        <v>669</v>
      </c>
      <c r="B680" s="77" t="n">
        <v>0.597708</v>
      </c>
      <c r="C680" s="78" t="n">
        <f aca="false">05_Unit_Economics!$B$15*EXP((01_Inputs!$C$20-01_Inputs!$C$21^2/2)*01_Inputs!$C$22+01_Inputs!$C$21*SQRT(01_Inputs!$C$22)*B680)</f>
        <v>66.7133531710994</v>
      </c>
      <c r="D680" s="78" t="n">
        <f aca="false">MAX(C680-05_Unit_Economics!$B$21,0)</f>
        <v>28.8057476965959</v>
      </c>
      <c r="E680" s="78" t="n">
        <f aca="false">D680*EXP(-01_Inputs!$C$20*01_Inputs!$C$22)</f>
        <v>27.5657742562275</v>
      </c>
      <c r="F680" s="79"/>
    </row>
    <row r="681" customFormat="false" ht="15" hidden="false" customHeight="false" outlineLevel="0" collapsed="false">
      <c r="A681" s="76" t="n">
        <v>670</v>
      </c>
      <c r="B681" s="77" t="n">
        <v>-0.597708</v>
      </c>
      <c r="C681" s="78" t="n">
        <f aca="false">05_Unit_Economics!$B$15*EXP((01_Inputs!$C$20-01_Inputs!$C$21^2/2)*01_Inputs!$C$22+01_Inputs!$C$21*SQRT(01_Inputs!$C$22)*B681)</f>
        <v>43.9041799298961</v>
      </c>
      <c r="D681" s="78" t="n">
        <f aca="false">MAX(C681-05_Unit_Economics!$B$21,0)</f>
        <v>5.99657445539265</v>
      </c>
      <c r="E681" s="78" t="n">
        <f aca="false">D681*EXP(-01_Inputs!$C$20*01_Inputs!$C$22)</f>
        <v>5.73844565636977</v>
      </c>
      <c r="F681" s="80" t="n">
        <f aca="false">AVERAGE(E680:E681)</f>
        <v>16.6521099562987</v>
      </c>
    </row>
    <row r="682" customFormat="false" ht="15" hidden="false" customHeight="false" outlineLevel="0" collapsed="false">
      <c r="A682" s="76" t="n">
        <v>671</v>
      </c>
      <c r="B682" s="77" t="n">
        <v>-0.580893</v>
      </c>
      <c r="C682" s="78" t="n">
        <f aca="false">05_Unit_Economics!$B$15*EXP((01_Inputs!$C$20-01_Inputs!$C$21^2/2)*01_Inputs!$C$22+01_Inputs!$C$21*SQRT(01_Inputs!$C$22)*B682)</f>
        <v>44.1633288348818</v>
      </c>
      <c r="D682" s="78" t="n">
        <f aca="false">MAX(C682-05_Unit_Economics!$B$21,0)</f>
        <v>6.25572336037829</v>
      </c>
      <c r="E682" s="78" t="n">
        <f aca="false">D682*EXP(-01_Inputs!$C$20*01_Inputs!$C$22)</f>
        <v>5.98643922657059</v>
      </c>
      <c r="F682" s="79"/>
    </row>
    <row r="683" customFormat="false" ht="15" hidden="false" customHeight="false" outlineLevel="0" collapsed="false">
      <c r="A683" s="76" t="n">
        <v>672</v>
      </c>
      <c r="B683" s="77" t="n">
        <v>0.580893</v>
      </c>
      <c r="C683" s="78" t="n">
        <f aca="false">05_Unit_Economics!$B$15*EXP((01_Inputs!$C$20-01_Inputs!$C$21^2/2)*01_Inputs!$C$22+01_Inputs!$C$21*SQRT(01_Inputs!$C$22)*B683)</f>
        <v>66.3218814936167</v>
      </c>
      <c r="D683" s="78" t="n">
        <f aca="false">MAX(C683-05_Unit_Economics!$B$21,0)</f>
        <v>28.4142760191132</v>
      </c>
      <c r="E683" s="78" t="n">
        <f aca="false">D683*EXP(-01_Inputs!$C$20*01_Inputs!$C$22)</f>
        <v>27.1911538852219</v>
      </c>
      <c r="F683" s="80" t="n">
        <f aca="false">AVERAGE(E682:E683)</f>
        <v>16.5887965558962</v>
      </c>
    </row>
    <row r="684" customFormat="false" ht="15" hidden="false" customHeight="false" outlineLevel="0" collapsed="false">
      <c r="A684" s="76" t="n">
        <v>673</v>
      </c>
      <c r="B684" s="77" t="n">
        <v>-0.793687</v>
      </c>
      <c r="C684" s="78" t="n">
        <f aca="false">05_Unit_Economics!$B$15*EXP((01_Inputs!$C$20-01_Inputs!$C$21^2/2)*01_Inputs!$C$22+01_Inputs!$C$21*SQRT(01_Inputs!$C$22)*B684)</f>
        <v>40.9936378532477</v>
      </c>
      <c r="D684" s="78" t="n">
        <f aca="false">MAX(C684-05_Unit_Economics!$B$21,0)</f>
        <v>3.08603237874418</v>
      </c>
      <c r="E684" s="78" t="n">
        <f aca="false">D684*EXP(-01_Inputs!$C$20*01_Inputs!$C$22)</f>
        <v>2.9531908977292</v>
      </c>
      <c r="F684" s="79"/>
    </row>
    <row r="685" customFormat="false" ht="15" hidden="false" customHeight="false" outlineLevel="0" collapsed="false">
      <c r="A685" s="76" t="n">
        <v>674</v>
      </c>
      <c r="B685" s="77" t="n">
        <v>0.793687</v>
      </c>
      <c r="C685" s="78" t="n">
        <f aca="false">05_Unit_Economics!$B$15*EXP((01_Inputs!$C$20-01_Inputs!$C$21^2/2)*01_Inputs!$C$22+01_Inputs!$C$21*SQRT(01_Inputs!$C$22)*B685)</f>
        <v>71.44999113853</v>
      </c>
      <c r="D685" s="78" t="n">
        <f aca="false">MAX(C685-05_Unit_Economics!$B$21,0)</f>
        <v>33.5423856640265</v>
      </c>
      <c r="E685" s="78" t="n">
        <f aca="false">D685*EXP(-01_Inputs!$C$20*01_Inputs!$C$22)</f>
        <v>32.0985187042774</v>
      </c>
      <c r="F685" s="80" t="n">
        <f aca="false">AVERAGE(E684:E685)</f>
        <v>17.5258548010033</v>
      </c>
    </row>
    <row r="686" customFormat="false" ht="15" hidden="false" customHeight="false" outlineLevel="0" collapsed="false">
      <c r="A686" s="76" t="n">
        <v>675</v>
      </c>
      <c r="B686" s="77" t="n">
        <v>1.185514</v>
      </c>
      <c r="C686" s="78" t="n">
        <f aca="false">05_Unit_Economics!$B$15*EXP((01_Inputs!$C$20-01_Inputs!$C$21^2/2)*01_Inputs!$C$22+01_Inputs!$C$21*SQRT(01_Inputs!$C$22)*B686)</f>
        <v>81.952288499033</v>
      </c>
      <c r="D686" s="78" t="n">
        <f aca="false">MAX(C686-05_Unit_Economics!$B$21,0)</f>
        <v>44.0446830245295</v>
      </c>
      <c r="E686" s="78" t="n">
        <f aca="false">D686*EXP(-01_Inputs!$C$20*01_Inputs!$C$22)</f>
        <v>42.1487337259694</v>
      </c>
      <c r="F686" s="79"/>
    </row>
    <row r="687" customFormat="false" ht="15" hidden="false" customHeight="false" outlineLevel="0" collapsed="false">
      <c r="A687" s="76" t="n">
        <v>676</v>
      </c>
      <c r="B687" s="77" t="n">
        <v>-1.185514</v>
      </c>
      <c r="C687" s="78" t="n">
        <f aca="false">05_Unit_Economics!$B$15*EXP((01_Inputs!$C$20-01_Inputs!$C$21^2/2)*01_Inputs!$C$22+01_Inputs!$C$21*SQRT(01_Inputs!$C$22)*B687)</f>
        <v>35.7402473438581</v>
      </c>
      <c r="D687" s="78" t="n">
        <f aca="false">MAX(C687-05_Unit_Economics!$B$21,0)</f>
        <v>0</v>
      </c>
      <c r="E687" s="78" t="n">
        <f aca="false">D687*EXP(-01_Inputs!$C$20*01_Inputs!$C$22)</f>
        <v>0</v>
      </c>
      <c r="F687" s="80" t="n">
        <f aca="false">AVERAGE(E686:E687)</f>
        <v>21.0743668629847</v>
      </c>
    </row>
    <row r="688" customFormat="false" ht="15" hidden="false" customHeight="false" outlineLevel="0" collapsed="false">
      <c r="A688" s="76" t="n">
        <v>677</v>
      </c>
      <c r="B688" s="77" t="n">
        <v>-0.403076</v>
      </c>
      <c r="C688" s="78" t="n">
        <f aca="false">05_Unit_Economics!$B$15*EXP((01_Inputs!$C$20-01_Inputs!$C$21^2/2)*01_Inputs!$C$22+01_Inputs!$C$21*SQRT(01_Inputs!$C$22)*B688)</f>
        <v>46.9992070528836</v>
      </c>
      <c r="D688" s="78" t="n">
        <f aca="false">MAX(C688-05_Unit_Economics!$B$21,0)</f>
        <v>9.09160157838014</v>
      </c>
      <c r="E688" s="78" t="n">
        <f aca="false">D688*EXP(-01_Inputs!$C$20*01_Inputs!$C$22)</f>
        <v>8.70024411019907</v>
      </c>
      <c r="F688" s="79"/>
    </row>
    <row r="689" customFormat="false" ht="15" hidden="false" customHeight="false" outlineLevel="0" collapsed="false">
      <c r="A689" s="76" t="n">
        <v>678</v>
      </c>
      <c r="B689" s="77" t="n">
        <v>0.403076</v>
      </c>
      <c r="C689" s="78" t="n">
        <f aca="false">05_Unit_Economics!$B$15*EXP((01_Inputs!$C$20-01_Inputs!$C$21^2/2)*01_Inputs!$C$22+01_Inputs!$C$21*SQRT(01_Inputs!$C$22)*B689)</f>
        <v>62.3200952742658</v>
      </c>
      <c r="D689" s="78" t="n">
        <f aca="false">MAX(C689-05_Unit_Economics!$B$21,0)</f>
        <v>24.4124897997623</v>
      </c>
      <c r="E689" s="78" t="n">
        <f aca="false">D689*EXP(-01_Inputs!$C$20*01_Inputs!$C$22)</f>
        <v>23.361628725653</v>
      </c>
      <c r="F689" s="80" t="n">
        <f aca="false">AVERAGE(E688:E689)</f>
        <v>16.030936417926</v>
      </c>
    </row>
    <row r="690" customFormat="false" ht="15" hidden="false" customHeight="false" outlineLevel="0" collapsed="false">
      <c r="A690" s="76" t="n">
        <v>679</v>
      </c>
      <c r="B690" s="77" t="n">
        <v>1.556221</v>
      </c>
      <c r="C690" s="78" t="n">
        <f aca="false">05_Unit_Economics!$B$15*EXP((01_Inputs!$C$20-01_Inputs!$C$21^2/2)*01_Inputs!$C$22+01_Inputs!$C$21*SQRT(01_Inputs!$C$22)*B690)</f>
        <v>93.3060248086915</v>
      </c>
      <c r="D690" s="78" t="n">
        <f aca="false">MAX(C690-05_Unit_Economics!$B$21,0)</f>
        <v>55.3984193341881</v>
      </c>
      <c r="E690" s="78" t="n">
        <f aca="false">D690*EXP(-01_Inputs!$C$20*01_Inputs!$C$22)</f>
        <v>53.0137366196026</v>
      </c>
      <c r="F690" s="79"/>
    </row>
    <row r="691" customFormat="false" ht="15" hidden="false" customHeight="false" outlineLevel="0" collapsed="false">
      <c r="A691" s="76" t="n">
        <v>680</v>
      </c>
      <c r="B691" s="77" t="n">
        <v>-1.556221</v>
      </c>
      <c r="C691" s="78" t="n">
        <f aca="false">05_Unit_Economics!$B$15*EXP((01_Inputs!$C$20-01_Inputs!$C$21^2/2)*01_Inputs!$C$22+01_Inputs!$C$21*SQRT(01_Inputs!$C$22)*B691)</f>
        <v>31.3912747580456</v>
      </c>
      <c r="D691" s="78" t="n">
        <f aca="false">MAX(C691-05_Unit_Economics!$B$21,0)</f>
        <v>0</v>
      </c>
      <c r="E691" s="78" t="n">
        <f aca="false">D691*EXP(-01_Inputs!$C$20*01_Inputs!$C$22)</f>
        <v>0</v>
      </c>
      <c r="F691" s="80" t="n">
        <f aca="false">AVERAGE(E690:E691)</f>
        <v>26.5068683098013</v>
      </c>
    </row>
    <row r="692" customFormat="false" ht="15" hidden="false" customHeight="false" outlineLevel="0" collapsed="false">
      <c r="A692" s="76" t="n">
        <v>681</v>
      </c>
      <c r="B692" s="77" t="n">
        <v>-1.227263</v>
      </c>
      <c r="C692" s="78" t="n">
        <f aca="false">05_Unit_Economics!$B$15*EXP((01_Inputs!$C$20-01_Inputs!$C$21^2/2)*01_Inputs!$C$22+01_Inputs!$C$21*SQRT(01_Inputs!$C$22)*B692)</f>
        <v>35.2218025100812</v>
      </c>
      <c r="D692" s="78" t="n">
        <f aca="false">MAX(C692-05_Unit_Economics!$B$21,0)</f>
        <v>0</v>
      </c>
      <c r="E692" s="78" t="n">
        <f aca="false">D692*EXP(-01_Inputs!$C$20*01_Inputs!$C$22)</f>
        <v>0</v>
      </c>
      <c r="F692" s="79"/>
    </row>
    <row r="693" customFormat="false" ht="15" hidden="false" customHeight="false" outlineLevel="0" collapsed="false">
      <c r="A693" s="76" t="n">
        <v>682</v>
      </c>
      <c r="B693" s="77" t="n">
        <v>1.227263</v>
      </c>
      <c r="C693" s="78" t="n">
        <f aca="false">05_Unit_Economics!$B$15*EXP((01_Inputs!$C$20-01_Inputs!$C$21^2/2)*01_Inputs!$C$22+01_Inputs!$C$21*SQRT(01_Inputs!$C$22)*B693)</f>
        <v>83.1585794200144</v>
      </c>
      <c r="D693" s="78" t="n">
        <f aca="false">MAX(C693-05_Unit_Economics!$B$21,0)</f>
        <v>45.2509739455109</v>
      </c>
      <c r="E693" s="78" t="n">
        <f aca="false">D693*EXP(-01_Inputs!$C$20*01_Inputs!$C$22)</f>
        <v>43.3030985966664</v>
      </c>
      <c r="F693" s="80" t="n">
        <f aca="false">AVERAGE(E692:E693)</f>
        <v>21.6515492983332</v>
      </c>
    </row>
    <row r="694" customFormat="false" ht="15" hidden="false" customHeight="false" outlineLevel="0" collapsed="false">
      <c r="A694" s="76" t="n">
        <v>683</v>
      </c>
      <c r="B694" s="77" t="n">
        <v>-1.833414</v>
      </c>
      <c r="C694" s="78" t="n">
        <f aca="false">05_Unit_Economics!$B$15*EXP((01_Inputs!$C$20-01_Inputs!$C$21^2/2)*01_Inputs!$C$22+01_Inputs!$C$21*SQRT(01_Inputs!$C$22)*B694)</f>
        <v>28.4888399633154</v>
      </c>
      <c r="D694" s="78" t="n">
        <f aca="false">MAX(C694-05_Unit_Economics!$B$21,0)</f>
        <v>0</v>
      </c>
      <c r="E694" s="78" t="n">
        <f aca="false">D694*EXP(-01_Inputs!$C$20*01_Inputs!$C$22)</f>
        <v>0</v>
      </c>
      <c r="F694" s="79"/>
    </row>
    <row r="695" customFormat="false" ht="15" hidden="false" customHeight="false" outlineLevel="0" collapsed="false">
      <c r="A695" s="76" t="n">
        <v>684</v>
      </c>
      <c r="B695" s="77" t="n">
        <v>1.833414</v>
      </c>
      <c r="C695" s="78" t="n">
        <f aca="false">05_Unit_Economics!$B$15*EXP((01_Inputs!$C$20-01_Inputs!$C$21^2/2)*01_Inputs!$C$22+01_Inputs!$C$21*SQRT(01_Inputs!$C$22)*B695)</f>
        <v>102.812015691838</v>
      </c>
      <c r="D695" s="78" t="n">
        <f aca="false">MAX(C695-05_Unit_Economics!$B$21,0)</f>
        <v>64.904410217335</v>
      </c>
      <c r="E695" s="78" t="n">
        <f aca="false">D695*EXP(-01_Inputs!$C$20*01_Inputs!$C$22)</f>
        <v>62.1105322149327</v>
      </c>
      <c r="F695" s="80" t="n">
        <f aca="false">AVERAGE(E694:E695)</f>
        <v>31.0552661074664</v>
      </c>
    </row>
    <row r="696" customFormat="false" ht="15" hidden="false" customHeight="false" outlineLevel="0" collapsed="false">
      <c r="A696" s="76" t="n">
        <v>685</v>
      </c>
      <c r="B696" s="77" t="n">
        <v>-0.979972</v>
      </c>
      <c r="C696" s="78" t="n">
        <f aca="false">05_Unit_Economics!$B$15*EXP((01_Inputs!$C$20-01_Inputs!$C$21^2/2)*01_Inputs!$C$22+01_Inputs!$C$21*SQRT(01_Inputs!$C$22)*B696)</f>
        <v>38.4061318466638</v>
      </c>
      <c r="D696" s="78" t="n">
        <f aca="false">MAX(C696-05_Unit_Economics!$B$21,0)</f>
        <v>0.498526372160292</v>
      </c>
      <c r="E696" s="78" t="n">
        <f aca="false">D696*EXP(-01_Inputs!$C$20*01_Inputs!$C$22)</f>
        <v>0.477066784743472</v>
      </c>
      <c r="F696" s="79"/>
    </row>
    <row r="697" customFormat="false" ht="15" hidden="false" customHeight="false" outlineLevel="0" collapsed="false">
      <c r="A697" s="76" t="n">
        <v>686</v>
      </c>
      <c r="B697" s="77" t="n">
        <v>0.979972</v>
      </c>
      <c r="C697" s="78" t="n">
        <f aca="false">05_Unit_Economics!$B$15*EXP((01_Inputs!$C$20-01_Inputs!$C$21^2/2)*01_Inputs!$C$22+01_Inputs!$C$21*SQRT(01_Inputs!$C$22)*B697)</f>
        <v>76.2637349953556</v>
      </c>
      <c r="D697" s="78" t="n">
        <f aca="false">MAX(C697-05_Unit_Economics!$B$21,0)</f>
        <v>38.3561295208521</v>
      </c>
      <c r="E697" s="78" t="n">
        <f aca="false">D697*EXP(-01_Inputs!$C$20*01_Inputs!$C$22)</f>
        <v>36.7050499383282</v>
      </c>
      <c r="F697" s="80" t="n">
        <f aca="false">AVERAGE(E696:E697)</f>
        <v>18.5910583615358</v>
      </c>
    </row>
    <row r="698" customFormat="false" ht="15" hidden="false" customHeight="false" outlineLevel="0" collapsed="false">
      <c r="A698" s="76" t="n">
        <v>687</v>
      </c>
      <c r="B698" s="77" t="n">
        <v>-0.612693</v>
      </c>
      <c r="C698" s="78" t="n">
        <f aca="false">05_Unit_Economics!$B$15*EXP((01_Inputs!$C$20-01_Inputs!$C$21^2/2)*01_Inputs!$C$22+01_Inputs!$C$21*SQRT(01_Inputs!$C$22)*B698)</f>
        <v>43.6745162728953</v>
      </c>
      <c r="D698" s="78" t="n">
        <f aca="false">MAX(C698-05_Unit_Economics!$B$21,0)</f>
        <v>5.76691079839183</v>
      </c>
      <c r="E698" s="78" t="n">
        <f aca="false">D698*EXP(-01_Inputs!$C$20*01_Inputs!$C$22)</f>
        <v>5.51866811091511</v>
      </c>
      <c r="F698" s="79"/>
    </row>
    <row r="699" customFormat="false" ht="15" hidden="false" customHeight="false" outlineLevel="0" collapsed="false">
      <c r="A699" s="76" t="n">
        <v>688</v>
      </c>
      <c r="B699" s="77" t="n">
        <v>0.612693</v>
      </c>
      <c r="C699" s="78" t="n">
        <f aca="false">05_Unit_Economics!$B$15*EXP((01_Inputs!$C$20-01_Inputs!$C$21^2/2)*01_Inputs!$C$22+01_Inputs!$C$21*SQRT(01_Inputs!$C$22)*B699)</f>
        <v>67.0641671918964</v>
      </c>
      <c r="D699" s="78" t="n">
        <f aca="false">MAX(C699-05_Unit_Economics!$B$21,0)</f>
        <v>29.156561717393</v>
      </c>
      <c r="E699" s="78" t="n">
        <f aca="false">D699*EXP(-01_Inputs!$C$20*01_Inputs!$C$22)</f>
        <v>27.9014871217663</v>
      </c>
      <c r="F699" s="80" t="n">
        <f aca="false">AVERAGE(E698:E699)</f>
        <v>16.7100776163407</v>
      </c>
    </row>
    <row r="700" customFormat="false" ht="15" hidden="false" customHeight="false" outlineLevel="0" collapsed="false">
      <c r="A700" s="76" t="n">
        <v>689</v>
      </c>
      <c r="B700" s="77" t="n">
        <v>1.568887</v>
      </c>
      <c r="C700" s="78" t="n">
        <f aca="false">05_Unit_Economics!$B$15*EXP((01_Inputs!$C$20-01_Inputs!$C$21^2/2)*01_Inputs!$C$22+01_Inputs!$C$21*SQRT(01_Inputs!$C$22)*B700)</f>
        <v>93.7205779461151</v>
      </c>
      <c r="D700" s="78" t="n">
        <f aca="false">MAX(C700-05_Unit_Economics!$B$21,0)</f>
        <v>55.8129724716116</v>
      </c>
      <c r="E700" s="78" t="n">
        <f aca="false">D700*EXP(-01_Inputs!$C$20*01_Inputs!$C$22)</f>
        <v>53.4104448850429</v>
      </c>
      <c r="F700" s="79"/>
    </row>
    <row r="701" customFormat="false" ht="15" hidden="false" customHeight="false" outlineLevel="0" collapsed="false">
      <c r="A701" s="76" t="n">
        <v>690</v>
      </c>
      <c r="B701" s="77" t="n">
        <v>-1.568887</v>
      </c>
      <c r="C701" s="78" t="n">
        <f aca="false">05_Unit_Economics!$B$15*EXP((01_Inputs!$C$20-01_Inputs!$C$21^2/2)*01_Inputs!$C$22+01_Inputs!$C$21*SQRT(01_Inputs!$C$22)*B701)</f>
        <v>31.2524220991753</v>
      </c>
      <c r="D701" s="78" t="n">
        <f aca="false">MAX(C701-05_Unit_Economics!$B$21,0)</f>
        <v>0</v>
      </c>
      <c r="E701" s="78" t="n">
        <f aca="false">D701*EXP(-01_Inputs!$C$20*01_Inputs!$C$22)</f>
        <v>0</v>
      </c>
      <c r="F701" s="80" t="n">
        <f aca="false">AVERAGE(E700:E701)</f>
        <v>26.7052224425215</v>
      </c>
    </row>
    <row r="702" customFormat="false" ht="15" hidden="false" customHeight="false" outlineLevel="0" collapsed="false">
      <c r="A702" s="76" t="n">
        <v>691</v>
      </c>
      <c r="B702" s="77" t="n">
        <v>-0.266657</v>
      </c>
      <c r="C702" s="78" t="n">
        <f aca="false">05_Unit_Economics!$B$15*EXP((01_Inputs!$C$20-01_Inputs!$C$21^2/2)*01_Inputs!$C$22+01_Inputs!$C$21*SQRT(01_Inputs!$C$22)*B702)</f>
        <v>49.2976977094396</v>
      </c>
      <c r="D702" s="78" t="n">
        <f aca="false">MAX(C702-05_Unit_Economics!$B$21,0)</f>
        <v>11.3900922349361</v>
      </c>
      <c r="E702" s="78" t="n">
        <f aca="false">D702*EXP(-01_Inputs!$C$20*01_Inputs!$C$22)</f>
        <v>10.8997938402051</v>
      </c>
      <c r="F702" s="79"/>
    </row>
    <row r="703" customFormat="false" ht="15" hidden="false" customHeight="false" outlineLevel="0" collapsed="false">
      <c r="A703" s="76" t="n">
        <v>692</v>
      </c>
      <c r="B703" s="77" t="n">
        <v>0.266657</v>
      </c>
      <c r="C703" s="78" t="n">
        <f aca="false">05_Unit_Economics!$B$15*EXP((01_Inputs!$C$20-01_Inputs!$C$21^2/2)*01_Inputs!$C$22+01_Inputs!$C$21*SQRT(01_Inputs!$C$22)*B703)</f>
        <v>59.4144391613202</v>
      </c>
      <c r="D703" s="78" t="n">
        <f aca="false">MAX(C703-05_Unit_Economics!$B$21,0)</f>
        <v>21.5068336868167</v>
      </c>
      <c r="E703" s="78" t="n">
        <f aca="false">D703*EXP(-01_Inputs!$C$20*01_Inputs!$C$22)</f>
        <v>20.5810496093139</v>
      </c>
      <c r="F703" s="80" t="n">
        <f aca="false">AVERAGE(E702:E703)</f>
        <v>15.7404217247595</v>
      </c>
    </row>
    <row r="704" customFormat="false" ht="15" hidden="false" customHeight="false" outlineLevel="0" collapsed="false">
      <c r="A704" s="76" t="n">
        <v>693</v>
      </c>
      <c r="B704" s="77" t="n">
        <v>0.124406</v>
      </c>
      <c r="C704" s="78" t="n">
        <f aca="false">05_Unit_Economics!$B$15*EXP((01_Inputs!$C$20-01_Inputs!$C$21^2/2)*01_Inputs!$C$22+01_Inputs!$C$21*SQRT(01_Inputs!$C$22)*B704)</f>
        <v>56.5287540736096</v>
      </c>
      <c r="D704" s="78" t="n">
        <f aca="false">MAX(C704-05_Unit_Economics!$B$21,0)</f>
        <v>18.6211485991061</v>
      </c>
      <c r="E704" s="78" t="n">
        <f aca="false">D704*EXP(-01_Inputs!$C$20*01_Inputs!$C$22)</f>
        <v>17.8195818446083</v>
      </c>
      <c r="F704" s="79"/>
    </row>
    <row r="705" customFormat="false" ht="15" hidden="false" customHeight="false" outlineLevel="0" collapsed="false">
      <c r="A705" s="76" t="n">
        <v>694</v>
      </c>
      <c r="B705" s="77" t="n">
        <v>-0.124406</v>
      </c>
      <c r="C705" s="78" t="n">
        <f aca="false">05_Unit_Economics!$B$15*EXP((01_Inputs!$C$20-01_Inputs!$C$21^2/2)*01_Inputs!$C$22+01_Inputs!$C$21*SQRT(01_Inputs!$C$22)*B705)</f>
        <v>51.8142511603321</v>
      </c>
      <c r="D705" s="78" t="n">
        <f aca="false">MAX(C705-05_Unit_Economics!$B$21,0)</f>
        <v>13.9066456858286</v>
      </c>
      <c r="E705" s="78" t="n">
        <f aca="false">D705*EXP(-01_Inputs!$C$20*01_Inputs!$C$22)</f>
        <v>13.3080196242292</v>
      </c>
      <c r="F705" s="80" t="n">
        <f aca="false">AVERAGE(E704:E705)</f>
        <v>15.5638007344187</v>
      </c>
    </row>
    <row r="706" customFormat="false" ht="15" hidden="false" customHeight="false" outlineLevel="0" collapsed="false">
      <c r="A706" s="76" t="n">
        <v>695</v>
      </c>
      <c r="B706" s="77" t="n">
        <v>1.244847</v>
      </c>
      <c r="C706" s="78" t="n">
        <f aca="false">05_Unit_Economics!$B$15*EXP((01_Inputs!$C$20-01_Inputs!$C$21^2/2)*01_Inputs!$C$22+01_Inputs!$C$21*SQRT(01_Inputs!$C$22)*B706)</f>
        <v>83.6719487007568</v>
      </c>
      <c r="D706" s="78" t="n">
        <f aca="false">MAX(C706-05_Unit_Economics!$B$21,0)</f>
        <v>45.7643432262533</v>
      </c>
      <c r="E706" s="78" t="n">
        <f aca="false">D706*EXP(-01_Inputs!$C$20*01_Inputs!$C$22)</f>
        <v>43.7943693615179</v>
      </c>
      <c r="F706" s="79"/>
    </row>
    <row r="707" customFormat="false" ht="15" hidden="false" customHeight="false" outlineLevel="0" collapsed="false">
      <c r="A707" s="76" t="n">
        <v>696</v>
      </c>
      <c r="B707" s="77" t="n">
        <v>-1.244847</v>
      </c>
      <c r="C707" s="78" t="n">
        <f aca="false">05_Unit_Economics!$B$15*EXP((01_Inputs!$C$20-01_Inputs!$C$21^2/2)*01_Inputs!$C$22+01_Inputs!$C$21*SQRT(01_Inputs!$C$22)*B707)</f>
        <v>35.0056991241577</v>
      </c>
      <c r="D707" s="78" t="n">
        <f aca="false">MAX(C707-05_Unit_Economics!$B$21,0)</f>
        <v>0</v>
      </c>
      <c r="E707" s="78" t="n">
        <f aca="false">D707*EXP(-01_Inputs!$C$20*01_Inputs!$C$22)</f>
        <v>0</v>
      </c>
      <c r="F707" s="80" t="n">
        <f aca="false">AVERAGE(E706:E707)</f>
        <v>21.897184680759</v>
      </c>
    </row>
    <row r="708" customFormat="false" ht="15" hidden="false" customHeight="false" outlineLevel="0" collapsed="false">
      <c r="A708" s="76" t="n">
        <v>697</v>
      </c>
      <c r="B708" s="77" t="n">
        <v>-0.141595</v>
      </c>
      <c r="C708" s="78" t="n">
        <f aca="false">05_Unit_Economics!$B$15*EXP((01_Inputs!$C$20-01_Inputs!$C$21^2/2)*01_Inputs!$C$22+01_Inputs!$C$21*SQRT(01_Inputs!$C$22)*B708)</f>
        <v>51.5034646597016</v>
      </c>
      <c r="D708" s="78" t="n">
        <f aca="false">MAX(C708-05_Unit_Economics!$B$21,0)</f>
        <v>13.5958591851982</v>
      </c>
      <c r="E708" s="78" t="n">
        <f aca="false">D708*EXP(-01_Inputs!$C$20*01_Inputs!$C$22)</f>
        <v>13.0106112525217</v>
      </c>
      <c r="F708" s="79"/>
    </row>
    <row r="709" customFormat="false" ht="15" hidden="false" customHeight="false" outlineLevel="0" collapsed="false">
      <c r="A709" s="76" t="n">
        <v>698</v>
      </c>
      <c r="B709" s="77" t="n">
        <v>0.141595</v>
      </c>
      <c r="C709" s="78" t="n">
        <f aca="false">05_Unit_Economics!$B$15*EXP((01_Inputs!$C$20-01_Inputs!$C$21^2/2)*01_Inputs!$C$22+01_Inputs!$C$21*SQRT(01_Inputs!$C$22)*B709)</f>
        <v>56.8698645946127</v>
      </c>
      <c r="D709" s="78" t="n">
        <f aca="false">MAX(C709-05_Unit_Economics!$B$21,0)</f>
        <v>18.9622591201092</v>
      </c>
      <c r="E709" s="78" t="n">
        <f aca="false">D709*EXP(-01_Inputs!$C$20*01_Inputs!$C$22)</f>
        <v>18.1460089076179</v>
      </c>
      <c r="F709" s="80" t="n">
        <f aca="false">AVERAGE(E708:E709)</f>
        <v>15.5783100800698</v>
      </c>
    </row>
    <row r="710" customFormat="false" ht="15" hidden="false" customHeight="false" outlineLevel="0" collapsed="false">
      <c r="A710" s="76" t="n">
        <v>699</v>
      </c>
      <c r="B710" s="77" t="n">
        <v>0.351585</v>
      </c>
      <c r="C710" s="78" t="n">
        <f aca="false">05_Unit_Economics!$B$15*EXP((01_Inputs!$C$20-01_Inputs!$C$21^2/2)*01_Inputs!$C$22+01_Inputs!$C$21*SQRT(01_Inputs!$C$22)*B710)</f>
        <v>61.2070317229865</v>
      </c>
      <c r="D710" s="78" t="n">
        <f aca="false">MAX(C710-05_Unit_Economics!$B$21,0)</f>
        <v>23.299426248483</v>
      </c>
      <c r="E710" s="78" t="n">
        <f aca="false">D710*EXP(-01_Inputs!$C$20*01_Inputs!$C$22)</f>
        <v>22.2964781553372</v>
      </c>
      <c r="F710" s="79"/>
    </row>
    <row r="711" customFormat="false" ht="15" hidden="false" customHeight="false" outlineLevel="0" collapsed="false">
      <c r="A711" s="76" t="n">
        <v>700</v>
      </c>
      <c r="B711" s="77" t="n">
        <v>-0.351585</v>
      </c>
      <c r="C711" s="78" t="n">
        <f aca="false">05_Unit_Economics!$B$15*EXP((01_Inputs!$C$20-01_Inputs!$C$21^2/2)*01_Inputs!$C$22+01_Inputs!$C$21*SQRT(01_Inputs!$C$22)*B711)</f>
        <v>47.8538981371753</v>
      </c>
      <c r="D711" s="78" t="n">
        <f aca="false">MAX(C711-05_Unit_Economics!$B$21,0)</f>
        <v>9.94629266267181</v>
      </c>
      <c r="E711" s="78" t="n">
        <f aca="false">D711*EXP(-01_Inputs!$C$20*01_Inputs!$C$22)</f>
        <v>9.51814412572892</v>
      </c>
      <c r="F711" s="80" t="n">
        <f aca="false">AVERAGE(E710:E711)</f>
        <v>15.9073111405331</v>
      </c>
    </row>
    <row r="712" customFormat="false" ht="15" hidden="false" customHeight="false" outlineLevel="0" collapsed="false">
      <c r="A712" s="76" t="n">
        <v>701</v>
      </c>
      <c r="B712" s="77" t="n">
        <v>-0.645335</v>
      </c>
      <c r="C712" s="78" t="n">
        <f aca="false">05_Unit_Economics!$B$15*EXP((01_Inputs!$C$20-01_Inputs!$C$21^2/2)*01_Inputs!$C$22+01_Inputs!$C$21*SQRT(01_Inputs!$C$22)*B712)</f>
        <v>43.1783874844884</v>
      </c>
      <c r="D712" s="78" t="n">
        <f aca="false">MAX(C712-05_Unit_Economics!$B$21,0)</f>
        <v>5.27078200998493</v>
      </c>
      <c r="E712" s="78" t="n">
        <f aca="false">D712*EXP(-01_Inputs!$C$20*01_Inputs!$C$22)</f>
        <v>5.04389570343282</v>
      </c>
      <c r="F712" s="79"/>
    </row>
    <row r="713" customFormat="false" ht="15" hidden="false" customHeight="false" outlineLevel="0" collapsed="false">
      <c r="A713" s="76" t="n">
        <v>702</v>
      </c>
      <c r="B713" s="77" t="n">
        <v>0.645335</v>
      </c>
      <c r="C713" s="78" t="n">
        <f aca="false">05_Unit_Economics!$B$15*EXP((01_Inputs!$C$20-01_Inputs!$C$21^2/2)*01_Inputs!$C$22+01_Inputs!$C$21*SQRT(01_Inputs!$C$22)*B713)</f>
        <v>67.8347486321224</v>
      </c>
      <c r="D713" s="78" t="n">
        <f aca="false">MAX(C713-05_Unit_Economics!$B$21,0)</f>
        <v>29.927143157619</v>
      </c>
      <c r="E713" s="78" t="n">
        <f aca="false">D713*EXP(-01_Inputs!$C$20*01_Inputs!$C$22)</f>
        <v>28.6388980805459</v>
      </c>
      <c r="F713" s="80" t="n">
        <f aca="false">AVERAGE(E712:E713)</f>
        <v>16.8413968919894</v>
      </c>
    </row>
    <row r="714" customFormat="false" ht="15" hidden="false" customHeight="false" outlineLevel="0" collapsed="false">
      <c r="A714" s="76" t="n">
        <v>703</v>
      </c>
      <c r="B714" s="77" t="n">
        <v>1.01831</v>
      </c>
      <c r="C714" s="78" t="n">
        <f aca="false">05_Unit_Economics!$B$15*EXP((01_Inputs!$C$20-01_Inputs!$C$21^2/2)*01_Inputs!$C$22+01_Inputs!$C$21*SQRT(01_Inputs!$C$22)*B714)</f>
        <v>77.2939611547761</v>
      </c>
      <c r="D714" s="78" t="n">
        <f aca="false">MAX(C714-05_Unit_Economics!$B$21,0)</f>
        <v>39.3863556802727</v>
      </c>
      <c r="E714" s="78" t="n">
        <f aca="false">D714*EXP(-01_Inputs!$C$20*01_Inputs!$C$22)</f>
        <v>37.6909289386779</v>
      </c>
      <c r="F714" s="79"/>
    </row>
    <row r="715" customFormat="false" ht="15" hidden="false" customHeight="false" outlineLevel="0" collapsed="false">
      <c r="A715" s="76" t="n">
        <v>704</v>
      </c>
      <c r="B715" s="77" t="n">
        <v>-1.01831</v>
      </c>
      <c r="C715" s="78" t="n">
        <f aca="false">05_Unit_Economics!$B$15*EXP((01_Inputs!$C$20-01_Inputs!$C$21^2/2)*01_Inputs!$C$22+01_Inputs!$C$21*SQRT(01_Inputs!$C$22)*B715)</f>
        <v>37.894228961633</v>
      </c>
      <c r="D715" s="78" t="n">
        <f aca="false">MAX(C715-05_Unit_Economics!$B$21,0)</f>
        <v>0</v>
      </c>
      <c r="E715" s="78" t="n">
        <f aca="false">D715*EXP(-01_Inputs!$C$20*01_Inputs!$C$22)</f>
        <v>0</v>
      </c>
      <c r="F715" s="80" t="n">
        <f aca="false">AVERAGE(E714:E715)</f>
        <v>18.845464469339</v>
      </c>
    </row>
    <row r="716" customFormat="false" ht="15" hidden="false" customHeight="false" outlineLevel="0" collapsed="false">
      <c r="A716" s="76" t="n">
        <v>705</v>
      </c>
      <c r="B716" s="77" t="n">
        <v>-0.276411</v>
      </c>
      <c r="C716" s="78" t="n">
        <f aca="false">05_Unit_Economics!$B$15*EXP((01_Inputs!$C$20-01_Inputs!$C$21^2/2)*01_Inputs!$C$22+01_Inputs!$C$21*SQRT(01_Inputs!$C$22)*B716)</f>
        <v>49.1296872478628</v>
      </c>
      <c r="D716" s="78" t="n">
        <f aca="false">MAX(C716-05_Unit_Economics!$B$21,0)</f>
        <v>11.2220817733594</v>
      </c>
      <c r="E716" s="78" t="n">
        <f aca="false">D716*EXP(-01_Inputs!$C$20*01_Inputs!$C$22)</f>
        <v>10.7390155641024</v>
      </c>
      <c r="F716" s="79"/>
    </row>
    <row r="717" customFormat="false" ht="15" hidden="false" customHeight="false" outlineLevel="0" collapsed="false">
      <c r="A717" s="76" t="n">
        <v>706</v>
      </c>
      <c r="B717" s="77" t="n">
        <v>0.276411</v>
      </c>
      <c r="C717" s="78" t="n">
        <f aca="false">05_Unit_Economics!$B$15*EXP((01_Inputs!$C$20-01_Inputs!$C$21^2/2)*01_Inputs!$C$22+01_Inputs!$C$21*SQRT(01_Inputs!$C$22)*B717)</f>
        <v>59.6176207386312</v>
      </c>
      <c r="D717" s="78" t="n">
        <f aca="false">MAX(C717-05_Unit_Economics!$B$21,0)</f>
        <v>21.7100152641278</v>
      </c>
      <c r="E717" s="78" t="n">
        <f aca="false">D717*EXP(-01_Inputs!$C$20*01_Inputs!$C$22)</f>
        <v>20.7754850238073</v>
      </c>
      <c r="F717" s="80" t="n">
        <f aca="false">AVERAGE(E716:E717)</f>
        <v>15.7572502939548</v>
      </c>
    </row>
    <row r="718" customFormat="false" ht="15" hidden="false" customHeight="false" outlineLevel="0" collapsed="false">
      <c r="A718" s="76" t="n">
        <v>707</v>
      </c>
      <c r="B718" s="77" t="n">
        <v>1.228944</v>
      </c>
      <c r="C718" s="78" t="n">
        <f aca="false">05_Unit_Economics!$B$15*EXP((01_Inputs!$C$20-01_Inputs!$C$21^2/2)*01_Inputs!$C$22+01_Inputs!$C$21*SQRT(01_Inputs!$C$22)*B718)</f>
        <v>83.2075201659484</v>
      </c>
      <c r="D718" s="78" t="n">
        <f aca="false">MAX(C718-05_Unit_Economics!$B$21,0)</f>
        <v>45.2999146914449</v>
      </c>
      <c r="E718" s="78" t="n">
        <f aca="false">D718*EXP(-01_Inputs!$C$20*01_Inputs!$C$22)</f>
        <v>43.3499326371696</v>
      </c>
      <c r="F718" s="79"/>
    </row>
    <row r="719" customFormat="false" ht="15" hidden="false" customHeight="false" outlineLevel="0" collapsed="false">
      <c r="A719" s="76" t="n">
        <v>708</v>
      </c>
      <c r="B719" s="77" t="n">
        <v>-1.228944</v>
      </c>
      <c r="C719" s="78" t="n">
        <f aca="false">05_Unit_Economics!$B$15*EXP((01_Inputs!$C$20-01_Inputs!$C$21^2/2)*01_Inputs!$C$22+01_Inputs!$C$21*SQRT(01_Inputs!$C$22)*B719)</f>
        <v>35.2010858574933</v>
      </c>
      <c r="D719" s="78" t="n">
        <f aca="false">MAX(C719-05_Unit_Economics!$B$21,0)</f>
        <v>0</v>
      </c>
      <c r="E719" s="78" t="n">
        <f aca="false">D719*EXP(-01_Inputs!$C$20*01_Inputs!$C$22)</f>
        <v>0</v>
      </c>
      <c r="F719" s="80" t="n">
        <f aca="false">AVERAGE(E718:E719)</f>
        <v>21.6749663185848</v>
      </c>
    </row>
    <row r="720" customFormat="false" ht="15" hidden="false" customHeight="false" outlineLevel="0" collapsed="false">
      <c r="A720" s="76" t="n">
        <v>709</v>
      </c>
      <c r="B720" s="77" t="n">
        <v>-1.959058</v>
      </c>
      <c r="C720" s="78" t="n">
        <f aca="false">05_Unit_Economics!$B$15*EXP((01_Inputs!$C$20-01_Inputs!$C$21^2/2)*01_Inputs!$C$22+01_Inputs!$C$21*SQRT(01_Inputs!$C$22)*B720)</f>
        <v>27.2631788126605</v>
      </c>
      <c r="D720" s="78" t="n">
        <f aca="false">MAX(C720-05_Unit_Economics!$B$21,0)</f>
        <v>0</v>
      </c>
      <c r="E720" s="78" t="n">
        <f aca="false">D720*EXP(-01_Inputs!$C$20*01_Inputs!$C$22)</f>
        <v>0</v>
      </c>
      <c r="F720" s="79"/>
    </row>
    <row r="721" customFormat="false" ht="15" hidden="false" customHeight="false" outlineLevel="0" collapsed="false">
      <c r="A721" s="76" t="n">
        <v>710</v>
      </c>
      <c r="B721" s="77" t="n">
        <v>1.959058</v>
      </c>
      <c r="C721" s="78" t="n">
        <f aca="false">05_Unit_Economics!$B$15*EXP((01_Inputs!$C$20-01_Inputs!$C$21^2/2)*01_Inputs!$C$22+01_Inputs!$C$21*SQRT(01_Inputs!$C$22)*B721)</f>
        <v>107.434099357133</v>
      </c>
      <c r="D721" s="78" t="n">
        <f aca="false">MAX(C721-05_Unit_Economics!$B$21,0)</f>
        <v>69.5264938826296</v>
      </c>
      <c r="E721" s="78" t="n">
        <f aca="false">D721*EXP(-01_Inputs!$C$20*01_Inputs!$C$22)</f>
        <v>66.533653470208</v>
      </c>
      <c r="F721" s="80" t="n">
        <f aca="false">AVERAGE(E720:E721)</f>
        <v>33.266826735104</v>
      </c>
    </row>
    <row r="722" customFormat="false" ht="15" hidden="false" customHeight="false" outlineLevel="0" collapsed="false">
      <c r="A722" s="76" t="n">
        <v>711</v>
      </c>
      <c r="B722" s="77" t="n">
        <v>0.344425</v>
      </c>
      <c r="C722" s="78" t="n">
        <f aca="false">05_Unit_Economics!$B$15*EXP((01_Inputs!$C$20-01_Inputs!$C$21^2/2)*01_Inputs!$C$22+01_Inputs!$C$21*SQRT(01_Inputs!$C$22)*B722)</f>
        <v>61.0538389322269</v>
      </c>
      <c r="D722" s="78" t="n">
        <f aca="false">MAX(C722-05_Unit_Economics!$B$21,0)</f>
        <v>23.1462334577234</v>
      </c>
      <c r="E722" s="78" t="n">
        <f aca="false">D722*EXP(-01_Inputs!$C$20*01_Inputs!$C$22)</f>
        <v>22.1498797079634</v>
      </c>
      <c r="F722" s="79"/>
    </row>
    <row r="723" customFormat="false" ht="15" hidden="false" customHeight="false" outlineLevel="0" collapsed="false">
      <c r="A723" s="76" t="n">
        <v>712</v>
      </c>
      <c r="B723" s="77" t="n">
        <v>-0.344425</v>
      </c>
      <c r="C723" s="78" t="n">
        <f aca="false">05_Unit_Economics!$B$15*EXP((01_Inputs!$C$20-01_Inputs!$C$21^2/2)*01_Inputs!$C$22+01_Inputs!$C$21*SQRT(01_Inputs!$C$22)*B723)</f>
        <v>47.9739703936062</v>
      </c>
      <c r="D723" s="78" t="n">
        <f aca="false">MAX(C723-05_Unit_Economics!$B$21,0)</f>
        <v>10.0663649191027</v>
      </c>
      <c r="E723" s="78" t="n">
        <f aca="false">D723*EXP(-01_Inputs!$C$20*01_Inputs!$C$22)</f>
        <v>9.63304774670318</v>
      </c>
      <c r="F723" s="80" t="n">
        <f aca="false">AVERAGE(E722:E723)</f>
        <v>15.8914637273333</v>
      </c>
    </row>
    <row r="724" customFormat="false" ht="15" hidden="false" customHeight="false" outlineLevel="0" collapsed="false">
      <c r="A724" s="76" t="n">
        <v>713</v>
      </c>
      <c r="B724" s="77" t="n">
        <v>0.77696</v>
      </c>
      <c r="C724" s="78" t="n">
        <f aca="false">05_Unit_Economics!$B$15*EXP((01_Inputs!$C$20-01_Inputs!$C$21^2/2)*01_Inputs!$C$22+01_Inputs!$C$21*SQRT(01_Inputs!$C$22)*B724)</f>
        <v>71.0329128112804</v>
      </c>
      <c r="D724" s="78" t="n">
        <f aca="false">MAX(C724-05_Unit_Economics!$B$21,0)</f>
        <v>33.1253073367769</v>
      </c>
      <c r="E724" s="78" t="n">
        <f aca="false">D724*EXP(-01_Inputs!$C$20*01_Inputs!$C$22)</f>
        <v>31.6993939484396</v>
      </c>
      <c r="F724" s="79"/>
    </row>
    <row r="725" customFormat="false" ht="15" hidden="false" customHeight="false" outlineLevel="0" collapsed="false">
      <c r="A725" s="76" t="n">
        <v>714</v>
      </c>
      <c r="B725" s="77" t="n">
        <v>-0.77696</v>
      </c>
      <c r="C725" s="78" t="n">
        <f aca="false">05_Unit_Economics!$B$15*EXP((01_Inputs!$C$20-01_Inputs!$C$21^2/2)*01_Inputs!$C$22+01_Inputs!$C$21*SQRT(01_Inputs!$C$22)*B725)</f>
        <v>41.234336949301</v>
      </c>
      <c r="D725" s="78" t="n">
        <f aca="false">MAX(C725-05_Unit_Economics!$B$21,0)</f>
        <v>3.32673147479749</v>
      </c>
      <c r="E725" s="78" t="n">
        <f aca="false">D725*EXP(-01_Inputs!$C$20*01_Inputs!$C$22)</f>
        <v>3.1835288502576</v>
      </c>
      <c r="F725" s="80" t="n">
        <f aca="false">AVERAGE(E724:E725)</f>
        <v>17.4414613993486</v>
      </c>
    </row>
    <row r="726" customFormat="false" ht="15" hidden="false" customHeight="false" outlineLevel="0" collapsed="false">
      <c r="A726" s="76" t="n">
        <v>715</v>
      </c>
      <c r="B726" s="77" t="n">
        <v>0.318933</v>
      </c>
      <c r="C726" s="78" t="n">
        <f aca="false">05_Unit_Economics!$B$15*EXP((01_Inputs!$C$20-01_Inputs!$C$21^2/2)*01_Inputs!$C$22+01_Inputs!$C$21*SQRT(01_Inputs!$C$22)*B726)</f>
        <v>60.5115272746262</v>
      </c>
      <c r="D726" s="78" t="n">
        <f aca="false">MAX(C726-05_Unit_Economics!$B$21,0)</f>
        <v>22.6039218001227</v>
      </c>
      <c r="E726" s="78" t="n">
        <f aca="false">D726*EXP(-01_Inputs!$C$20*01_Inputs!$C$22)</f>
        <v>21.6309124210387</v>
      </c>
      <c r="F726" s="79"/>
    </row>
    <row r="727" customFormat="false" ht="15" hidden="false" customHeight="false" outlineLevel="0" collapsed="false">
      <c r="A727" s="76" t="n">
        <v>716</v>
      </c>
      <c r="B727" s="77" t="n">
        <v>-0.318933</v>
      </c>
      <c r="C727" s="78" t="n">
        <f aca="false">05_Unit_Economics!$B$15*EXP((01_Inputs!$C$20-01_Inputs!$C$21^2/2)*01_Inputs!$C$22+01_Inputs!$C$21*SQRT(01_Inputs!$C$22)*B727)</f>
        <v>48.4039189435373</v>
      </c>
      <c r="D727" s="78" t="n">
        <f aca="false">MAX(C727-05_Unit_Economics!$B$21,0)</f>
        <v>10.4963134690338</v>
      </c>
      <c r="E727" s="78" t="n">
        <f aca="false">D727*EXP(-01_Inputs!$C$20*01_Inputs!$C$22)</f>
        <v>10.0444887130696</v>
      </c>
      <c r="F727" s="80" t="n">
        <f aca="false">AVERAGE(E726:E727)</f>
        <v>15.8377005670541</v>
      </c>
    </row>
    <row r="728" customFormat="false" ht="15" hidden="false" customHeight="false" outlineLevel="0" collapsed="false">
      <c r="A728" s="76" t="n">
        <v>717</v>
      </c>
      <c r="B728" s="77" t="n">
        <v>0.81815</v>
      </c>
      <c r="C728" s="78" t="n">
        <f aca="false">05_Unit_Economics!$B$15*EXP((01_Inputs!$C$20-01_Inputs!$C$21^2/2)*01_Inputs!$C$22+01_Inputs!$C$21*SQRT(01_Inputs!$C$22)*B728)</f>
        <v>72.0643759787098</v>
      </c>
      <c r="D728" s="78" t="n">
        <f aca="false">MAX(C728-05_Unit_Economics!$B$21,0)</f>
        <v>34.1567705042064</v>
      </c>
      <c r="E728" s="78" t="n">
        <f aca="false">D728*EXP(-01_Inputs!$C$20*01_Inputs!$C$22)</f>
        <v>32.6864567084989</v>
      </c>
      <c r="F728" s="79"/>
    </row>
    <row r="729" customFormat="false" ht="15" hidden="false" customHeight="false" outlineLevel="0" collapsed="false">
      <c r="A729" s="76" t="n">
        <v>718</v>
      </c>
      <c r="B729" s="77" t="n">
        <v>-0.81815</v>
      </c>
      <c r="C729" s="78" t="n">
        <f aca="false">05_Unit_Economics!$B$15*EXP((01_Inputs!$C$20-01_Inputs!$C$21^2/2)*01_Inputs!$C$22+01_Inputs!$C$21*SQRT(01_Inputs!$C$22)*B729)</f>
        <v>40.6441465921522</v>
      </c>
      <c r="D729" s="78" t="n">
        <f aca="false">MAX(C729-05_Unit_Economics!$B$21,0)</f>
        <v>2.73654111764871</v>
      </c>
      <c r="E729" s="78" t="n">
        <f aca="false">D729*EXP(-01_Inputs!$C$20*01_Inputs!$C$22)</f>
        <v>2.61874385232164</v>
      </c>
      <c r="F729" s="80" t="n">
        <f aca="false">AVERAGE(E728:E729)</f>
        <v>17.6526002804103</v>
      </c>
    </row>
    <row r="730" customFormat="false" ht="15" hidden="false" customHeight="false" outlineLevel="0" collapsed="false">
      <c r="A730" s="76" t="n">
        <v>719</v>
      </c>
      <c r="B730" s="77" t="n">
        <v>0.819641</v>
      </c>
      <c r="C730" s="78" t="n">
        <f aca="false">05_Unit_Economics!$B$15*EXP((01_Inputs!$C$20-01_Inputs!$C$21^2/2)*01_Inputs!$C$22+01_Inputs!$C$21*SQRT(01_Inputs!$C$22)*B730)</f>
        <v>72.1019925875743</v>
      </c>
      <c r="D730" s="78" t="n">
        <f aca="false">MAX(C730-05_Unit_Economics!$B$21,0)</f>
        <v>34.1943871130708</v>
      </c>
      <c r="E730" s="78" t="n">
        <f aca="false">D730*EXP(-01_Inputs!$C$20*01_Inputs!$C$22)</f>
        <v>32.7224540712185</v>
      </c>
      <c r="F730" s="79"/>
    </row>
    <row r="731" customFormat="false" ht="15" hidden="false" customHeight="false" outlineLevel="0" collapsed="false">
      <c r="A731" s="76" t="n">
        <v>720</v>
      </c>
      <c r="B731" s="77" t="n">
        <v>-0.819641</v>
      </c>
      <c r="C731" s="78" t="n">
        <f aca="false">05_Unit_Economics!$B$15*EXP((01_Inputs!$C$20-01_Inputs!$C$21^2/2)*01_Inputs!$C$22+01_Inputs!$C$21*SQRT(01_Inputs!$C$22)*B731)</f>
        <v>40.6229419775483</v>
      </c>
      <c r="D731" s="78" t="n">
        <f aca="false">MAX(C731-05_Unit_Economics!$B$21,0)</f>
        <v>2.71533650304487</v>
      </c>
      <c r="E731" s="78" t="n">
        <f aca="false">D731*EXP(-01_Inputs!$C$20*01_Inputs!$C$22)</f>
        <v>2.59845201245982</v>
      </c>
      <c r="F731" s="80" t="n">
        <f aca="false">AVERAGE(E730:E731)</f>
        <v>17.6604530418392</v>
      </c>
    </row>
    <row r="732" customFormat="false" ht="15" hidden="false" customHeight="false" outlineLevel="0" collapsed="false">
      <c r="A732" s="76" t="n">
        <v>721</v>
      </c>
      <c r="B732" s="77" t="n">
        <v>-1.490968</v>
      </c>
      <c r="C732" s="78" t="n">
        <f aca="false">05_Unit_Economics!$B$15*EXP((01_Inputs!$C$20-01_Inputs!$C$21^2/2)*01_Inputs!$C$22+01_Inputs!$C$21*SQRT(01_Inputs!$C$22)*B732)</f>
        <v>32.1164554733071</v>
      </c>
      <c r="D732" s="78" t="n">
        <f aca="false">MAX(C732-05_Unit_Economics!$B$21,0)</f>
        <v>0</v>
      </c>
      <c r="E732" s="78" t="n">
        <f aca="false">D732*EXP(-01_Inputs!$C$20*01_Inputs!$C$22)</f>
        <v>0</v>
      </c>
      <c r="F732" s="79"/>
    </row>
    <row r="733" customFormat="false" ht="15" hidden="false" customHeight="false" outlineLevel="0" collapsed="false">
      <c r="A733" s="76" t="n">
        <v>722</v>
      </c>
      <c r="B733" s="77" t="n">
        <v>1.490968</v>
      </c>
      <c r="C733" s="78" t="n">
        <f aca="false">05_Unit_Economics!$B$15*EXP((01_Inputs!$C$20-01_Inputs!$C$21^2/2)*01_Inputs!$C$22+01_Inputs!$C$21*SQRT(01_Inputs!$C$22)*B733)</f>
        <v>91.1992004779302</v>
      </c>
      <c r="D733" s="78" t="n">
        <f aca="false">MAX(C733-05_Unit_Economics!$B$21,0)</f>
        <v>53.2915950034267</v>
      </c>
      <c r="E733" s="78" t="n">
        <f aca="false">D733*EXP(-01_Inputs!$C$20*01_Inputs!$C$22)</f>
        <v>50.99760273858</v>
      </c>
      <c r="F733" s="80" t="n">
        <f aca="false">AVERAGE(E732:E733)</f>
        <v>25.49880136929</v>
      </c>
    </row>
    <row r="734" customFormat="false" ht="15" hidden="false" customHeight="false" outlineLevel="0" collapsed="false">
      <c r="A734" s="76" t="n">
        <v>723</v>
      </c>
      <c r="B734" s="77" t="n">
        <v>-1.062669</v>
      </c>
      <c r="C734" s="78" t="n">
        <f aca="false">05_Unit_Economics!$B$15*EXP((01_Inputs!$C$20-01_Inputs!$C$21^2/2)*01_Inputs!$C$22+01_Inputs!$C$21*SQRT(01_Inputs!$C$22)*B734)</f>
        <v>37.3104400038804</v>
      </c>
      <c r="D734" s="78" t="n">
        <f aca="false">MAX(C734-05_Unit_Economics!$B$21,0)</f>
        <v>0</v>
      </c>
      <c r="E734" s="78" t="n">
        <f aca="false">D734*EXP(-01_Inputs!$C$20*01_Inputs!$C$22)</f>
        <v>0</v>
      </c>
      <c r="F734" s="79"/>
    </row>
    <row r="735" customFormat="false" ht="15" hidden="false" customHeight="false" outlineLevel="0" collapsed="false">
      <c r="A735" s="76" t="n">
        <v>724</v>
      </c>
      <c r="B735" s="77" t="n">
        <v>1.062669</v>
      </c>
      <c r="C735" s="78" t="n">
        <f aca="false">05_Unit_Economics!$B$15*EXP((01_Inputs!$C$20-01_Inputs!$C$21^2/2)*01_Inputs!$C$22+01_Inputs!$C$21*SQRT(01_Inputs!$C$22)*B735)</f>
        <v>78.503364233872</v>
      </c>
      <c r="D735" s="78" t="n">
        <f aca="false">MAX(C735-05_Unit_Economics!$B$21,0)</f>
        <v>40.5957587593685</v>
      </c>
      <c r="E735" s="78" t="n">
        <f aca="false">D735*EXP(-01_Inputs!$C$20*01_Inputs!$C$22)</f>
        <v>38.8482720013988</v>
      </c>
      <c r="F735" s="80" t="n">
        <f aca="false">AVERAGE(E734:E735)</f>
        <v>19.4241360006994</v>
      </c>
    </row>
    <row r="736" customFormat="false" ht="15" hidden="false" customHeight="false" outlineLevel="0" collapsed="false">
      <c r="A736" s="76" t="n">
        <v>725</v>
      </c>
      <c r="B736" s="77" t="n">
        <v>0.326325</v>
      </c>
      <c r="C736" s="78" t="n">
        <f aca="false">05_Unit_Economics!$B$15*EXP((01_Inputs!$C$20-01_Inputs!$C$21^2/2)*01_Inputs!$C$22+01_Inputs!$C$21*SQRT(01_Inputs!$C$22)*B736)</f>
        <v>60.6682853928531</v>
      </c>
      <c r="D736" s="78" t="n">
        <f aca="false">MAX(C736-05_Unit_Economics!$B$21,0)</f>
        <v>22.7606799183496</v>
      </c>
      <c r="E736" s="78" t="n">
        <f aca="false">D736*EXP(-01_Inputs!$C$20*01_Inputs!$C$22)</f>
        <v>21.780922722642</v>
      </c>
      <c r="F736" s="79"/>
    </row>
    <row r="737" customFormat="false" ht="15" hidden="false" customHeight="false" outlineLevel="0" collapsed="false">
      <c r="A737" s="76" t="n">
        <v>726</v>
      </c>
      <c r="B737" s="77" t="n">
        <v>-0.326325</v>
      </c>
      <c r="C737" s="78" t="n">
        <f aca="false">05_Unit_Economics!$B$15*EXP((01_Inputs!$C$20-01_Inputs!$C$21^2/2)*01_Inputs!$C$22+01_Inputs!$C$21*SQRT(01_Inputs!$C$22)*B737)</f>
        <v>48.2788501831584</v>
      </c>
      <c r="D737" s="78" t="n">
        <f aca="false">MAX(C737-05_Unit_Economics!$B$21,0)</f>
        <v>10.3712447086549</v>
      </c>
      <c r="E737" s="78" t="n">
        <f aca="false">D737*EXP(-01_Inputs!$C$20*01_Inputs!$C$22)</f>
        <v>9.92480366786874</v>
      </c>
      <c r="F737" s="80" t="n">
        <f aca="false">AVERAGE(E736:E737)</f>
        <v>15.8528631952554</v>
      </c>
    </row>
    <row r="738" customFormat="false" ht="15" hidden="false" customHeight="false" outlineLevel="0" collapsed="false">
      <c r="A738" s="76" t="n">
        <v>727</v>
      </c>
      <c r="B738" s="77" t="n">
        <v>-2.551033</v>
      </c>
      <c r="C738" s="78" t="n">
        <f aca="false">05_Unit_Economics!$B$15*EXP((01_Inputs!$C$20-01_Inputs!$C$21^2/2)*01_Inputs!$C$22+01_Inputs!$C$21*SQRT(01_Inputs!$C$22)*B738)</f>
        <v>22.1612613492675</v>
      </c>
      <c r="D738" s="78" t="n">
        <f aca="false">MAX(C738-05_Unit_Economics!$B$21,0)</f>
        <v>0</v>
      </c>
      <c r="E738" s="78" t="n">
        <f aca="false">D738*EXP(-01_Inputs!$C$20*01_Inputs!$C$22)</f>
        <v>0</v>
      </c>
      <c r="F738" s="79"/>
    </row>
    <row r="739" customFormat="false" ht="15" hidden="false" customHeight="false" outlineLevel="0" collapsed="false">
      <c r="A739" s="76" t="n">
        <v>728</v>
      </c>
      <c r="B739" s="77" t="n">
        <v>2.551033</v>
      </c>
      <c r="C739" s="78" t="n">
        <f aca="false">05_Unit_Economics!$B$15*EXP((01_Inputs!$C$20-01_Inputs!$C$21^2/2)*01_Inputs!$C$22+01_Inputs!$C$21*SQRT(01_Inputs!$C$22)*B739)</f>
        <v>132.167344411895</v>
      </c>
      <c r="D739" s="78" t="n">
        <f aca="false">MAX(C739-05_Unit_Economics!$B$21,0)</f>
        <v>94.2597389373913</v>
      </c>
      <c r="E739" s="78" t="n">
        <f aca="false">D739*EXP(-01_Inputs!$C$20*01_Inputs!$C$22)</f>
        <v>90.2022302065128</v>
      </c>
      <c r="F739" s="80" t="n">
        <f aca="false">AVERAGE(E738:E739)</f>
        <v>45.1011151032564</v>
      </c>
    </row>
    <row r="740" customFormat="false" ht="15" hidden="false" customHeight="false" outlineLevel="0" collapsed="false">
      <c r="A740" s="76" t="n">
        <v>729</v>
      </c>
      <c r="B740" s="77" t="n">
        <v>-0.07469</v>
      </c>
      <c r="C740" s="78" t="n">
        <f aca="false">05_Unit_Economics!$B$15*EXP((01_Inputs!$C$20-01_Inputs!$C$21^2/2)*01_Inputs!$C$22+01_Inputs!$C$21*SQRT(01_Inputs!$C$22)*B740)</f>
        <v>52.7237400978026</v>
      </c>
      <c r="D740" s="78" t="n">
        <f aca="false">MAX(C740-05_Unit_Economics!$B$21,0)</f>
        <v>14.8161346232991</v>
      </c>
      <c r="E740" s="78" t="n">
        <f aca="false">D740*EXP(-01_Inputs!$C$20*01_Inputs!$C$22)</f>
        <v>14.1783586622195</v>
      </c>
      <c r="F740" s="79"/>
    </row>
    <row r="741" customFormat="false" ht="15" hidden="false" customHeight="false" outlineLevel="0" collapsed="false">
      <c r="A741" s="76" t="n">
        <v>730</v>
      </c>
      <c r="B741" s="77" t="n">
        <v>0.07469</v>
      </c>
      <c r="C741" s="78" t="n">
        <f aca="false">05_Unit_Economics!$B$15*EXP((01_Inputs!$C$20-01_Inputs!$C$21^2/2)*01_Inputs!$C$22+01_Inputs!$C$21*SQRT(01_Inputs!$C$22)*B741)</f>
        <v>55.5536283260133</v>
      </c>
      <c r="D741" s="78" t="n">
        <f aca="false">MAX(C741-05_Unit_Economics!$B$21,0)</f>
        <v>17.6460228515099</v>
      </c>
      <c r="E741" s="78" t="n">
        <f aca="false">D741*EXP(-01_Inputs!$C$20*01_Inputs!$C$22)</f>
        <v>16.8864314014122</v>
      </c>
      <c r="F741" s="80" t="n">
        <f aca="false">AVERAGE(E740:E741)</f>
        <v>15.5323950318159</v>
      </c>
    </row>
    <row r="742" customFormat="false" ht="15" hidden="false" customHeight="false" outlineLevel="0" collapsed="false">
      <c r="A742" s="76" t="n">
        <v>731</v>
      </c>
      <c r="B742" s="77" t="n">
        <v>-0.452417</v>
      </c>
      <c r="C742" s="78" t="n">
        <f aca="false">05_Unit_Economics!$B$15*EXP((01_Inputs!$C$20-01_Inputs!$C$21^2/2)*01_Inputs!$C$22+01_Inputs!$C$21*SQRT(01_Inputs!$C$22)*B742)</f>
        <v>46.1945294245468</v>
      </c>
      <c r="D742" s="78" t="n">
        <f aca="false">MAX(C742-05_Unit_Economics!$B$21,0)</f>
        <v>8.28692395004337</v>
      </c>
      <c r="E742" s="78" t="n">
        <f aca="false">D742*EXP(-01_Inputs!$C$20*01_Inputs!$C$22)</f>
        <v>7.93020466927218</v>
      </c>
      <c r="F742" s="79"/>
    </row>
    <row r="743" customFormat="false" ht="15" hidden="false" customHeight="false" outlineLevel="0" collapsed="false">
      <c r="A743" s="76" t="n">
        <v>732</v>
      </c>
      <c r="B743" s="77" t="n">
        <v>0.452417</v>
      </c>
      <c r="C743" s="78" t="n">
        <f aca="false">05_Unit_Economics!$B$15*EXP((01_Inputs!$C$20-01_Inputs!$C$21^2/2)*01_Inputs!$C$22+01_Inputs!$C$21*SQRT(01_Inputs!$C$22)*B743)</f>
        <v>63.4056694123232</v>
      </c>
      <c r="D743" s="78" t="n">
        <f aca="false">MAX(C743-05_Unit_Economics!$B$21,0)</f>
        <v>25.4980639378197</v>
      </c>
      <c r="E743" s="78" t="n">
        <f aca="false">D743*EXP(-01_Inputs!$C$20*01_Inputs!$C$22)</f>
        <v>24.4004731931973</v>
      </c>
      <c r="F743" s="80" t="n">
        <f aca="false">AVERAGE(E742:E743)</f>
        <v>16.1653389312348</v>
      </c>
    </row>
    <row r="744" customFormat="false" ht="15" hidden="false" customHeight="false" outlineLevel="0" collapsed="false">
      <c r="A744" s="76" t="n">
        <v>733</v>
      </c>
      <c r="B744" s="77" t="n">
        <v>-0.953011</v>
      </c>
      <c r="C744" s="78" t="n">
        <f aca="false">05_Unit_Economics!$B$15*EXP((01_Inputs!$C$20-01_Inputs!$C$21^2/2)*01_Inputs!$C$22+01_Inputs!$C$21*SQRT(01_Inputs!$C$22)*B744)</f>
        <v>38.7702608714003</v>
      </c>
      <c r="D744" s="78" t="n">
        <f aca="false">MAX(C744-05_Unit_Economics!$B$21,0)</f>
        <v>0.862655396896827</v>
      </c>
      <c r="E744" s="78" t="n">
        <f aca="false">D744*EXP(-01_Inputs!$C$20*01_Inputs!$C$22)</f>
        <v>0.8255214959959</v>
      </c>
      <c r="F744" s="79"/>
    </row>
    <row r="745" customFormat="false" ht="15" hidden="false" customHeight="false" outlineLevel="0" collapsed="false">
      <c r="A745" s="76" t="n">
        <v>734</v>
      </c>
      <c r="B745" s="77" t="n">
        <v>0.953011</v>
      </c>
      <c r="C745" s="78" t="n">
        <f aca="false">05_Unit_Economics!$B$15*EXP((01_Inputs!$C$20-01_Inputs!$C$21^2/2)*01_Inputs!$C$22+01_Inputs!$C$21*SQRT(01_Inputs!$C$22)*B745)</f>
        <v>75.5474684853433</v>
      </c>
      <c r="D745" s="78" t="n">
        <f aca="false">MAX(C745-05_Unit_Economics!$B$21,0)</f>
        <v>37.6398630108398</v>
      </c>
      <c r="E745" s="78" t="n">
        <f aca="false">D745*EXP(-01_Inputs!$C$20*01_Inputs!$C$22)</f>
        <v>36.0196158669665</v>
      </c>
      <c r="F745" s="80" t="n">
        <f aca="false">AVERAGE(E744:E745)</f>
        <v>18.4225686814812</v>
      </c>
    </row>
    <row r="746" customFormat="false" ht="15" hidden="false" customHeight="false" outlineLevel="0" collapsed="false">
      <c r="A746" s="76" t="n">
        <v>735</v>
      </c>
      <c r="B746" s="77" t="n">
        <v>0.133047</v>
      </c>
      <c r="C746" s="78" t="n">
        <f aca="false">05_Unit_Economics!$B$15*EXP((01_Inputs!$C$20-01_Inputs!$C$21^2/2)*01_Inputs!$C$22+01_Inputs!$C$21*SQRT(01_Inputs!$C$22)*B746)</f>
        <v>56.6999755973906</v>
      </c>
      <c r="D746" s="78" t="n">
        <f aca="false">MAX(C746-05_Unit_Economics!$B$21,0)</f>
        <v>18.7923701228871</v>
      </c>
      <c r="E746" s="78" t="n">
        <f aca="false">D746*EXP(-01_Inputs!$C$20*01_Inputs!$C$22)</f>
        <v>17.9834329593951</v>
      </c>
      <c r="F746" s="79"/>
    </row>
    <row r="747" customFormat="false" ht="15" hidden="false" customHeight="false" outlineLevel="0" collapsed="false">
      <c r="A747" s="76" t="n">
        <v>736</v>
      </c>
      <c r="B747" s="77" t="n">
        <v>-0.133047</v>
      </c>
      <c r="C747" s="78" t="n">
        <f aca="false">05_Unit_Economics!$B$15*EXP((01_Inputs!$C$20-01_Inputs!$C$21^2/2)*01_Inputs!$C$22+01_Inputs!$C$21*SQRT(01_Inputs!$C$22)*B747)</f>
        <v>51.6577834556502</v>
      </c>
      <c r="D747" s="78" t="n">
        <f aca="false">MAX(C747-05_Unit_Economics!$B$21,0)</f>
        <v>13.7501779811467</v>
      </c>
      <c r="E747" s="78" t="n">
        <f aca="false">D747*EXP(-01_Inputs!$C$20*01_Inputs!$C$22)</f>
        <v>13.1582872350171</v>
      </c>
      <c r="F747" s="80" t="n">
        <f aca="false">AVERAGE(E746:E747)</f>
        <v>15.5708600972061</v>
      </c>
    </row>
    <row r="748" customFormat="false" ht="15" hidden="false" customHeight="false" outlineLevel="0" collapsed="false">
      <c r="A748" s="76" t="n">
        <v>737</v>
      </c>
      <c r="B748" s="77" t="n">
        <v>-0.339192</v>
      </c>
      <c r="C748" s="78" t="n">
        <f aca="false">05_Unit_Economics!$B$15*EXP((01_Inputs!$C$20-01_Inputs!$C$21^2/2)*01_Inputs!$C$22+01_Inputs!$C$21*SQRT(01_Inputs!$C$22)*B748)</f>
        <v>48.0619176343795</v>
      </c>
      <c r="D748" s="78" t="n">
        <f aca="false">MAX(C748-05_Unit_Economics!$B$21,0)</f>
        <v>10.1543121598761</v>
      </c>
      <c r="E748" s="78" t="n">
        <f aca="false">D748*EXP(-01_Inputs!$C$20*01_Inputs!$C$22)</f>
        <v>9.71720920681009</v>
      </c>
      <c r="F748" s="79"/>
    </row>
    <row r="749" customFormat="false" ht="15" hidden="false" customHeight="false" outlineLevel="0" collapsed="false">
      <c r="A749" s="76" t="n">
        <v>738</v>
      </c>
      <c r="B749" s="77" t="n">
        <v>0.339192</v>
      </c>
      <c r="C749" s="78" t="n">
        <f aca="false">05_Unit_Economics!$B$15*EXP((01_Inputs!$C$20-01_Inputs!$C$21^2/2)*01_Inputs!$C$22+01_Inputs!$C$21*SQRT(01_Inputs!$C$22)*B749)</f>
        <v>60.9421181158925</v>
      </c>
      <c r="D749" s="78" t="n">
        <f aca="false">MAX(C749-05_Unit_Economics!$B$21,0)</f>
        <v>23.034512641389</v>
      </c>
      <c r="E749" s="78" t="n">
        <f aca="false">D749*EXP(-01_Inputs!$C$20*01_Inputs!$C$22)</f>
        <v>22.0429680306401</v>
      </c>
      <c r="F749" s="80" t="n">
        <f aca="false">AVERAGE(E748:E749)</f>
        <v>15.8800886187251</v>
      </c>
    </row>
    <row r="750" customFormat="false" ht="15" hidden="false" customHeight="false" outlineLevel="0" collapsed="false">
      <c r="A750" s="76" t="n">
        <v>739</v>
      </c>
      <c r="B750" s="77" t="n">
        <v>0.84966</v>
      </c>
      <c r="C750" s="78" t="n">
        <f aca="false">05_Unit_Economics!$B$15*EXP((01_Inputs!$C$20-01_Inputs!$C$21^2/2)*01_Inputs!$C$22+01_Inputs!$C$21*SQRT(01_Inputs!$C$22)*B750)</f>
        <v>72.8635366207645</v>
      </c>
      <c r="D750" s="78" t="n">
        <f aca="false">MAX(C750-05_Unit_Economics!$B$21,0)</f>
        <v>34.955931146261</v>
      </c>
      <c r="E750" s="78" t="n">
        <f aca="false">D750*EXP(-01_Inputs!$C$20*01_Inputs!$C$22)</f>
        <v>33.4512166475698</v>
      </c>
      <c r="F750" s="79"/>
    </row>
    <row r="751" customFormat="false" ht="15" hidden="false" customHeight="false" outlineLevel="0" collapsed="false">
      <c r="A751" s="76" t="n">
        <v>740</v>
      </c>
      <c r="B751" s="77" t="n">
        <v>-0.84966</v>
      </c>
      <c r="C751" s="78" t="n">
        <f aca="false">05_Unit_Economics!$B$15*EXP((01_Inputs!$C$20-01_Inputs!$C$21^2/2)*01_Inputs!$C$22+01_Inputs!$C$21*SQRT(01_Inputs!$C$22)*B751)</f>
        <v>40.1983652892845</v>
      </c>
      <c r="D751" s="78" t="n">
        <f aca="false">MAX(C751-05_Unit_Economics!$B$21,0)</f>
        <v>2.29075981478105</v>
      </c>
      <c r="E751" s="78" t="n">
        <f aca="false">D751*EXP(-01_Inputs!$C$20*01_Inputs!$C$22)</f>
        <v>2.19215167037495</v>
      </c>
      <c r="F751" s="80" t="n">
        <f aca="false">AVERAGE(E750:E751)</f>
        <v>17.8216841589724</v>
      </c>
    </row>
    <row r="752" customFormat="false" ht="15" hidden="false" customHeight="false" outlineLevel="0" collapsed="false">
      <c r="A752" s="76" t="n">
        <v>741</v>
      </c>
      <c r="B752" s="77" t="n">
        <v>0.823178</v>
      </c>
      <c r="C752" s="78" t="n">
        <f aca="false">05_Unit_Economics!$B$15*EXP((01_Inputs!$C$20-01_Inputs!$C$21^2/2)*01_Inputs!$C$22+01_Inputs!$C$21*SQRT(01_Inputs!$C$22)*B752)</f>
        <v>72.1913065209837</v>
      </c>
      <c r="D752" s="78" t="n">
        <f aca="false">MAX(C752-05_Unit_Economics!$B$21,0)</f>
        <v>34.2837010464803</v>
      </c>
      <c r="E752" s="78" t="n">
        <f aca="false">D752*EXP(-01_Inputs!$C$20*01_Inputs!$C$22)</f>
        <v>32.8079233932521</v>
      </c>
      <c r="F752" s="79"/>
    </row>
    <row r="753" customFormat="false" ht="15" hidden="false" customHeight="false" outlineLevel="0" collapsed="false">
      <c r="A753" s="76" t="n">
        <v>742</v>
      </c>
      <c r="B753" s="77" t="n">
        <v>-0.823178</v>
      </c>
      <c r="C753" s="78" t="n">
        <f aca="false">05_Unit_Economics!$B$15*EXP((01_Inputs!$C$20-01_Inputs!$C$21^2/2)*01_Inputs!$C$22+01_Inputs!$C$21*SQRT(01_Inputs!$C$22)*B753)</f>
        <v>40.572683921426</v>
      </c>
      <c r="D753" s="78" t="n">
        <f aca="false">MAX(C753-05_Unit_Economics!$B$21,0)</f>
        <v>2.66507844692251</v>
      </c>
      <c r="E753" s="78" t="n">
        <f aca="false">D753*EXP(-01_Inputs!$C$20*01_Inputs!$C$22)</f>
        <v>2.55035736675861</v>
      </c>
      <c r="F753" s="80" t="n">
        <f aca="false">AVERAGE(E752:E753)</f>
        <v>17.6791403800054</v>
      </c>
    </row>
    <row r="754" customFormat="false" ht="15" hidden="false" customHeight="false" outlineLevel="0" collapsed="false">
      <c r="A754" s="76" t="n">
        <v>743</v>
      </c>
      <c r="B754" s="77" t="n">
        <v>1.273886</v>
      </c>
      <c r="C754" s="78" t="n">
        <f aca="false">05_Unit_Economics!$B$15*EXP((01_Inputs!$C$20-01_Inputs!$C$21^2/2)*01_Inputs!$C$22+01_Inputs!$C$21*SQRT(01_Inputs!$C$22)*B754)</f>
        <v>84.5266974276847</v>
      </c>
      <c r="D754" s="78" t="n">
        <f aca="false">MAX(C754-05_Unit_Economics!$B$21,0)</f>
        <v>46.6190919531812</v>
      </c>
      <c r="E754" s="78" t="n">
        <f aca="false">D754*EXP(-01_Inputs!$C$20*01_Inputs!$C$22)</f>
        <v>44.6123245383967</v>
      </c>
      <c r="F754" s="79"/>
    </row>
    <row r="755" customFormat="false" ht="15" hidden="false" customHeight="false" outlineLevel="0" collapsed="false">
      <c r="A755" s="76" t="n">
        <v>744</v>
      </c>
      <c r="B755" s="77" t="n">
        <v>-1.273886</v>
      </c>
      <c r="C755" s="78" t="n">
        <f aca="false">05_Unit_Economics!$B$15*EXP((01_Inputs!$C$20-01_Inputs!$C$21^2/2)*01_Inputs!$C$22+01_Inputs!$C$21*SQRT(01_Inputs!$C$22)*B755)</f>
        <v>34.651715380889</v>
      </c>
      <c r="D755" s="78" t="n">
        <f aca="false">MAX(C755-05_Unit_Economics!$B$21,0)</f>
        <v>0</v>
      </c>
      <c r="E755" s="78" t="n">
        <f aca="false">D755*EXP(-01_Inputs!$C$20*01_Inputs!$C$22)</f>
        <v>0</v>
      </c>
      <c r="F755" s="80" t="n">
        <f aca="false">AVERAGE(E754:E755)</f>
        <v>22.3061622691983</v>
      </c>
    </row>
    <row r="756" customFormat="false" ht="15" hidden="false" customHeight="false" outlineLevel="0" collapsed="false">
      <c r="A756" s="76" t="n">
        <v>745</v>
      </c>
      <c r="B756" s="77" t="n">
        <v>-0.863152</v>
      </c>
      <c r="C756" s="78" t="n">
        <f aca="false">05_Unit_Economics!$B$15*EXP((01_Inputs!$C$20-01_Inputs!$C$21^2/2)*01_Inputs!$C$22+01_Inputs!$C$21*SQRT(01_Inputs!$C$22)*B756)</f>
        <v>40.0089880592062</v>
      </c>
      <c r="D756" s="78" t="n">
        <f aca="false">MAX(C756-05_Unit_Economics!$B$21,0)</f>
        <v>2.10138258470276</v>
      </c>
      <c r="E756" s="78" t="n">
        <f aca="false">D756*EXP(-01_Inputs!$C$20*01_Inputs!$C$22)</f>
        <v>2.01092638059625</v>
      </c>
      <c r="F756" s="79"/>
    </row>
    <row r="757" customFormat="false" ht="15" hidden="false" customHeight="false" outlineLevel="0" collapsed="false">
      <c r="A757" s="76" t="n">
        <v>746</v>
      </c>
      <c r="B757" s="77" t="n">
        <v>0.863152</v>
      </c>
      <c r="C757" s="78" t="n">
        <f aca="false">05_Unit_Economics!$B$15*EXP((01_Inputs!$C$20-01_Inputs!$C$21^2/2)*01_Inputs!$C$22+01_Inputs!$C$21*SQRT(01_Inputs!$C$22)*B757)</f>
        <v>73.2084264919737</v>
      </c>
      <c r="D757" s="78" t="n">
        <f aca="false">MAX(C757-05_Unit_Economics!$B$21,0)</f>
        <v>35.3008210174702</v>
      </c>
      <c r="E757" s="78" t="n">
        <f aca="false">D757*EXP(-01_Inputs!$C$20*01_Inputs!$C$22)</f>
        <v>33.7812603747158</v>
      </c>
      <c r="F757" s="80" t="n">
        <f aca="false">AVERAGE(E756:E757)</f>
        <v>17.896093377656</v>
      </c>
    </row>
    <row r="758" customFormat="false" ht="15" hidden="false" customHeight="false" outlineLevel="0" collapsed="false">
      <c r="A758" s="76" t="n">
        <v>747</v>
      </c>
      <c r="B758" s="77" t="n">
        <v>-0.055543</v>
      </c>
      <c r="C758" s="78" t="n">
        <f aca="false">05_Unit_Economics!$B$15*EXP((01_Inputs!$C$20-01_Inputs!$C$21^2/2)*01_Inputs!$C$22+01_Inputs!$C$21*SQRT(01_Inputs!$C$22)*B758)</f>
        <v>53.0782521515387</v>
      </c>
      <c r="D758" s="78" t="n">
        <f aca="false">MAX(C758-05_Unit_Economics!$B$21,0)</f>
        <v>15.1706466770352</v>
      </c>
      <c r="E758" s="78" t="n">
        <f aca="false">D758*EXP(-01_Inputs!$C$20*01_Inputs!$C$22)</f>
        <v>14.5176103750142</v>
      </c>
      <c r="F758" s="79"/>
    </row>
    <row r="759" customFormat="false" ht="15" hidden="false" customHeight="false" outlineLevel="0" collapsed="false">
      <c r="A759" s="76" t="n">
        <v>748</v>
      </c>
      <c r="B759" s="77" t="n">
        <v>0.055543</v>
      </c>
      <c r="C759" s="78" t="n">
        <f aca="false">05_Unit_Economics!$B$15*EXP((01_Inputs!$C$20-01_Inputs!$C$21^2/2)*01_Inputs!$C$22+01_Inputs!$C$21*SQRT(01_Inputs!$C$22)*B759)</f>
        <v>55.1825831225255</v>
      </c>
      <c r="D759" s="78" t="n">
        <f aca="false">MAX(C759-05_Unit_Economics!$B$21,0)</f>
        <v>17.274977648022</v>
      </c>
      <c r="E759" s="78" t="n">
        <f aca="false">D759*EXP(-01_Inputs!$C$20*01_Inputs!$C$22)</f>
        <v>16.5313582255331</v>
      </c>
      <c r="F759" s="80" t="n">
        <f aca="false">AVERAGE(E758:E759)</f>
        <v>15.5244843002736</v>
      </c>
    </row>
    <row r="760" customFormat="false" ht="15" hidden="false" customHeight="false" outlineLevel="0" collapsed="false">
      <c r="A760" s="76" t="n">
        <v>749</v>
      </c>
      <c r="B760" s="77" t="n">
        <v>0.259008</v>
      </c>
      <c r="C760" s="78" t="n">
        <f aca="false">05_Unit_Economics!$B$15*EXP((01_Inputs!$C$20-01_Inputs!$C$21^2/2)*01_Inputs!$C$22+01_Inputs!$C$21*SQRT(01_Inputs!$C$22)*B760)</f>
        <v>59.255590521212</v>
      </c>
      <c r="D760" s="78" t="n">
        <f aca="false">MAX(C760-05_Unit_Economics!$B$21,0)</f>
        <v>21.3479850467085</v>
      </c>
      <c r="E760" s="78" t="n">
        <f aca="false">D760*EXP(-01_Inputs!$C$20*01_Inputs!$C$22)</f>
        <v>20.4290387745232</v>
      </c>
      <c r="F760" s="79"/>
    </row>
    <row r="761" customFormat="false" ht="15" hidden="false" customHeight="false" outlineLevel="0" collapsed="false">
      <c r="A761" s="76" t="n">
        <v>750</v>
      </c>
      <c r="B761" s="77" t="n">
        <v>-0.259008</v>
      </c>
      <c r="C761" s="78" t="n">
        <f aca="false">05_Unit_Economics!$B$15*EXP((01_Inputs!$C$20-01_Inputs!$C$21^2/2)*01_Inputs!$C$22+01_Inputs!$C$21*SQRT(01_Inputs!$C$22)*B761)</f>
        <v>49.4298518601742</v>
      </c>
      <c r="D761" s="78" t="n">
        <f aca="false">MAX(C761-05_Unit_Economics!$B$21,0)</f>
        <v>11.5222463856707</v>
      </c>
      <c r="E761" s="78" t="n">
        <f aca="false">D761*EXP(-01_Inputs!$C$20*01_Inputs!$C$22)</f>
        <v>11.0262592777471</v>
      </c>
      <c r="F761" s="80" t="n">
        <f aca="false">AVERAGE(E760:E761)</f>
        <v>15.7276490261351</v>
      </c>
    </row>
    <row r="762" customFormat="false" ht="15" hidden="false" customHeight="false" outlineLevel="0" collapsed="false">
      <c r="A762" s="76" t="n">
        <v>751</v>
      </c>
      <c r="B762" s="77" t="n">
        <v>0.236651</v>
      </c>
      <c r="C762" s="78" t="n">
        <f aca="false">05_Unit_Economics!$B$15*EXP((01_Inputs!$C$20-01_Inputs!$C$21^2/2)*01_Inputs!$C$22+01_Inputs!$C$21*SQRT(01_Inputs!$C$22)*B762)</f>
        <v>58.7937278708816</v>
      </c>
      <c r="D762" s="78" t="n">
        <f aca="false">MAX(C762-05_Unit_Economics!$B$21,0)</f>
        <v>20.8861223963781</v>
      </c>
      <c r="E762" s="78" t="n">
        <f aca="false">D762*EXP(-01_Inputs!$C$20*01_Inputs!$C$22)</f>
        <v>19.9870574834805</v>
      </c>
      <c r="F762" s="79"/>
    </row>
    <row r="763" customFormat="false" ht="15" hidden="false" customHeight="false" outlineLevel="0" collapsed="false">
      <c r="A763" s="76" t="n">
        <v>752</v>
      </c>
      <c r="B763" s="77" t="n">
        <v>-0.236651</v>
      </c>
      <c r="C763" s="78" t="n">
        <f aca="false">05_Unit_Economics!$B$15*EXP((01_Inputs!$C$20-01_Inputs!$C$21^2/2)*01_Inputs!$C$22+01_Inputs!$C$21*SQRT(01_Inputs!$C$22)*B763)</f>
        <v>49.8181552253855</v>
      </c>
      <c r="D763" s="78" t="n">
        <f aca="false">MAX(C763-05_Unit_Economics!$B$21,0)</f>
        <v>11.910549750882</v>
      </c>
      <c r="E763" s="78" t="n">
        <f aca="false">D763*EXP(-01_Inputs!$C$20*01_Inputs!$C$22)</f>
        <v>11.3978477197861</v>
      </c>
      <c r="F763" s="80" t="n">
        <f aca="false">AVERAGE(E762:E763)</f>
        <v>15.6924526016333</v>
      </c>
    </row>
    <row r="764" customFormat="false" ht="15" hidden="false" customHeight="false" outlineLevel="0" collapsed="false">
      <c r="A764" s="76" t="n">
        <v>753</v>
      </c>
      <c r="B764" s="77" t="n">
        <v>1.147092</v>
      </c>
      <c r="C764" s="78" t="n">
        <f aca="false">05_Unit_Economics!$B$15*EXP((01_Inputs!$C$20-01_Inputs!$C$21^2/2)*01_Inputs!$C$22+01_Inputs!$C$21*SQRT(01_Inputs!$C$22)*B764)</f>
        <v>80.8575957558139</v>
      </c>
      <c r="D764" s="78" t="n">
        <f aca="false">MAX(C764-05_Unit_Economics!$B$21,0)</f>
        <v>42.9499902813104</v>
      </c>
      <c r="E764" s="78" t="n">
        <f aca="false">D764*EXP(-01_Inputs!$C$20*01_Inputs!$C$22)</f>
        <v>41.1011631731289</v>
      </c>
      <c r="F764" s="79"/>
    </row>
    <row r="765" customFormat="false" ht="15" hidden="false" customHeight="false" outlineLevel="0" collapsed="false">
      <c r="A765" s="76" t="n">
        <v>754</v>
      </c>
      <c r="B765" s="77" t="n">
        <v>-1.147092</v>
      </c>
      <c r="C765" s="78" t="n">
        <f aca="false">05_Unit_Economics!$B$15*EXP((01_Inputs!$C$20-01_Inputs!$C$21^2/2)*01_Inputs!$C$22+01_Inputs!$C$21*SQRT(01_Inputs!$C$22)*B765)</f>
        <v>36.2241176474759</v>
      </c>
      <c r="D765" s="78" t="n">
        <f aca="false">MAX(C765-05_Unit_Economics!$B$21,0)</f>
        <v>0</v>
      </c>
      <c r="E765" s="78" t="n">
        <f aca="false">D765*EXP(-01_Inputs!$C$20*01_Inputs!$C$22)</f>
        <v>0</v>
      </c>
      <c r="F765" s="80" t="n">
        <f aca="false">AVERAGE(E764:E765)</f>
        <v>20.5505815865644</v>
      </c>
    </row>
    <row r="766" customFormat="false" ht="15" hidden="false" customHeight="false" outlineLevel="0" collapsed="false">
      <c r="A766" s="76" t="n">
        <v>755</v>
      </c>
      <c r="B766" s="77" t="n">
        <v>-1.495856</v>
      </c>
      <c r="C766" s="78" t="n">
        <f aca="false">05_Unit_Economics!$B$15*EXP((01_Inputs!$C$20-01_Inputs!$C$21^2/2)*01_Inputs!$C$22+01_Inputs!$C$21*SQRT(01_Inputs!$C$22)*B766)</f>
        <v>32.0615576143017</v>
      </c>
      <c r="D766" s="78" t="n">
        <f aca="false">MAX(C766-05_Unit_Economics!$B$21,0)</f>
        <v>0</v>
      </c>
      <c r="E766" s="78" t="n">
        <f aca="false">D766*EXP(-01_Inputs!$C$20*01_Inputs!$C$22)</f>
        <v>0</v>
      </c>
      <c r="F766" s="79"/>
    </row>
    <row r="767" customFormat="false" ht="15" hidden="false" customHeight="false" outlineLevel="0" collapsed="false">
      <c r="A767" s="76" t="n">
        <v>756</v>
      </c>
      <c r="B767" s="77" t="n">
        <v>1.495856</v>
      </c>
      <c r="C767" s="78" t="n">
        <f aca="false">05_Unit_Economics!$B$15*EXP((01_Inputs!$C$20-01_Inputs!$C$21^2/2)*01_Inputs!$C$22+01_Inputs!$C$21*SQRT(01_Inputs!$C$22)*B767)</f>
        <v>91.3553576088304</v>
      </c>
      <c r="D767" s="78" t="n">
        <f aca="false">MAX(C767-05_Unit_Economics!$B$21,0)</f>
        <v>53.4477521343269</v>
      </c>
      <c r="E767" s="78" t="n">
        <f aca="false">D767*EXP(-01_Inputs!$C$20*01_Inputs!$C$22)</f>
        <v>51.1470379229826</v>
      </c>
      <c r="F767" s="80" t="n">
        <f aca="false">AVERAGE(E766:E767)</f>
        <v>25.5735189614913</v>
      </c>
    </row>
    <row r="768" customFormat="false" ht="15" hidden="false" customHeight="false" outlineLevel="0" collapsed="false">
      <c r="A768" s="76" t="n">
        <v>757</v>
      </c>
      <c r="B768" s="77" t="n">
        <v>0.847167</v>
      </c>
      <c r="C768" s="78" t="n">
        <f aca="false">05_Unit_Economics!$B$15*EXP((01_Inputs!$C$20-01_Inputs!$C$21^2/2)*01_Inputs!$C$22+01_Inputs!$C$21*SQRT(01_Inputs!$C$22)*B768)</f>
        <v>72.7999872709106</v>
      </c>
      <c r="D768" s="78" t="n">
        <f aca="false">MAX(C768-05_Unit_Economics!$B$21,0)</f>
        <v>34.8923817964071</v>
      </c>
      <c r="E768" s="78" t="n">
        <f aca="false">D768*EXP(-01_Inputs!$C$20*01_Inputs!$C$22)</f>
        <v>33.3904028457323</v>
      </c>
      <c r="F768" s="79"/>
    </row>
    <row r="769" customFormat="false" ht="15" hidden="false" customHeight="false" outlineLevel="0" collapsed="false">
      <c r="A769" s="76" t="n">
        <v>758</v>
      </c>
      <c r="B769" s="77" t="n">
        <v>-0.847167</v>
      </c>
      <c r="C769" s="78" t="n">
        <f aca="false">05_Unit_Economics!$B$15*EXP((01_Inputs!$C$20-01_Inputs!$C$21^2/2)*01_Inputs!$C$22+01_Inputs!$C$21*SQRT(01_Inputs!$C$22)*B769)</f>
        <v>40.2334556797515</v>
      </c>
      <c r="D769" s="78" t="n">
        <f aca="false">MAX(C769-05_Unit_Economics!$B$21,0)</f>
        <v>2.325850205248</v>
      </c>
      <c r="E769" s="78" t="n">
        <f aca="false">D769*EXP(-01_Inputs!$C$20*01_Inputs!$C$22)</f>
        <v>2.22573155840157</v>
      </c>
      <c r="F769" s="80" t="n">
        <f aca="false">AVERAGE(E768:E769)</f>
        <v>17.8080672020669</v>
      </c>
    </row>
    <row r="770" customFormat="false" ht="15" hidden="false" customHeight="false" outlineLevel="0" collapsed="false">
      <c r="A770" s="76" t="n">
        <v>759</v>
      </c>
      <c r="B770" s="77" t="n">
        <v>0.119488</v>
      </c>
      <c r="C770" s="78" t="n">
        <f aca="false">05_Unit_Economics!$B$15*EXP((01_Inputs!$C$20-01_Inputs!$C$21^2/2)*01_Inputs!$C$22+01_Inputs!$C$21*SQRT(01_Inputs!$C$22)*B770)</f>
        <v>56.431534824973</v>
      </c>
      <c r="D770" s="78" t="n">
        <f aca="false">MAX(C770-05_Unit_Economics!$B$21,0)</f>
        <v>18.5239293504696</v>
      </c>
      <c r="E770" s="78" t="n">
        <f aca="false">D770*EXP(-01_Inputs!$C$20*01_Inputs!$C$22)</f>
        <v>17.726547499883</v>
      </c>
      <c r="F770" s="79"/>
    </row>
    <row r="771" customFormat="false" ht="15" hidden="false" customHeight="false" outlineLevel="0" collapsed="false">
      <c r="A771" s="76" t="n">
        <v>760</v>
      </c>
      <c r="B771" s="77" t="n">
        <v>-0.119488</v>
      </c>
      <c r="C771" s="78" t="n">
        <f aca="false">05_Unit_Economics!$B$15*EXP((01_Inputs!$C$20-01_Inputs!$C$21^2/2)*01_Inputs!$C$22+01_Inputs!$C$21*SQRT(01_Inputs!$C$22)*B771)</f>
        <v>51.9035158344562</v>
      </c>
      <c r="D771" s="78" t="n">
        <f aca="false">MAX(C771-05_Unit_Economics!$B$21,0)</f>
        <v>13.9959103599527</v>
      </c>
      <c r="E771" s="78" t="n">
        <f aca="false">D771*EXP(-01_Inputs!$C$20*01_Inputs!$C$22)</f>
        <v>13.3934418073947</v>
      </c>
      <c r="F771" s="80" t="n">
        <f aca="false">AVERAGE(E770:E771)</f>
        <v>15.5599946536389</v>
      </c>
    </row>
    <row r="772" customFormat="false" ht="15" hidden="false" customHeight="false" outlineLevel="0" collapsed="false">
      <c r="A772" s="76" t="n">
        <v>761</v>
      </c>
      <c r="B772" s="77" t="n">
        <v>1.172571</v>
      </c>
      <c r="C772" s="78" t="n">
        <f aca="false">05_Unit_Economics!$B$15*EXP((01_Inputs!$C$20-01_Inputs!$C$21^2/2)*01_Inputs!$C$22+01_Inputs!$C$21*SQRT(01_Inputs!$C$22)*B772)</f>
        <v>81.5818801521237</v>
      </c>
      <c r="D772" s="78" t="n">
        <f aca="false">MAX(C772-05_Unit_Economics!$B$21,0)</f>
        <v>43.6742746776202</v>
      </c>
      <c r="E772" s="78" t="n">
        <f aca="false">D772*EXP(-01_Inputs!$C$20*01_Inputs!$C$22)</f>
        <v>41.7942699925135</v>
      </c>
      <c r="F772" s="79"/>
    </row>
    <row r="773" customFormat="false" ht="15" hidden="false" customHeight="false" outlineLevel="0" collapsed="false">
      <c r="A773" s="76" t="n">
        <v>762</v>
      </c>
      <c r="B773" s="77" t="n">
        <v>-1.172571</v>
      </c>
      <c r="C773" s="78" t="n">
        <f aca="false">05_Unit_Economics!$B$15*EXP((01_Inputs!$C$20-01_Inputs!$C$21^2/2)*01_Inputs!$C$22+01_Inputs!$C$21*SQRT(01_Inputs!$C$22)*B773)</f>
        <v>35.9025197248339</v>
      </c>
      <c r="D773" s="78" t="n">
        <f aca="false">MAX(C773-05_Unit_Economics!$B$21,0)</f>
        <v>0</v>
      </c>
      <c r="E773" s="78" t="n">
        <f aca="false">D773*EXP(-01_Inputs!$C$20*01_Inputs!$C$22)</f>
        <v>0</v>
      </c>
      <c r="F773" s="80" t="n">
        <f aca="false">AVERAGE(E772:E773)</f>
        <v>20.8971349962568</v>
      </c>
    </row>
    <row r="774" customFormat="false" ht="15" hidden="false" customHeight="false" outlineLevel="0" collapsed="false">
      <c r="A774" s="76" t="n">
        <v>763</v>
      </c>
      <c r="B774" s="77" t="n">
        <v>-0.447318</v>
      </c>
      <c r="C774" s="78" t="n">
        <f aca="false">05_Unit_Economics!$B$15*EXP((01_Inputs!$C$20-01_Inputs!$C$21^2/2)*01_Inputs!$C$22+01_Inputs!$C$21*SQRT(01_Inputs!$C$22)*B774)</f>
        <v>46.2770440994911</v>
      </c>
      <c r="D774" s="78" t="n">
        <f aca="false">MAX(C774-05_Unit_Economics!$B$21,0)</f>
        <v>8.36943862498762</v>
      </c>
      <c r="E774" s="78" t="n">
        <f aca="false">D774*EXP(-01_Inputs!$C$20*01_Inputs!$C$22)</f>
        <v>8.00916741400967</v>
      </c>
      <c r="F774" s="79"/>
    </row>
    <row r="775" customFormat="false" ht="15" hidden="false" customHeight="false" outlineLevel="0" collapsed="false">
      <c r="A775" s="76" t="n">
        <v>764</v>
      </c>
      <c r="B775" s="77" t="n">
        <v>0.447318</v>
      </c>
      <c r="C775" s="78" t="n">
        <f aca="false">05_Unit_Economics!$B$15*EXP((01_Inputs!$C$20-01_Inputs!$C$21^2/2)*01_Inputs!$C$22+01_Inputs!$C$21*SQRT(01_Inputs!$C$22)*B775)</f>
        <v>63.2926133971219</v>
      </c>
      <c r="D775" s="78" t="n">
        <f aca="false">MAX(C775-05_Unit_Economics!$B$21,0)</f>
        <v>25.3850079226185</v>
      </c>
      <c r="E775" s="78" t="n">
        <f aca="false">D775*EXP(-01_Inputs!$C$20*01_Inputs!$C$22)</f>
        <v>24.2922837920344</v>
      </c>
      <c r="F775" s="80" t="n">
        <f aca="false">AVERAGE(E774:E775)</f>
        <v>16.150725603022</v>
      </c>
    </row>
    <row r="776" customFormat="false" ht="15" hidden="false" customHeight="false" outlineLevel="0" collapsed="false">
      <c r="A776" s="76" t="n">
        <v>765</v>
      </c>
      <c r="B776" s="77" t="n">
        <v>0.498406</v>
      </c>
      <c r="C776" s="78" t="n">
        <f aca="false">05_Unit_Economics!$B$15*EXP((01_Inputs!$C$20-01_Inputs!$C$21^2/2)*01_Inputs!$C$22+01_Inputs!$C$21*SQRT(01_Inputs!$C$22)*B776)</f>
        <v>64.4345145879817</v>
      </c>
      <c r="D776" s="78" t="n">
        <f aca="false">MAX(C776-05_Unit_Economics!$B$21,0)</f>
        <v>26.5269091134783</v>
      </c>
      <c r="E776" s="78" t="n">
        <f aca="false">D776*EXP(-01_Inputs!$C$20*01_Inputs!$C$22)</f>
        <v>25.3850306556708</v>
      </c>
      <c r="F776" s="79"/>
    </row>
    <row r="777" customFormat="false" ht="15" hidden="false" customHeight="false" outlineLevel="0" collapsed="false">
      <c r="A777" s="76" t="n">
        <v>766</v>
      </c>
      <c r="B777" s="77" t="n">
        <v>-0.498406</v>
      </c>
      <c r="C777" s="78" t="n">
        <f aca="false">05_Unit_Economics!$B$15*EXP((01_Inputs!$C$20-01_Inputs!$C$21^2/2)*01_Inputs!$C$22+01_Inputs!$C$21*SQRT(01_Inputs!$C$22)*B777)</f>
        <v>45.456927550083</v>
      </c>
      <c r="D777" s="78" t="n">
        <f aca="false">MAX(C777-05_Unit_Economics!$B$21,0)</f>
        <v>7.54932207557955</v>
      </c>
      <c r="E777" s="78" t="n">
        <f aca="false">D777*EXP(-01_Inputs!$C$20*01_Inputs!$C$22)</f>
        <v>7.22435363646448</v>
      </c>
      <c r="F777" s="80" t="n">
        <f aca="false">AVERAGE(E776:E777)</f>
        <v>16.3046921460677</v>
      </c>
    </row>
    <row r="778" customFormat="false" ht="15" hidden="false" customHeight="false" outlineLevel="0" collapsed="false">
      <c r="A778" s="76" t="n">
        <v>767</v>
      </c>
      <c r="B778" s="77" t="n">
        <v>1.986156</v>
      </c>
      <c r="C778" s="78" t="n">
        <f aca="false">05_Unit_Economics!$B$15*EXP((01_Inputs!$C$20-01_Inputs!$C$21^2/2)*01_Inputs!$C$22+01_Inputs!$C$21*SQRT(01_Inputs!$C$22)*B778)</f>
        <v>108.457883851031</v>
      </c>
      <c r="D778" s="78" t="n">
        <f aca="false">MAX(C778-05_Unit_Economics!$B$21,0)</f>
        <v>70.5502783765277</v>
      </c>
      <c r="E778" s="78" t="n">
        <f aca="false">D778*EXP(-01_Inputs!$C$20*01_Inputs!$C$22)</f>
        <v>67.5133680932433</v>
      </c>
      <c r="F778" s="79"/>
    </row>
    <row r="779" customFormat="false" ht="15" hidden="false" customHeight="false" outlineLevel="0" collapsed="false">
      <c r="A779" s="76" t="n">
        <v>768</v>
      </c>
      <c r="B779" s="77" t="n">
        <v>-1.986156</v>
      </c>
      <c r="C779" s="78" t="n">
        <f aca="false">05_Unit_Economics!$B$15*EXP((01_Inputs!$C$20-01_Inputs!$C$21^2/2)*01_Inputs!$C$22+01_Inputs!$C$21*SQRT(01_Inputs!$C$22)*B779)</f>
        <v>27.0058289665109</v>
      </c>
      <c r="D779" s="78" t="n">
        <f aca="false">MAX(C779-05_Unit_Economics!$B$21,0)</f>
        <v>0</v>
      </c>
      <c r="E779" s="78" t="n">
        <f aca="false">D779*EXP(-01_Inputs!$C$20*01_Inputs!$C$22)</f>
        <v>0</v>
      </c>
      <c r="F779" s="80" t="n">
        <f aca="false">AVERAGE(E778:E779)</f>
        <v>33.7566840466217</v>
      </c>
    </row>
    <row r="780" customFormat="false" ht="15" hidden="false" customHeight="false" outlineLevel="0" collapsed="false">
      <c r="A780" s="76" t="n">
        <v>769</v>
      </c>
      <c r="B780" s="77" t="n">
        <v>0.169325</v>
      </c>
      <c r="C780" s="78" t="n">
        <f aca="false">05_Unit_Economics!$B$15*EXP((01_Inputs!$C$20-01_Inputs!$C$21^2/2)*01_Inputs!$C$22+01_Inputs!$C$21*SQRT(01_Inputs!$C$22)*B780)</f>
        <v>57.4245022294708</v>
      </c>
      <c r="D780" s="78" t="n">
        <f aca="false">MAX(C780-05_Unit_Economics!$B$21,0)</f>
        <v>19.5168967549673</v>
      </c>
      <c r="E780" s="78" t="n">
        <f aca="false">D780*EXP(-01_Inputs!$C$20*01_Inputs!$C$22)</f>
        <v>18.6767715872588</v>
      </c>
      <c r="F780" s="79"/>
    </row>
    <row r="781" customFormat="false" ht="15" hidden="false" customHeight="false" outlineLevel="0" collapsed="false">
      <c r="A781" s="76" t="n">
        <v>770</v>
      </c>
      <c r="B781" s="77" t="n">
        <v>-0.169325</v>
      </c>
      <c r="C781" s="78" t="n">
        <f aca="false">05_Unit_Economics!$B$15*EXP((01_Inputs!$C$20-01_Inputs!$C$21^2/2)*01_Inputs!$C$22+01_Inputs!$C$21*SQRT(01_Inputs!$C$22)*B781)</f>
        <v>51.0060156837975</v>
      </c>
      <c r="D781" s="78" t="n">
        <f aca="false">MAX(C781-05_Unit_Economics!$B$21,0)</f>
        <v>13.098410209294</v>
      </c>
      <c r="E781" s="78" t="n">
        <f aca="false">D781*EXP(-01_Inputs!$C$20*01_Inputs!$C$22)</f>
        <v>12.5345754863893</v>
      </c>
      <c r="F781" s="80" t="n">
        <f aca="false">AVERAGE(E780:E781)</f>
        <v>15.6056735368241</v>
      </c>
    </row>
    <row r="782" customFormat="false" ht="15" hidden="false" customHeight="false" outlineLevel="0" collapsed="false">
      <c r="A782" s="76" t="n">
        <v>771</v>
      </c>
      <c r="B782" s="77" t="n">
        <v>-0.793372</v>
      </c>
      <c r="C782" s="78" t="n">
        <f aca="false">05_Unit_Economics!$B$15*EXP((01_Inputs!$C$20-01_Inputs!$C$21^2/2)*01_Inputs!$C$22+01_Inputs!$C$21*SQRT(01_Inputs!$C$22)*B782)</f>
        <v>40.9981576509702</v>
      </c>
      <c r="D782" s="78" t="n">
        <f aca="false">MAX(C782-05_Unit_Economics!$B$21,0)</f>
        <v>3.09055217646677</v>
      </c>
      <c r="E782" s="78" t="n">
        <f aca="false">D782*EXP(-01_Inputs!$C$20*01_Inputs!$C$22)</f>
        <v>2.95751613604681</v>
      </c>
      <c r="F782" s="79"/>
    </row>
    <row r="783" customFormat="false" ht="15" hidden="false" customHeight="false" outlineLevel="0" collapsed="false">
      <c r="A783" s="76" t="n">
        <v>772</v>
      </c>
      <c r="B783" s="77" t="n">
        <v>0.793372</v>
      </c>
      <c r="C783" s="78" t="n">
        <f aca="false">05_Unit_Economics!$B$15*EXP((01_Inputs!$C$20-01_Inputs!$C$21^2/2)*01_Inputs!$C$22+01_Inputs!$C$21*SQRT(01_Inputs!$C$22)*B783)</f>
        <v>71.4421142112306</v>
      </c>
      <c r="D783" s="78" t="n">
        <f aca="false">MAX(C783-05_Unit_Economics!$B$21,0)</f>
        <v>33.5345087367271</v>
      </c>
      <c r="E783" s="78" t="n">
        <f aca="false">D783*EXP(-01_Inputs!$C$20*01_Inputs!$C$22)</f>
        <v>32.0909808475255</v>
      </c>
      <c r="F783" s="80" t="n">
        <f aca="false">AVERAGE(E782:E783)</f>
        <v>17.5242484917861</v>
      </c>
    </row>
    <row r="784" customFormat="false" ht="15" hidden="false" customHeight="false" outlineLevel="0" collapsed="false">
      <c r="A784" s="76" t="n">
        <v>773</v>
      </c>
      <c r="B784" s="77" t="n">
        <v>-0.624866</v>
      </c>
      <c r="C784" s="78" t="n">
        <f aca="false">05_Unit_Economics!$B$15*EXP((01_Inputs!$C$20-01_Inputs!$C$21^2/2)*01_Inputs!$C$22+01_Inputs!$C$21*SQRT(01_Inputs!$C$22)*B784)</f>
        <v>43.4888346463945</v>
      </c>
      <c r="D784" s="78" t="n">
        <f aca="false">MAX(C784-05_Unit_Economics!$B$21,0)</f>
        <v>5.581229171891</v>
      </c>
      <c r="E784" s="78" t="n">
        <f aca="false">D784*EXP(-01_Inputs!$C$20*01_Inputs!$C$22)</f>
        <v>5.3409793436051</v>
      </c>
      <c r="F784" s="79"/>
    </row>
    <row r="785" customFormat="false" ht="15" hidden="false" customHeight="false" outlineLevel="0" collapsed="false">
      <c r="A785" s="76" t="n">
        <v>774</v>
      </c>
      <c r="B785" s="77" t="n">
        <v>0.624866</v>
      </c>
      <c r="C785" s="78" t="n">
        <f aca="false">05_Unit_Economics!$B$15*EXP((01_Inputs!$C$20-01_Inputs!$C$21^2/2)*01_Inputs!$C$22+01_Inputs!$C$21*SQRT(01_Inputs!$C$22)*B785)</f>
        <v>67.350506978772</v>
      </c>
      <c r="D785" s="78" t="n">
        <f aca="false">MAX(C785-05_Unit_Economics!$B$21,0)</f>
        <v>29.4429015042685</v>
      </c>
      <c r="E785" s="78" t="n">
        <f aca="false">D785*EXP(-01_Inputs!$C$20*01_Inputs!$C$22)</f>
        <v>28.1755011139989</v>
      </c>
      <c r="F785" s="80" t="n">
        <f aca="false">AVERAGE(E784:E785)</f>
        <v>16.758240228802</v>
      </c>
    </row>
    <row r="786" customFormat="false" ht="15" hidden="false" customHeight="false" outlineLevel="0" collapsed="false">
      <c r="A786" s="76" t="n">
        <v>775</v>
      </c>
      <c r="B786" s="77" t="n">
        <v>-0.633641</v>
      </c>
      <c r="C786" s="78" t="n">
        <f aca="false">05_Unit_Economics!$B$15*EXP((01_Inputs!$C$20-01_Inputs!$C$21^2/2)*01_Inputs!$C$22+01_Inputs!$C$21*SQRT(01_Inputs!$C$22)*B786)</f>
        <v>43.3554744590519</v>
      </c>
      <c r="D786" s="78" t="n">
        <f aca="false">MAX(C786-05_Unit_Economics!$B$21,0)</f>
        <v>5.44786898454844</v>
      </c>
      <c r="E786" s="78" t="n">
        <f aca="false">D786*EXP(-01_Inputs!$C$20*01_Inputs!$C$22)</f>
        <v>5.2133597845583</v>
      </c>
      <c r="F786" s="79"/>
    </row>
    <row r="787" customFormat="false" ht="15" hidden="false" customHeight="false" outlineLevel="0" collapsed="false">
      <c r="A787" s="76" t="n">
        <v>776</v>
      </c>
      <c r="B787" s="77" t="n">
        <v>0.633641</v>
      </c>
      <c r="C787" s="78" t="n">
        <f aca="false">05_Unit_Economics!$B$15*EXP((01_Inputs!$C$20-01_Inputs!$C$21^2/2)*01_Inputs!$C$22+01_Inputs!$C$21*SQRT(01_Inputs!$C$22)*B787)</f>
        <v>67.5576751931757</v>
      </c>
      <c r="D787" s="78" t="n">
        <f aca="false">MAX(C787-05_Unit_Economics!$B$21,0)</f>
        <v>29.6500697186722</v>
      </c>
      <c r="E787" s="78" t="n">
        <f aca="false">D787*EXP(-01_Inputs!$C$20*01_Inputs!$C$22)</f>
        <v>28.3737515566351</v>
      </c>
      <c r="F787" s="80" t="n">
        <f aca="false">AVERAGE(E786:E787)</f>
        <v>16.7935556705967</v>
      </c>
    </row>
    <row r="788" customFormat="false" ht="15" hidden="false" customHeight="false" outlineLevel="0" collapsed="false">
      <c r="A788" s="76" t="n">
        <v>777</v>
      </c>
      <c r="B788" s="77" t="n">
        <v>0.305628</v>
      </c>
      <c r="C788" s="78" t="n">
        <f aca="false">05_Unit_Economics!$B$15*EXP((01_Inputs!$C$20-01_Inputs!$C$21^2/2)*01_Inputs!$C$22+01_Inputs!$C$21*SQRT(01_Inputs!$C$22)*B788)</f>
        <v>60.2303953086675</v>
      </c>
      <c r="D788" s="78" t="n">
        <f aca="false">MAX(C788-05_Unit_Economics!$B$21,0)</f>
        <v>22.322789834164</v>
      </c>
      <c r="E788" s="78" t="n">
        <f aca="false">D788*EXP(-01_Inputs!$C$20*01_Inputs!$C$22)</f>
        <v>21.3618820736424</v>
      </c>
      <c r="F788" s="79"/>
    </row>
    <row r="789" customFormat="false" ht="15" hidden="false" customHeight="false" outlineLevel="0" collapsed="false">
      <c r="A789" s="76" t="n">
        <v>778</v>
      </c>
      <c r="B789" s="77" t="n">
        <v>-0.305628</v>
      </c>
      <c r="C789" s="78" t="n">
        <f aca="false">05_Unit_Economics!$B$15*EXP((01_Inputs!$C$20-01_Inputs!$C$21^2/2)*01_Inputs!$C$22+01_Inputs!$C$21*SQRT(01_Inputs!$C$22)*B789)</f>
        <v>48.6298495359394</v>
      </c>
      <c r="D789" s="78" t="n">
        <f aca="false">MAX(C789-05_Unit_Economics!$B$21,0)</f>
        <v>10.7222440614359</v>
      </c>
      <c r="E789" s="78" t="n">
        <f aca="false">D789*EXP(-01_Inputs!$C$20*01_Inputs!$C$22)</f>
        <v>10.260693887583</v>
      </c>
      <c r="F789" s="80" t="n">
        <f aca="false">AVERAGE(E788:E789)</f>
        <v>15.8112879806127</v>
      </c>
    </row>
    <row r="790" customFormat="false" ht="15" hidden="false" customHeight="false" outlineLevel="0" collapsed="false">
      <c r="A790" s="76" t="n">
        <v>779</v>
      </c>
      <c r="B790" s="77" t="n">
        <v>0.865447</v>
      </c>
      <c r="C790" s="78" t="n">
        <f aca="false">05_Unit_Economics!$B$15*EXP((01_Inputs!$C$20-01_Inputs!$C$21^2/2)*01_Inputs!$C$22+01_Inputs!$C$21*SQRT(01_Inputs!$C$22)*B790)</f>
        <v>73.2672547843032</v>
      </c>
      <c r="D790" s="78" t="n">
        <f aca="false">MAX(C790-05_Unit_Economics!$B$21,0)</f>
        <v>35.3596493097997</v>
      </c>
      <c r="E790" s="78" t="n">
        <f aca="false">D790*EXP(-01_Inputs!$C$20*01_Inputs!$C$22)</f>
        <v>33.8375563418719</v>
      </c>
      <c r="F790" s="79"/>
    </row>
    <row r="791" customFormat="false" ht="15" hidden="false" customHeight="false" outlineLevel="0" collapsed="false">
      <c r="A791" s="76" t="n">
        <v>780</v>
      </c>
      <c r="B791" s="77" t="n">
        <v>-0.865447</v>
      </c>
      <c r="C791" s="78" t="n">
        <f aca="false">05_Unit_Economics!$B$15*EXP((01_Inputs!$C$20-01_Inputs!$C$21^2/2)*01_Inputs!$C$22+01_Inputs!$C$21*SQRT(01_Inputs!$C$22)*B791)</f>
        <v>39.9768637432033</v>
      </c>
      <c r="D791" s="78" t="n">
        <f aca="false">MAX(C791-05_Unit_Economics!$B$21,0)</f>
        <v>2.06925826869986</v>
      </c>
      <c r="E791" s="78" t="n">
        <f aca="false">D791*EXP(-01_Inputs!$C$20*01_Inputs!$C$22)</f>
        <v>1.98018488926616</v>
      </c>
      <c r="F791" s="80" t="n">
        <f aca="false">AVERAGE(E790:E791)</f>
        <v>17.908870615569</v>
      </c>
    </row>
    <row r="792" customFormat="false" ht="15" hidden="false" customHeight="false" outlineLevel="0" collapsed="false">
      <c r="A792" s="76" t="n">
        <v>781</v>
      </c>
      <c r="B792" s="77" t="n">
        <v>-1.182788</v>
      </c>
      <c r="C792" s="78" t="n">
        <f aca="false">05_Unit_Economics!$B$15*EXP((01_Inputs!$C$20-01_Inputs!$C$21^2/2)*01_Inputs!$C$22+01_Inputs!$C$21*SQRT(01_Inputs!$C$22)*B792)</f>
        <v>35.7743633863189</v>
      </c>
      <c r="D792" s="78" t="n">
        <f aca="false">MAX(C792-05_Unit_Economics!$B$21,0)</f>
        <v>0</v>
      </c>
      <c r="E792" s="78" t="n">
        <f aca="false">D792*EXP(-01_Inputs!$C$20*01_Inputs!$C$22)</f>
        <v>0</v>
      </c>
      <c r="F792" s="79"/>
    </row>
    <row r="793" customFormat="false" ht="15" hidden="false" customHeight="false" outlineLevel="0" collapsed="false">
      <c r="A793" s="76" t="n">
        <v>782</v>
      </c>
      <c r="B793" s="77" t="n">
        <v>1.182788</v>
      </c>
      <c r="C793" s="78" t="n">
        <f aca="false">05_Unit_Economics!$B$15*EXP((01_Inputs!$C$20-01_Inputs!$C$21^2/2)*01_Inputs!$C$22+01_Inputs!$C$21*SQRT(01_Inputs!$C$22)*B793)</f>
        <v>81.8741351095791</v>
      </c>
      <c r="D793" s="78" t="n">
        <f aca="false">MAX(C793-05_Unit_Economics!$B$21,0)</f>
        <v>43.9665296350756</v>
      </c>
      <c r="E793" s="78" t="n">
        <f aca="false">D793*EXP(-01_Inputs!$C$20*01_Inputs!$C$22)</f>
        <v>42.0739445306416</v>
      </c>
      <c r="F793" s="80" t="n">
        <f aca="false">AVERAGE(E792:E793)</f>
        <v>21.0369722653208</v>
      </c>
    </row>
    <row r="794" customFormat="false" ht="15" hidden="false" customHeight="false" outlineLevel="0" collapsed="false">
      <c r="A794" s="76" t="n">
        <v>783</v>
      </c>
      <c r="B794" s="77" t="n">
        <v>-2.105044</v>
      </c>
      <c r="C794" s="78" t="n">
        <f aca="false">05_Unit_Economics!$B$15*EXP((01_Inputs!$C$20-01_Inputs!$C$21^2/2)*01_Inputs!$C$22+01_Inputs!$C$21*SQRT(01_Inputs!$C$22)*B794)</f>
        <v>25.9051536193267</v>
      </c>
      <c r="D794" s="78" t="n">
        <f aca="false">MAX(C794-05_Unit_Economics!$B$21,0)</f>
        <v>0</v>
      </c>
      <c r="E794" s="78" t="n">
        <f aca="false">D794*EXP(-01_Inputs!$C$20*01_Inputs!$C$22)</f>
        <v>0</v>
      </c>
      <c r="F794" s="79"/>
    </row>
    <row r="795" customFormat="false" ht="15" hidden="false" customHeight="false" outlineLevel="0" collapsed="false">
      <c r="A795" s="76" t="n">
        <v>784</v>
      </c>
      <c r="B795" s="77" t="n">
        <v>2.105044</v>
      </c>
      <c r="C795" s="78" t="n">
        <f aca="false">05_Unit_Economics!$B$15*EXP((01_Inputs!$C$20-01_Inputs!$C$21^2/2)*01_Inputs!$C$22+01_Inputs!$C$21*SQRT(01_Inputs!$C$22)*B795)</f>
        <v>113.066114348979</v>
      </c>
      <c r="D795" s="78" t="n">
        <f aca="false">MAX(C795-05_Unit_Economics!$B$21,0)</f>
        <v>75.1585088744753</v>
      </c>
      <c r="E795" s="78" t="n">
        <f aca="false">D795*EXP(-01_Inputs!$C$20*01_Inputs!$C$22)</f>
        <v>71.9232325052022</v>
      </c>
      <c r="F795" s="80" t="n">
        <f aca="false">AVERAGE(E794:E795)</f>
        <v>35.9616162526011</v>
      </c>
    </row>
    <row r="796" customFormat="false" ht="15" hidden="false" customHeight="false" outlineLevel="0" collapsed="false">
      <c r="A796" s="76" t="n">
        <v>785</v>
      </c>
      <c r="B796" s="77" t="n">
        <v>0.432393</v>
      </c>
      <c r="C796" s="78" t="n">
        <f aca="false">05_Unit_Economics!$B$15*EXP((01_Inputs!$C$20-01_Inputs!$C$21^2/2)*01_Inputs!$C$22+01_Inputs!$C$21*SQRT(01_Inputs!$C$22)*B796)</f>
        <v>62.9628506568142</v>
      </c>
      <c r="D796" s="78" t="n">
        <f aca="false">MAX(C796-05_Unit_Economics!$B$21,0)</f>
        <v>25.0552451823107</v>
      </c>
      <c r="E796" s="78" t="n">
        <f aca="false">D796*EXP(-01_Inputs!$C$20*01_Inputs!$C$22)</f>
        <v>23.9767160326698</v>
      </c>
      <c r="F796" s="79"/>
    </row>
    <row r="797" customFormat="false" ht="15" hidden="false" customHeight="false" outlineLevel="0" collapsed="false">
      <c r="A797" s="76" t="n">
        <v>786</v>
      </c>
      <c r="B797" s="77" t="n">
        <v>-0.432393</v>
      </c>
      <c r="C797" s="78" t="n">
        <f aca="false">05_Unit_Economics!$B$15*EXP((01_Inputs!$C$20-01_Inputs!$C$21^2/2)*01_Inputs!$C$22+01_Inputs!$C$21*SQRT(01_Inputs!$C$22)*B797)</f>
        <v>46.5194163033604</v>
      </c>
      <c r="D797" s="78" t="n">
        <f aca="false">MAX(C797-05_Unit_Economics!$B$21,0)</f>
        <v>8.61181082885697</v>
      </c>
      <c r="E797" s="78" t="n">
        <f aca="false">D797*EXP(-01_Inputs!$C$20*01_Inputs!$C$22)</f>
        <v>8.24110645368392</v>
      </c>
      <c r="F797" s="80" t="n">
        <f aca="false">AVERAGE(E796:E797)</f>
        <v>16.1089112431768</v>
      </c>
    </row>
    <row r="798" customFormat="false" ht="15" hidden="false" customHeight="false" outlineLevel="0" collapsed="false">
      <c r="A798" s="76" t="n">
        <v>787</v>
      </c>
      <c r="B798" s="77" t="n">
        <v>-0.139435</v>
      </c>
      <c r="C798" s="78" t="n">
        <f aca="false">05_Unit_Economics!$B$15*EXP((01_Inputs!$C$20-01_Inputs!$C$21^2/2)*01_Inputs!$C$22+01_Inputs!$C$21*SQRT(01_Inputs!$C$22)*B798)</f>
        <v>51.5424160007361</v>
      </c>
      <c r="D798" s="78" t="n">
        <f aca="false">MAX(C798-05_Unit_Economics!$B$21,0)</f>
        <v>13.6348105262326</v>
      </c>
      <c r="E798" s="78" t="n">
        <f aca="false">D798*EXP(-01_Inputs!$C$20*01_Inputs!$C$22)</f>
        <v>13.0478858924735</v>
      </c>
      <c r="F798" s="79"/>
    </row>
    <row r="799" customFormat="false" ht="15" hidden="false" customHeight="false" outlineLevel="0" collapsed="false">
      <c r="A799" s="76" t="n">
        <v>788</v>
      </c>
      <c r="B799" s="77" t="n">
        <v>0.139435</v>
      </c>
      <c r="C799" s="78" t="n">
        <f aca="false">05_Unit_Economics!$B$15*EXP((01_Inputs!$C$20-01_Inputs!$C$21^2/2)*01_Inputs!$C$22+01_Inputs!$C$21*SQRT(01_Inputs!$C$22)*B799)</f>
        <v>56.826887224472</v>
      </c>
      <c r="D799" s="78" t="n">
        <f aca="false">MAX(C799-05_Unit_Economics!$B$21,0)</f>
        <v>18.9192817499685</v>
      </c>
      <c r="E799" s="78" t="n">
        <f aca="false">D799*EXP(-01_Inputs!$C$20*01_Inputs!$C$22)</f>
        <v>18.10488154318</v>
      </c>
      <c r="F799" s="80" t="n">
        <f aca="false">AVERAGE(E798:E799)</f>
        <v>15.5763837178267</v>
      </c>
    </row>
    <row r="800" customFormat="false" ht="15" hidden="false" customHeight="false" outlineLevel="0" collapsed="false">
      <c r="A800" s="76" t="n">
        <v>789</v>
      </c>
      <c r="B800" s="77" t="n">
        <v>0.213136</v>
      </c>
      <c r="C800" s="78" t="n">
        <f aca="false">05_Unit_Economics!$B$15*EXP((01_Inputs!$C$20-01_Inputs!$C$21^2/2)*01_Inputs!$C$22+01_Inputs!$C$21*SQRT(01_Inputs!$C$22)*B800)</f>
        <v>58.3118265962647</v>
      </c>
      <c r="D800" s="78" t="n">
        <f aca="false">MAX(C800-05_Unit_Economics!$B$21,0)</f>
        <v>20.4042211217613</v>
      </c>
      <c r="E800" s="78" t="n">
        <f aca="false">D800*EXP(-01_Inputs!$C$20*01_Inputs!$C$22)</f>
        <v>19.5259001516246</v>
      </c>
      <c r="F800" s="79"/>
    </row>
    <row r="801" customFormat="false" ht="15" hidden="false" customHeight="false" outlineLevel="0" collapsed="false">
      <c r="A801" s="76" t="n">
        <v>790</v>
      </c>
      <c r="B801" s="77" t="n">
        <v>-0.213136</v>
      </c>
      <c r="C801" s="78" t="n">
        <f aca="false">05_Unit_Economics!$B$15*EXP((01_Inputs!$C$20-01_Inputs!$C$21^2/2)*01_Inputs!$C$22+01_Inputs!$C$21*SQRT(01_Inputs!$C$22)*B801)</f>
        <v>50.2298630024098</v>
      </c>
      <c r="D801" s="78" t="n">
        <f aca="false">MAX(C801-05_Unit_Economics!$B$21,0)</f>
        <v>12.3222575279063</v>
      </c>
      <c r="E801" s="78" t="n">
        <f aca="false">D801*EXP(-01_Inputs!$C$20*01_Inputs!$C$22)</f>
        <v>11.791833106332</v>
      </c>
      <c r="F801" s="80" t="n">
        <f aca="false">AVERAGE(E800:E801)</f>
        <v>15.6588666289783</v>
      </c>
    </row>
    <row r="802" customFormat="false" ht="15" hidden="false" customHeight="false" outlineLevel="0" collapsed="false">
      <c r="A802" s="76" t="n">
        <v>791</v>
      </c>
      <c r="B802" s="77" t="n">
        <v>-0.455748</v>
      </c>
      <c r="C802" s="78" t="n">
        <f aca="false">05_Unit_Economics!$B$15*EXP((01_Inputs!$C$20-01_Inputs!$C$21^2/2)*01_Inputs!$C$22+01_Inputs!$C$21*SQRT(01_Inputs!$C$22)*B802)</f>
        <v>46.1407049141665</v>
      </c>
      <c r="D802" s="78" t="n">
        <f aca="false">MAX(C802-05_Unit_Economics!$B$21,0)</f>
        <v>8.23309943966304</v>
      </c>
      <c r="E802" s="78" t="n">
        <f aca="false">D802*EXP(-01_Inputs!$C$20*01_Inputs!$C$22)</f>
        <v>7.87869709105467</v>
      </c>
      <c r="F802" s="79"/>
    </row>
    <row r="803" customFormat="false" ht="15" hidden="false" customHeight="false" outlineLevel="0" collapsed="false">
      <c r="A803" s="76" t="n">
        <v>792</v>
      </c>
      <c r="B803" s="77" t="n">
        <v>0.455748</v>
      </c>
      <c r="C803" s="78" t="n">
        <f aca="false">05_Unit_Economics!$B$15*EXP((01_Inputs!$C$20-01_Inputs!$C$21^2/2)*01_Inputs!$C$22+01_Inputs!$C$21*SQRT(01_Inputs!$C$22)*B803)</f>
        <v>63.4796340194484</v>
      </c>
      <c r="D803" s="78" t="n">
        <f aca="false">MAX(C803-05_Unit_Economics!$B$21,0)</f>
        <v>25.5720285449449</v>
      </c>
      <c r="E803" s="78" t="n">
        <f aca="false">D803*EXP(-01_Inputs!$C$20*01_Inputs!$C$22)</f>
        <v>24.4712539166987</v>
      </c>
      <c r="F803" s="80" t="n">
        <f aca="false">AVERAGE(E802:E803)</f>
        <v>16.1749755038767</v>
      </c>
    </row>
    <row r="804" customFormat="false" ht="15" hidden="false" customHeight="false" outlineLevel="0" collapsed="false">
      <c r="A804" s="76" t="n">
        <v>793</v>
      </c>
      <c r="B804" s="77" t="n">
        <v>2.062215</v>
      </c>
      <c r="C804" s="78" t="n">
        <f aca="false">05_Unit_Economics!$B$15*EXP((01_Inputs!$C$20-01_Inputs!$C$21^2/2)*01_Inputs!$C$22+01_Inputs!$C$21*SQRT(01_Inputs!$C$22)*B804)</f>
        <v>111.383876335483</v>
      </c>
      <c r="D804" s="78" t="n">
        <f aca="false">MAX(C804-05_Unit_Economics!$B$21,0)</f>
        <v>73.4762708609792</v>
      </c>
      <c r="E804" s="78" t="n">
        <f aca="false">D804*EXP(-01_Inputs!$C$20*01_Inputs!$C$22)</f>
        <v>70.3134081807756</v>
      </c>
      <c r="F804" s="79"/>
    </row>
    <row r="805" customFormat="false" ht="15" hidden="false" customHeight="false" outlineLevel="0" collapsed="false">
      <c r="A805" s="76" t="n">
        <v>794</v>
      </c>
      <c r="B805" s="77" t="n">
        <v>-2.062215</v>
      </c>
      <c r="C805" s="78" t="n">
        <f aca="false">05_Unit_Economics!$B$15*EXP((01_Inputs!$C$20-01_Inputs!$C$21^2/2)*01_Inputs!$C$22+01_Inputs!$C$21*SQRT(01_Inputs!$C$22)*B805)</f>
        <v>26.2964008590316</v>
      </c>
      <c r="D805" s="78" t="n">
        <f aca="false">MAX(C805-05_Unit_Economics!$B$21,0)</f>
        <v>0</v>
      </c>
      <c r="E805" s="78" t="n">
        <f aca="false">D805*EXP(-01_Inputs!$C$20*01_Inputs!$C$22)</f>
        <v>0</v>
      </c>
      <c r="F805" s="80" t="n">
        <f aca="false">AVERAGE(E804:E805)</f>
        <v>35.1567040903878</v>
      </c>
    </row>
    <row r="806" customFormat="false" ht="15" hidden="false" customHeight="false" outlineLevel="0" collapsed="false">
      <c r="A806" s="76" t="n">
        <v>795</v>
      </c>
      <c r="B806" s="77" t="n">
        <v>0.032921</v>
      </c>
      <c r="C806" s="78" t="n">
        <f aca="false">05_Unit_Economics!$B$15*EXP((01_Inputs!$C$20-01_Inputs!$C$21^2/2)*01_Inputs!$C$22+01_Inputs!$C$21*SQRT(01_Inputs!$C$22)*B806)</f>
        <v>54.7473891254144</v>
      </c>
      <c r="D806" s="78" t="n">
        <f aca="false">MAX(C806-05_Unit_Economics!$B$21,0)</f>
        <v>16.8397836509109</v>
      </c>
      <c r="E806" s="78" t="n">
        <f aca="false">D806*EXP(-01_Inputs!$C$20*01_Inputs!$C$22)</f>
        <v>16.1148976077291</v>
      </c>
      <c r="F806" s="79"/>
    </row>
    <row r="807" customFormat="false" ht="15" hidden="false" customHeight="false" outlineLevel="0" collapsed="false">
      <c r="A807" s="76" t="n">
        <v>796</v>
      </c>
      <c r="B807" s="77" t="n">
        <v>-0.032921</v>
      </c>
      <c r="C807" s="78" t="n">
        <f aca="false">05_Unit_Economics!$B$15*EXP((01_Inputs!$C$20-01_Inputs!$C$21^2/2)*01_Inputs!$C$22+01_Inputs!$C$21*SQRT(01_Inputs!$C$22)*B807)</f>
        <v>53.5001779653996</v>
      </c>
      <c r="D807" s="78" t="n">
        <f aca="false">MAX(C807-05_Unit_Economics!$B$21,0)</f>
        <v>15.5925724908961</v>
      </c>
      <c r="E807" s="78" t="n">
        <f aca="false">D807*EXP(-01_Inputs!$C$20*01_Inputs!$C$22)</f>
        <v>14.9213739523484</v>
      </c>
      <c r="F807" s="80" t="n">
        <f aca="false">AVERAGE(E806:E807)</f>
        <v>15.5181357800388</v>
      </c>
    </row>
    <row r="808" customFormat="false" ht="15" hidden="false" customHeight="false" outlineLevel="0" collapsed="false">
      <c r="A808" s="76" t="n">
        <v>797</v>
      </c>
      <c r="B808" s="77" t="n">
        <v>0.894789</v>
      </c>
      <c r="C808" s="78" t="n">
        <f aca="false">05_Unit_Economics!$B$15*EXP((01_Inputs!$C$20-01_Inputs!$C$21^2/2)*01_Inputs!$C$22+01_Inputs!$C$21*SQRT(01_Inputs!$C$22)*B808)</f>
        <v>74.0235644000781</v>
      </c>
      <c r="D808" s="78" t="n">
        <f aca="false">MAX(C808-05_Unit_Economics!$B$21,0)</f>
        <v>36.1159589255747</v>
      </c>
      <c r="E808" s="78" t="n">
        <f aca="false">D808*EXP(-01_Inputs!$C$20*01_Inputs!$C$22)</f>
        <v>34.5613098217627</v>
      </c>
      <c r="F808" s="79"/>
    </row>
    <row r="809" customFormat="false" ht="15" hidden="false" customHeight="false" outlineLevel="0" collapsed="false">
      <c r="A809" s="76" t="n">
        <v>798</v>
      </c>
      <c r="B809" s="77" t="n">
        <v>-0.894789</v>
      </c>
      <c r="C809" s="78" t="n">
        <f aca="false">05_Unit_Economics!$B$15*EXP((01_Inputs!$C$20-01_Inputs!$C$21^2/2)*01_Inputs!$C$22+01_Inputs!$C$21*SQRT(01_Inputs!$C$22)*B809)</f>
        <v>39.5684142622503</v>
      </c>
      <c r="D809" s="78" t="n">
        <f aca="false">MAX(C809-05_Unit_Economics!$B$21,0)</f>
        <v>1.66080878774679</v>
      </c>
      <c r="E809" s="78" t="n">
        <f aca="false">D809*EXP(-01_Inputs!$C$20*01_Inputs!$C$22)</f>
        <v>1.5893175420403</v>
      </c>
      <c r="F809" s="80" t="n">
        <f aca="false">AVERAGE(E808:E809)</f>
        <v>18.0753136819015</v>
      </c>
    </row>
    <row r="810" customFormat="false" ht="15" hidden="false" customHeight="false" outlineLevel="0" collapsed="false">
      <c r="A810" s="76" t="n">
        <v>799</v>
      </c>
      <c r="B810" s="77" t="n">
        <v>-0.855261</v>
      </c>
      <c r="C810" s="78" t="n">
        <f aca="false">05_Unit_Economics!$B$15*EXP((01_Inputs!$C$20-01_Inputs!$C$21^2/2)*01_Inputs!$C$22+01_Inputs!$C$21*SQRT(01_Inputs!$C$22)*B810)</f>
        <v>40.1196396140401</v>
      </c>
      <c r="D810" s="78" t="n">
        <f aca="false">MAX(C810-05_Unit_Economics!$B$21,0)</f>
        <v>2.21203413953665</v>
      </c>
      <c r="E810" s="78" t="n">
        <f aca="false">D810*EXP(-01_Inputs!$C$20*01_Inputs!$C$22)</f>
        <v>2.11681482389508</v>
      </c>
      <c r="F810" s="79"/>
    </row>
    <row r="811" customFormat="false" ht="15" hidden="false" customHeight="false" outlineLevel="0" collapsed="false">
      <c r="A811" s="76" t="n">
        <v>800</v>
      </c>
      <c r="B811" s="77" t="n">
        <v>0.855261</v>
      </c>
      <c r="C811" s="78" t="n">
        <f aca="false">05_Unit_Economics!$B$15*EXP((01_Inputs!$C$20-01_Inputs!$C$21^2/2)*01_Inputs!$C$22+01_Inputs!$C$21*SQRT(01_Inputs!$C$22)*B811)</f>
        <v>73.006514752581</v>
      </c>
      <c r="D811" s="78" t="n">
        <f aca="false">MAX(C811-05_Unit_Economics!$B$21,0)</f>
        <v>35.0989092780775</v>
      </c>
      <c r="E811" s="78" t="n">
        <f aca="false">D811*EXP(-01_Inputs!$C$20*01_Inputs!$C$22)</f>
        <v>33.5880401366437</v>
      </c>
      <c r="F811" s="80" t="n">
        <f aca="false">AVERAGE(E810:E811)</f>
        <v>17.8524274802694</v>
      </c>
    </row>
    <row r="812" customFormat="false" ht="15" hidden="false" customHeight="false" outlineLevel="0" collapsed="false">
      <c r="A812" s="76" t="n">
        <v>801</v>
      </c>
      <c r="B812" s="77" t="n">
        <v>-0.025658</v>
      </c>
      <c r="C812" s="78" t="n">
        <f aca="false">05_Unit_Economics!$B$15*EXP((01_Inputs!$C$20-01_Inputs!$C$21^2/2)*01_Inputs!$C$22+01_Inputs!$C$21*SQRT(01_Inputs!$C$22)*B812)</f>
        <v>53.6363510989242</v>
      </c>
      <c r="D812" s="78" t="n">
        <f aca="false">MAX(C812-05_Unit_Economics!$B$21,0)</f>
        <v>15.7287456244207</v>
      </c>
      <c r="E812" s="78" t="n">
        <f aca="false">D812*EXP(-01_Inputs!$C$20*01_Inputs!$C$22)</f>
        <v>15.0516853713762</v>
      </c>
      <c r="F812" s="79"/>
    </row>
    <row r="813" customFormat="false" ht="15" hidden="false" customHeight="false" outlineLevel="0" collapsed="false">
      <c r="A813" s="76" t="n">
        <v>802</v>
      </c>
      <c r="B813" s="77" t="n">
        <v>0.025658</v>
      </c>
      <c r="C813" s="78" t="n">
        <f aca="false">05_Unit_Economics!$B$15*EXP((01_Inputs!$C$20-01_Inputs!$C$21^2/2)*01_Inputs!$C$22+01_Inputs!$C$21*SQRT(01_Inputs!$C$22)*B813)</f>
        <v>54.6083952644087</v>
      </c>
      <c r="D813" s="78" t="n">
        <f aca="false">MAX(C813-05_Unit_Economics!$B$21,0)</f>
        <v>16.7007897899052</v>
      </c>
      <c r="E813" s="78" t="n">
        <f aca="false">D813*EXP(-01_Inputs!$C$20*01_Inputs!$C$22)</f>
        <v>15.9818868823753</v>
      </c>
      <c r="F813" s="80" t="n">
        <f aca="false">AVERAGE(E812:E813)</f>
        <v>15.5167861268758</v>
      </c>
    </row>
    <row r="814" customFormat="false" ht="15" hidden="false" customHeight="false" outlineLevel="0" collapsed="false">
      <c r="A814" s="76" t="n">
        <v>803</v>
      </c>
      <c r="B814" s="77" t="n">
        <v>0.738936</v>
      </c>
      <c r="C814" s="78" t="n">
        <f aca="false">05_Unit_Economics!$B$15*EXP((01_Inputs!$C$20-01_Inputs!$C$21^2/2)*01_Inputs!$C$22+01_Inputs!$C$21*SQRT(01_Inputs!$C$22)*B814)</f>
        <v>70.0938410260468</v>
      </c>
      <c r="D814" s="78" t="n">
        <f aca="false">MAX(C814-05_Unit_Economics!$B$21,0)</f>
        <v>32.1862355515434</v>
      </c>
      <c r="E814" s="78" t="n">
        <f aca="false">D814*EXP(-01_Inputs!$C$20*01_Inputs!$C$22)</f>
        <v>30.8007454872091</v>
      </c>
      <c r="F814" s="79"/>
    </row>
    <row r="815" customFormat="false" ht="15" hidden="false" customHeight="false" outlineLevel="0" collapsed="false">
      <c r="A815" s="76" t="n">
        <v>804</v>
      </c>
      <c r="B815" s="77" t="n">
        <v>-0.738936</v>
      </c>
      <c r="C815" s="78" t="n">
        <f aca="false">05_Unit_Economics!$B$15*EXP((01_Inputs!$C$20-01_Inputs!$C$21^2/2)*01_Inputs!$C$22+01_Inputs!$C$21*SQRT(01_Inputs!$C$22)*B815)</f>
        <v>41.7867678311742</v>
      </c>
      <c r="D815" s="78" t="n">
        <f aca="false">MAX(C815-05_Unit_Economics!$B$21,0)</f>
        <v>3.87916235667073</v>
      </c>
      <c r="E815" s="78" t="n">
        <f aca="false">D815*EXP(-01_Inputs!$C$20*01_Inputs!$C$22)</f>
        <v>3.71217976889652</v>
      </c>
      <c r="F815" s="80" t="n">
        <f aca="false">AVERAGE(E814:E815)</f>
        <v>17.2564626280528</v>
      </c>
    </row>
    <row r="816" customFormat="false" ht="15" hidden="false" customHeight="false" outlineLevel="0" collapsed="false">
      <c r="A816" s="76" t="n">
        <v>805</v>
      </c>
      <c r="B816" s="77" t="n">
        <v>-1.437372</v>
      </c>
      <c r="C816" s="78" t="n">
        <f aca="false">05_Unit_Economics!$B$15*EXP((01_Inputs!$C$20-01_Inputs!$C$21^2/2)*01_Inputs!$C$22+01_Inputs!$C$21*SQRT(01_Inputs!$C$22)*B816)</f>
        <v>32.7246013646905</v>
      </c>
      <c r="D816" s="78" t="n">
        <f aca="false">MAX(C816-05_Unit_Economics!$B$21,0)</f>
        <v>0</v>
      </c>
      <c r="E816" s="78" t="n">
        <f aca="false">D816*EXP(-01_Inputs!$C$20*01_Inputs!$C$22)</f>
        <v>0</v>
      </c>
      <c r="F816" s="79"/>
    </row>
    <row r="817" customFormat="false" ht="15" hidden="false" customHeight="false" outlineLevel="0" collapsed="false">
      <c r="A817" s="76" t="n">
        <v>806</v>
      </c>
      <c r="B817" s="77" t="n">
        <v>1.437372</v>
      </c>
      <c r="C817" s="78" t="n">
        <f aca="false">05_Unit_Economics!$B$15*EXP((01_Inputs!$C$20-01_Inputs!$C$21^2/2)*01_Inputs!$C$22+01_Inputs!$C$21*SQRT(01_Inputs!$C$22)*B817)</f>
        <v>89.5043771109465</v>
      </c>
      <c r="D817" s="78" t="n">
        <f aca="false">MAX(C817-05_Unit_Economics!$B$21,0)</f>
        <v>51.596771636443</v>
      </c>
      <c r="E817" s="78" t="n">
        <f aca="false">D817*EXP(-01_Inputs!$C$20*01_Inputs!$C$22)</f>
        <v>49.3757348103272</v>
      </c>
      <c r="F817" s="80" t="n">
        <f aca="false">AVERAGE(E816:E817)</f>
        <v>24.6878674051636</v>
      </c>
    </row>
    <row r="818" customFormat="false" ht="15" hidden="false" customHeight="false" outlineLevel="0" collapsed="false">
      <c r="A818" s="76" t="n">
        <v>807</v>
      </c>
      <c r="B818" s="77" t="n">
        <v>1.21168</v>
      </c>
      <c r="C818" s="78" t="n">
        <f aca="false">05_Unit_Economics!$B$15*EXP((01_Inputs!$C$20-01_Inputs!$C$21^2/2)*01_Inputs!$C$22+01_Inputs!$C$21*SQRT(01_Inputs!$C$22)*B818)</f>
        <v>82.7062629694388</v>
      </c>
      <c r="D818" s="78" t="n">
        <f aca="false">MAX(C818-05_Unit_Economics!$B$21,0)</f>
        <v>44.7986574949353</v>
      </c>
      <c r="E818" s="78" t="n">
        <f aca="false">D818*EXP(-01_Inputs!$C$20*01_Inputs!$C$22)</f>
        <v>42.8702525792579</v>
      </c>
      <c r="F818" s="79"/>
    </row>
    <row r="819" customFormat="false" ht="15" hidden="false" customHeight="false" outlineLevel="0" collapsed="false">
      <c r="A819" s="76" t="n">
        <v>808</v>
      </c>
      <c r="B819" s="77" t="n">
        <v>-1.21168</v>
      </c>
      <c r="C819" s="78" t="n">
        <f aca="false">05_Unit_Economics!$B$15*EXP((01_Inputs!$C$20-01_Inputs!$C$21^2/2)*01_Inputs!$C$22+01_Inputs!$C$21*SQRT(01_Inputs!$C$22)*B819)</f>
        <v>35.4144288012742</v>
      </c>
      <c r="D819" s="78" t="n">
        <f aca="false">MAX(C819-05_Unit_Economics!$B$21,0)</f>
        <v>0</v>
      </c>
      <c r="E819" s="78" t="n">
        <f aca="false">D819*EXP(-01_Inputs!$C$20*01_Inputs!$C$22)</f>
        <v>0</v>
      </c>
      <c r="F819" s="80" t="n">
        <f aca="false">AVERAGE(E818:E819)</f>
        <v>21.435126289629</v>
      </c>
    </row>
    <row r="820" customFormat="false" ht="15" hidden="false" customHeight="false" outlineLevel="0" collapsed="false">
      <c r="A820" s="76" t="n">
        <v>809</v>
      </c>
      <c r="B820" s="77" t="n">
        <v>1.019883</v>
      </c>
      <c r="C820" s="78" t="n">
        <f aca="false">05_Unit_Economics!$B$15*EXP((01_Inputs!$C$20-01_Inputs!$C$21^2/2)*01_Inputs!$C$22+01_Inputs!$C$21*SQRT(01_Inputs!$C$22)*B820)</f>
        <v>77.3365270613447</v>
      </c>
      <c r="D820" s="78" t="n">
        <f aca="false">MAX(C820-05_Unit_Economics!$B$21,0)</f>
        <v>39.4289215868412</v>
      </c>
      <c r="E820" s="78" t="n">
        <f aca="false">D820*EXP(-01_Inputs!$C$20*01_Inputs!$C$22)</f>
        <v>37.7316625514221</v>
      </c>
      <c r="F820" s="79"/>
    </row>
    <row r="821" customFormat="false" ht="15" hidden="false" customHeight="false" outlineLevel="0" collapsed="false">
      <c r="A821" s="76" t="n">
        <v>810</v>
      </c>
      <c r="B821" s="77" t="n">
        <v>-1.019883</v>
      </c>
      <c r="C821" s="78" t="n">
        <f aca="false">05_Unit_Economics!$B$15*EXP((01_Inputs!$C$20-01_Inputs!$C$21^2/2)*01_Inputs!$C$22+01_Inputs!$C$21*SQRT(01_Inputs!$C$22)*B821)</f>
        <v>37.8733720357952</v>
      </c>
      <c r="D821" s="78" t="n">
        <f aca="false">MAX(C821-05_Unit_Economics!$B$21,0)</f>
        <v>0</v>
      </c>
      <c r="E821" s="78" t="n">
        <f aca="false">D821*EXP(-01_Inputs!$C$20*01_Inputs!$C$22)</f>
        <v>0</v>
      </c>
      <c r="F821" s="80" t="n">
        <f aca="false">AVERAGE(E820:E821)</f>
        <v>18.8658312757111</v>
      </c>
    </row>
    <row r="822" customFormat="false" ht="15" hidden="false" customHeight="false" outlineLevel="0" collapsed="false">
      <c r="A822" s="76" t="n">
        <v>811</v>
      </c>
      <c r="B822" s="77" t="n">
        <v>-0.220534</v>
      </c>
      <c r="C822" s="78" t="n">
        <f aca="false">05_Unit_Economics!$B$15*EXP((01_Inputs!$C$20-01_Inputs!$C$21^2/2)*01_Inputs!$C$22+01_Inputs!$C$21*SQRT(01_Inputs!$C$22)*B822)</f>
        <v>50.0999710553184</v>
      </c>
      <c r="D822" s="78" t="n">
        <f aca="false">MAX(C822-05_Unit_Economics!$B$21,0)</f>
        <v>12.1923655808149</v>
      </c>
      <c r="E822" s="78" t="n">
        <f aca="false">D822*EXP(-01_Inputs!$C$20*01_Inputs!$C$22)</f>
        <v>11.667532493519</v>
      </c>
      <c r="F822" s="79"/>
    </row>
    <row r="823" customFormat="false" ht="15" hidden="false" customHeight="false" outlineLevel="0" collapsed="false">
      <c r="A823" s="76" t="n">
        <v>812</v>
      </c>
      <c r="B823" s="77" t="n">
        <v>0.220534</v>
      </c>
      <c r="C823" s="78" t="n">
        <f aca="false">05_Unit_Economics!$B$15*EXP((01_Inputs!$C$20-01_Inputs!$C$21^2/2)*01_Inputs!$C$22+01_Inputs!$C$21*SQRT(01_Inputs!$C$22)*B823)</f>
        <v>58.4630090527712</v>
      </c>
      <c r="D823" s="78" t="n">
        <f aca="false">MAX(C823-05_Unit_Economics!$B$21,0)</f>
        <v>20.5554035782677</v>
      </c>
      <c r="E823" s="78" t="n">
        <f aca="false">D823*EXP(-01_Inputs!$C$20*01_Inputs!$C$22)</f>
        <v>19.6705748016789</v>
      </c>
      <c r="F823" s="80" t="n">
        <f aca="false">AVERAGE(E822:E823)</f>
        <v>15.6690536475989</v>
      </c>
    </row>
    <row r="824" customFormat="false" ht="15" hidden="false" customHeight="false" outlineLevel="0" collapsed="false">
      <c r="A824" s="76" t="n">
        <v>813</v>
      </c>
      <c r="B824" s="77" t="n">
        <v>-0.744877</v>
      </c>
      <c r="C824" s="78" t="n">
        <f aca="false">05_Unit_Economics!$B$15*EXP((01_Inputs!$C$20-01_Inputs!$C$21^2/2)*01_Inputs!$C$22+01_Inputs!$C$21*SQRT(01_Inputs!$C$22)*B824)</f>
        <v>41.6999687895524</v>
      </c>
      <c r="D824" s="78" t="n">
        <f aca="false">MAX(C824-05_Unit_Economics!$B$21,0)</f>
        <v>3.79236331504896</v>
      </c>
      <c r="E824" s="78" t="n">
        <f aca="false">D824*EXP(-01_Inputs!$C$20*01_Inputs!$C$22)</f>
        <v>3.6291170825117</v>
      </c>
      <c r="F824" s="79"/>
    </row>
    <row r="825" customFormat="false" ht="15" hidden="false" customHeight="false" outlineLevel="0" collapsed="false">
      <c r="A825" s="76" t="n">
        <v>814</v>
      </c>
      <c r="B825" s="77" t="n">
        <v>0.744877</v>
      </c>
      <c r="C825" s="78" t="n">
        <f aca="false">05_Unit_Economics!$B$15*EXP((01_Inputs!$C$20-01_Inputs!$C$21^2/2)*01_Inputs!$C$22+01_Inputs!$C$21*SQRT(01_Inputs!$C$22)*B825)</f>
        <v>70.2397422917133</v>
      </c>
      <c r="D825" s="78" t="n">
        <f aca="false">MAX(C825-05_Unit_Economics!$B$21,0)</f>
        <v>32.3321368172099</v>
      </c>
      <c r="E825" s="78" t="n">
        <f aca="false">D825*EXP(-01_Inputs!$C$20*01_Inputs!$C$22)</f>
        <v>30.940366280789</v>
      </c>
      <c r="F825" s="80" t="n">
        <f aca="false">AVERAGE(E824:E825)</f>
        <v>17.2847416816503</v>
      </c>
    </row>
    <row r="826" customFormat="false" ht="15" hidden="false" customHeight="false" outlineLevel="0" collapsed="false">
      <c r="A826" s="76" t="n">
        <v>815</v>
      </c>
      <c r="B826" s="77" t="n">
        <v>-1.315019</v>
      </c>
      <c r="C826" s="78" t="n">
        <f aca="false">05_Unit_Economics!$B$15*EXP((01_Inputs!$C$20-01_Inputs!$C$21^2/2)*01_Inputs!$C$22+01_Inputs!$C$21*SQRT(01_Inputs!$C$22)*B826)</f>
        <v>34.1564240257065</v>
      </c>
      <c r="D826" s="78" t="n">
        <f aca="false">MAX(C826-05_Unit_Economics!$B$21,0)</f>
        <v>0</v>
      </c>
      <c r="E826" s="78" t="n">
        <f aca="false">D826*EXP(-01_Inputs!$C$20*01_Inputs!$C$22)</f>
        <v>0</v>
      </c>
      <c r="F826" s="79"/>
    </row>
    <row r="827" customFormat="false" ht="15" hidden="false" customHeight="false" outlineLevel="0" collapsed="false">
      <c r="A827" s="76" t="n">
        <v>816</v>
      </c>
      <c r="B827" s="77" t="n">
        <v>1.315019</v>
      </c>
      <c r="C827" s="78" t="n">
        <f aca="false">05_Unit_Economics!$B$15*EXP((01_Inputs!$C$20-01_Inputs!$C$21^2/2)*01_Inputs!$C$22+01_Inputs!$C$21*SQRT(01_Inputs!$C$22)*B827)</f>
        <v>85.7523919701388</v>
      </c>
      <c r="D827" s="78" t="n">
        <f aca="false">MAX(C827-05_Unit_Economics!$B$21,0)</f>
        <v>47.8447864956353</v>
      </c>
      <c r="E827" s="78" t="n">
        <f aca="false">D827*EXP(-01_Inputs!$C$20*01_Inputs!$C$22)</f>
        <v>45.7852577814512</v>
      </c>
      <c r="F827" s="80" t="n">
        <f aca="false">AVERAGE(E826:E827)</f>
        <v>22.8926288907256</v>
      </c>
    </row>
    <row r="828" customFormat="false" ht="15" hidden="false" customHeight="false" outlineLevel="0" collapsed="false">
      <c r="A828" s="76" t="n">
        <v>817</v>
      </c>
      <c r="B828" s="77" t="n">
        <v>-1.449629</v>
      </c>
      <c r="C828" s="78" t="n">
        <f aca="false">05_Unit_Economics!$B$15*EXP((01_Inputs!$C$20-01_Inputs!$C$21^2/2)*01_Inputs!$C$22+01_Inputs!$C$21*SQRT(01_Inputs!$C$22)*B828)</f>
        <v>32.5845151573203</v>
      </c>
      <c r="D828" s="78" t="n">
        <f aca="false">MAX(C828-05_Unit_Economics!$B$21,0)</f>
        <v>0</v>
      </c>
      <c r="E828" s="78" t="n">
        <f aca="false">D828*EXP(-01_Inputs!$C$20*01_Inputs!$C$22)</f>
        <v>0</v>
      </c>
      <c r="F828" s="79"/>
    </row>
    <row r="829" customFormat="false" ht="15" hidden="false" customHeight="false" outlineLevel="0" collapsed="false">
      <c r="A829" s="76" t="n">
        <v>818</v>
      </c>
      <c r="B829" s="77" t="n">
        <v>1.449629</v>
      </c>
      <c r="C829" s="78" t="n">
        <f aca="false">05_Unit_Economics!$B$15*EXP((01_Inputs!$C$20-01_Inputs!$C$21^2/2)*01_Inputs!$C$22+01_Inputs!$C$21*SQRT(01_Inputs!$C$22)*B829)</f>
        <v>89.8891711970934</v>
      </c>
      <c r="D829" s="78" t="n">
        <f aca="false">MAX(C829-05_Unit_Economics!$B$21,0)</f>
        <v>51.9815657225899</v>
      </c>
      <c r="E829" s="78" t="n">
        <f aca="false">D829*EXP(-01_Inputs!$C$20*01_Inputs!$C$22)</f>
        <v>49.7439650338777</v>
      </c>
      <c r="F829" s="80" t="n">
        <f aca="false">AVERAGE(E828:E829)</f>
        <v>24.8719825169388</v>
      </c>
    </row>
    <row r="830" customFormat="false" ht="15" hidden="false" customHeight="false" outlineLevel="0" collapsed="false">
      <c r="A830" s="76" t="n">
        <v>819</v>
      </c>
      <c r="B830" s="77" t="n">
        <v>0.046046</v>
      </c>
      <c r="C830" s="78" t="n">
        <f aca="false">05_Unit_Economics!$B$15*EXP((01_Inputs!$C$20-01_Inputs!$C$21^2/2)*01_Inputs!$C$22+01_Inputs!$C$21*SQRT(01_Inputs!$C$22)*B830)</f>
        <v>54.9994634842182</v>
      </c>
      <c r="D830" s="78" t="n">
        <f aca="false">MAX(C830-05_Unit_Economics!$B$21,0)</f>
        <v>17.0918580097147</v>
      </c>
      <c r="E830" s="78" t="n">
        <f aca="false">D830*EXP(-01_Inputs!$C$20*01_Inputs!$C$22)</f>
        <v>16.3561211629639</v>
      </c>
      <c r="F830" s="79"/>
    </row>
    <row r="831" customFormat="false" ht="15" hidden="false" customHeight="false" outlineLevel="0" collapsed="false">
      <c r="A831" s="76" t="n">
        <v>820</v>
      </c>
      <c r="B831" s="77" t="n">
        <v>-0.046046</v>
      </c>
      <c r="C831" s="78" t="n">
        <f aca="false">05_Unit_Economics!$B$15*EXP((01_Inputs!$C$20-01_Inputs!$C$21^2/2)*01_Inputs!$C$22+01_Inputs!$C$21*SQRT(01_Inputs!$C$22)*B831)</f>
        <v>53.2549751542779</v>
      </c>
      <c r="D831" s="78" t="n">
        <f aca="false">MAX(C831-05_Unit_Economics!$B$21,0)</f>
        <v>15.3473696797744</v>
      </c>
      <c r="E831" s="78" t="n">
        <f aca="false">D831*EXP(-01_Inputs!$C$20*01_Inputs!$C$22)</f>
        <v>14.6867261518619</v>
      </c>
      <c r="F831" s="80" t="n">
        <f aca="false">AVERAGE(E830:E831)</f>
        <v>15.5214236574129</v>
      </c>
    </row>
    <row r="832" customFormat="false" ht="15" hidden="false" customHeight="false" outlineLevel="0" collapsed="false">
      <c r="A832" s="76" t="n">
        <v>821</v>
      </c>
      <c r="B832" s="77" t="n">
        <v>0.788106</v>
      </c>
      <c r="C832" s="78" t="n">
        <f aca="false">05_Unit_Economics!$B$15*EXP((01_Inputs!$C$20-01_Inputs!$C$21^2/2)*01_Inputs!$C$22+01_Inputs!$C$21*SQRT(01_Inputs!$C$22)*B832)</f>
        <v>71.3105605210719</v>
      </c>
      <c r="D832" s="78" t="n">
        <f aca="false">MAX(C832-05_Unit_Economics!$B$21,0)</f>
        <v>33.4029550465684</v>
      </c>
      <c r="E832" s="78" t="n">
        <f aca="false">D832*EXP(-01_Inputs!$C$20*01_Inputs!$C$22)</f>
        <v>31.9650900231079</v>
      </c>
      <c r="F832" s="79"/>
    </row>
    <row r="833" customFormat="false" ht="15" hidden="false" customHeight="false" outlineLevel="0" collapsed="false">
      <c r="A833" s="76" t="n">
        <v>822</v>
      </c>
      <c r="B833" s="77" t="n">
        <v>-0.788106</v>
      </c>
      <c r="C833" s="78" t="n">
        <f aca="false">05_Unit_Economics!$B$15*EXP((01_Inputs!$C$20-01_Inputs!$C$21^2/2)*01_Inputs!$C$22+01_Inputs!$C$21*SQRT(01_Inputs!$C$22)*B833)</f>
        <v>41.0737910338701</v>
      </c>
      <c r="D833" s="78" t="n">
        <f aca="false">MAX(C833-05_Unit_Economics!$B$21,0)</f>
        <v>3.16618555936662</v>
      </c>
      <c r="E833" s="78" t="n">
        <f aca="false">D833*EXP(-01_Inputs!$C$20*01_Inputs!$C$22)</f>
        <v>3.0298938011299</v>
      </c>
      <c r="F833" s="80" t="n">
        <f aca="false">AVERAGE(E832:E833)</f>
        <v>17.4974919121189</v>
      </c>
    </row>
    <row r="834" customFormat="false" ht="15" hidden="false" customHeight="false" outlineLevel="0" collapsed="false">
      <c r="A834" s="76" t="n">
        <v>823</v>
      </c>
      <c r="B834" s="77" t="n">
        <v>-0.403778</v>
      </c>
      <c r="C834" s="78" t="n">
        <f aca="false">05_Unit_Economics!$B$15*EXP((01_Inputs!$C$20-01_Inputs!$C$21^2/2)*01_Inputs!$C$22+01_Inputs!$C$21*SQRT(01_Inputs!$C$22)*B834)</f>
        <v>46.9876607662301</v>
      </c>
      <c r="D834" s="78" t="n">
        <f aca="false">MAX(C834-05_Unit_Economics!$B$21,0)</f>
        <v>9.08005529172664</v>
      </c>
      <c r="E834" s="78" t="n">
        <f aca="false">D834*EXP(-01_Inputs!$C$20*01_Inputs!$C$22)</f>
        <v>8.68919484549189</v>
      </c>
      <c r="F834" s="79"/>
    </row>
    <row r="835" customFormat="false" ht="15" hidden="false" customHeight="false" outlineLevel="0" collapsed="false">
      <c r="A835" s="76" t="n">
        <v>824</v>
      </c>
      <c r="B835" s="77" t="n">
        <v>0.403778</v>
      </c>
      <c r="C835" s="78" t="n">
        <f aca="false">05_Unit_Economics!$B$15*EXP((01_Inputs!$C$20-01_Inputs!$C$21^2/2)*01_Inputs!$C$22+01_Inputs!$C$21*SQRT(01_Inputs!$C$22)*B835)</f>
        <v>62.3354092029138</v>
      </c>
      <c r="D835" s="78" t="n">
        <f aca="false">MAX(C835-05_Unit_Economics!$B$21,0)</f>
        <v>24.4278037284103</v>
      </c>
      <c r="E835" s="78" t="n">
        <f aca="false">D835*EXP(-01_Inputs!$C$20*01_Inputs!$C$22)</f>
        <v>23.3762834502771</v>
      </c>
      <c r="F835" s="80" t="n">
        <f aca="false">AVERAGE(E834:E835)</f>
        <v>16.0327391478845</v>
      </c>
    </row>
    <row r="836" customFormat="false" ht="15" hidden="false" customHeight="false" outlineLevel="0" collapsed="false">
      <c r="A836" s="76" t="n">
        <v>825</v>
      </c>
      <c r="B836" s="77" t="n">
        <v>-1.037502</v>
      </c>
      <c r="C836" s="78" t="n">
        <f aca="false">05_Unit_Economics!$B$15*EXP((01_Inputs!$C$20-01_Inputs!$C$21^2/2)*01_Inputs!$C$22+01_Inputs!$C$21*SQRT(01_Inputs!$C$22)*B836)</f>
        <v>37.6405388443703</v>
      </c>
      <c r="D836" s="78" t="n">
        <f aca="false">MAX(C836-05_Unit_Economics!$B$21,0)</f>
        <v>0</v>
      </c>
      <c r="E836" s="78" t="n">
        <f aca="false">D836*EXP(-01_Inputs!$C$20*01_Inputs!$C$22)</f>
        <v>0</v>
      </c>
      <c r="F836" s="79"/>
    </row>
    <row r="837" customFormat="false" ht="15" hidden="false" customHeight="false" outlineLevel="0" collapsed="false">
      <c r="A837" s="76" t="n">
        <v>826</v>
      </c>
      <c r="B837" s="77" t="n">
        <v>1.037502</v>
      </c>
      <c r="C837" s="78" t="n">
        <f aca="false">05_Unit_Economics!$B$15*EXP((01_Inputs!$C$20-01_Inputs!$C$21^2/2)*01_Inputs!$C$22+01_Inputs!$C$21*SQRT(01_Inputs!$C$22)*B837)</f>
        <v>77.8149078434016</v>
      </c>
      <c r="D837" s="78" t="n">
        <f aca="false">MAX(C837-05_Unit_Economics!$B$21,0)</f>
        <v>39.9073023688982</v>
      </c>
      <c r="E837" s="78" t="n">
        <f aca="false">D837*EXP(-01_Inputs!$C$20*01_Inputs!$C$22)</f>
        <v>38.1894509339906</v>
      </c>
      <c r="F837" s="80" t="n">
        <f aca="false">AVERAGE(E836:E837)</f>
        <v>19.0947254669953</v>
      </c>
    </row>
    <row r="838" customFormat="false" ht="15" hidden="false" customHeight="false" outlineLevel="0" collapsed="false">
      <c r="A838" s="76" t="n">
        <v>827</v>
      </c>
      <c r="B838" s="77" t="n">
        <v>-0.976558</v>
      </c>
      <c r="C838" s="78" t="n">
        <f aca="false">05_Unit_Economics!$B$15*EXP((01_Inputs!$C$20-01_Inputs!$C$21^2/2)*01_Inputs!$C$22+01_Inputs!$C$21*SQRT(01_Inputs!$C$22)*B838)</f>
        <v>38.4520507624</v>
      </c>
      <c r="D838" s="78" t="n">
        <f aca="false">MAX(C838-05_Unit_Economics!$B$21,0)</f>
        <v>0.544445287896537</v>
      </c>
      <c r="E838" s="78" t="n">
        <f aca="false">D838*EXP(-01_Inputs!$C$20*01_Inputs!$C$22)</f>
        <v>0.521009072880143</v>
      </c>
      <c r="F838" s="79"/>
    </row>
    <row r="839" customFormat="false" ht="15" hidden="false" customHeight="false" outlineLevel="0" collapsed="false">
      <c r="A839" s="76" t="n">
        <v>828</v>
      </c>
      <c r="B839" s="77" t="n">
        <v>0.976558</v>
      </c>
      <c r="C839" s="78" t="n">
        <f aca="false">05_Unit_Economics!$B$15*EXP((01_Inputs!$C$20-01_Inputs!$C$21^2/2)*01_Inputs!$C$22+01_Inputs!$C$21*SQRT(01_Inputs!$C$22)*B839)</f>
        <v>76.172661880878</v>
      </c>
      <c r="D839" s="78" t="n">
        <f aca="false">MAX(C839-05_Unit_Economics!$B$21,0)</f>
        <v>38.2650564063745</v>
      </c>
      <c r="E839" s="78" t="n">
        <f aca="false">D839*EXP(-01_Inputs!$C$20*01_Inputs!$C$22)</f>
        <v>36.6178971610094</v>
      </c>
      <c r="F839" s="80" t="n">
        <f aca="false">AVERAGE(E838:E839)</f>
        <v>18.5694531169448</v>
      </c>
    </row>
    <row r="840" customFormat="false" ht="15" hidden="false" customHeight="false" outlineLevel="0" collapsed="false">
      <c r="A840" s="76" t="n">
        <v>829</v>
      </c>
      <c r="B840" s="77" t="n">
        <v>-0.652259</v>
      </c>
      <c r="C840" s="78" t="n">
        <f aca="false">05_Unit_Economics!$B$15*EXP((01_Inputs!$C$20-01_Inputs!$C$21^2/2)*01_Inputs!$C$22+01_Inputs!$C$21*SQRT(01_Inputs!$C$22)*B840)</f>
        <v>43.0738756683747</v>
      </c>
      <c r="D840" s="78" t="n">
        <f aca="false">MAX(C840-05_Unit_Economics!$B$21,0)</f>
        <v>5.16627019387127</v>
      </c>
      <c r="E840" s="78" t="n">
        <f aca="false">D840*EXP(-01_Inputs!$C$20*01_Inputs!$C$22)</f>
        <v>4.94388270740016</v>
      </c>
      <c r="F840" s="79"/>
    </row>
    <row r="841" customFormat="false" ht="15" hidden="false" customHeight="false" outlineLevel="0" collapsed="false">
      <c r="A841" s="76" t="n">
        <v>830</v>
      </c>
      <c r="B841" s="77" t="n">
        <v>0.652259</v>
      </c>
      <c r="C841" s="78" t="n">
        <f aca="false">05_Unit_Economics!$B$15*EXP((01_Inputs!$C$20-01_Inputs!$C$21^2/2)*01_Inputs!$C$22+01_Inputs!$C$21*SQRT(01_Inputs!$C$22)*B841)</f>
        <v>67.9993387152099</v>
      </c>
      <c r="D841" s="78" t="n">
        <f aca="false">MAX(C841-05_Unit_Economics!$B$21,0)</f>
        <v>30.0917332407064</v>
      </c>
      <c r="E841" s="78" t="n">
        <f aca="false">D841*EXP(-01_Inputs!$C$20*01_Inputs!$C$22)</f>
        <v>28.7964032119172</v>
      </c>
      <c r="F841" s="80" t="n">
        <f aca="false">AVERAGE(E840:E841)</f>
        <v>16.8701429596587</v>
      </c>
    </row>
    <row r="842" customFormat="false" ht="15" hidden="false" customHeight="false" outlineLevel="0" collapsed="false">
      <c r="A842" s="76" t="n">
        <v>831</v>
      </c>
      <c r="B842" s="77" t="n">
        <v>-1.184111</v>
      </c>
      <c r="C842" s="78" t="n">
        <f aca="false">05_Unit_Economics!$B$15*EXP((01_Inputs!$C$20-01_Inputs!$C$21^2/2)*01_Inputs!$C$22+01_Inputs!$C$21*SQRT(01_Inputs!$C$22)*B842)</f>
        <v>35.7578019020464</v>
      </c>
      <c r="D842" s="78" t="n">
        <f aca="false">MAX(C842-05_Unit_Economics!$B$21,0)</f>
        <v>0</v>
      </c>
      <c r="E842" s="78" t="n">
        <f aca="false">D842*EXP(-01_Inputs!$C$20*01_Inputs!$C$22)</f>
        <v>0</v>
      </c>
      <c r="F842" s="79"/>
    </row>
    <row r="843" customFormat="false" ht="15" hidden="false" customHeight="false" outlineLevel="0" collapsed="false">
      <c r="A843" s="76" t="n">
        <v>832</v>
      </c>
      <c r="B843" s="77" t="n">
        <v>1.184111</v>
      </c>
      <c r="C843" s="78" t="n">
        <f aca="false">05_Unit_Economics!$B$15*EXP((01_Inputs!$C$20-01_Inputs!$C$21^2/2)*01_Inputs!$C$22+01_Inputs!$C$21*SQRT(01_Inputs!$C$22)*B843)</f>
        <v>81.9120557067303</v>
      </c>
      <c r="D843" s="78" t="n">
        <f aca="false">MAX(C843-05_Unit_Economics!$B$21,0)</f>
        <v>44.0044502322268</v>
      </c>
      <c r="E843" s="78" t="n">
        <f aca="false">D843*EXP(-01_Inputs!$C$20*01_Inputs!$C$22)</f>
        <v>42.1102327961552</v>
      </c>
      <c r="F843" s="80" t="n">
        <f aca="false">AVERAGE(E842:E843)</f>
        <v>21.0551163980776</v>
      </c>
    </row>
    <row r="844" customFormat="false" ht="15" hidden="false" customHeight="false" outlineLevel="0" collapsed="false">
      <c r="A844" s="76" t="n">
        <v>833</v>
      </c>
      <c r="B844" s="77" t="n">
        <v>-0.467394</v>
      </c>
      <c r="C844" s="78" t="n">
        <f aca="false">05_Unit_Economics!$B$15*EXP((01_Inputs!$C$20-01_Inputs!$C$21^2/2)*01_Inputs!$C$22+01_Inputs!$C$21*SQRT(01_Inputs!$C$22)*B844)</f>
        <v>45.9530135710755</v>
      </c>
      <c r="D844" s="78" t="n">
        <f aca="false">MAX(C844-05_Unit_Economics!$B$21,0)</f>
        <v>8.04540809657203</v>
      </c>
      <c r="E844" s="78" t="n">
        <f aca="false">D844*EXP(-01_Inputs!$C$20*01_Inputs!$C$22)</f>
        <v>7.69908511750029</v>
      </c>
      <c r="F844" s="79"/>
    </row>
    <row r="845" customFormat="false" ht="15" hidden="false" customHeight="false" outlineLevel="0" collapsed="false">
      <c r="A845" s="76" t="n">
        <v>834</v>
      </c>
      <c r="B845" s="77" t="n">
        <v>0.467394</v>
      </c>
      <c r="C845" s="78" t="n">
        <f aca="false">05_Unit_Economics!$B$15*EXP((01_Inputs!$C$20-01_Inputs!$C$21^2/2)*01_Inputs!$C$22+01_Inputs!$C$21*SQRT(01_Inputs!$C$22)*B845)</f>
        <v>63.7389114169929</v>
      </c>
      <c r="D845" s="78" t="n">
        <f aca="false">MAX(C845-05_Unit_Economics!$B$21,0)</f>
        <v>25.8313059424894</v>
      </c>
      <c r="E845" s="78" t="n">
        <f aca="false">D845*EXP(-01_Inputs!$C$20*01_Inputs!$C$22)</f>
        <v>24.7193704483623</v>
      </c>
      <c r="F845" s="80" t="n">
        <f aca="false">AVERAGE(E844:E845)</f>
        <v>16.2092277829313</v>
      </c>
    </row>
    <row r="846" customFormat="false" ht="15" hidden="false" customHeight="false" outlineLevel="0" collapsed="false">
      <c r="A846" s="76" t="n">
        <v>835</v>
      </c>
      <c r="B846" s="77" t="n">
        <v>1.029444</v>
      </c>
      <c r="C846" s="78" t="n">
        <f aca="false">05_Unit_Economics!$B$15*EXP((01_Inputs!$C$20-01_Inputs!$C$21^2/2)*01_Inputs!$C$22+01_Inputs!$C$21*SQRT(01_Inputs!$C$22)*B846)</f>
        <v>77.5957556415514</v>
      </c>
      <c r="D846" s="78" t="n">
        <f aca="false">MAX(C846-05_Unit_Economics!$B$21,0)</f>
        <v>39.6881501670479</v>
      </c>
      <c r="E846" s="78" t="n">
        <f aca="false">D846*EXP(-01_Inputs!$C$20*01_Inputs!$C$22)</f>
        <v>37.9797323671411</v>
      </c>
      <c r="F846" s="79"/>
    </row>
    <row r="847" customFormat="false" ht="15" hidden="false" customHeight="false" outlineLevel="0" collapsed="false">
      <c r="A847" s="76" t="n">
        <v>836</v>
      </c>
      <c r="B847" s="77" t="n">
        <v>-1.029444</v>
      </c>
      <c r="C847" s="78" t="n">
        <f aca="false">05_Unit_Economics!$B$15*EXP((01_Inputs!$C$20-01_Inputs!$C$21^2/2)*01_Inputs!$C$22+01_Inputs!$C$21*SQRT(01_Inputs!$C$22)*B847)</f>
        <v>37.7468462950597</v>
      </c>
      <c r="D847" s="78" t="n">
        <f aca="false">MAX(C847-05_Unit_Economics!$B$21,0)</f>
        <v>0</v>
      </c>
      <c r="E847" s="78" t="n">
        <f aca="false">D847*EXP(-01_Inputs!$C$20*01_Inputs!$C$22)</f>
        <v>0</v>
      </c>
      <c r="F847" s="80" t="n">
        <f aca="false">AVERAGE(E846:E847)</f>
        <v>18.9898661835705</v>
      </c>
    </row>
    <row r="848" customFormat="false" ht="15" hidden="false" customHeight="false" outlineLevel="0" collapsed="false">
      <c r="A848" s="76" t="n">
        <v>837</v>
      </c>
      <c r="B848" s="77" t="n">
        <v>-1.457106</v>
      </c>
      <c r="C848" s="78" t="n">
        <f aca="false">05_Unit_Economics!$B$15*EXP((01_Inputs!$C$20-01_Inputs!$C$21^2/2)*01_Inputs!$C$22+01_Inputs!$C$21*SQRT(01_Inputs!$C$22)*B848)</f>
        <v>32.4993545894547</v>
      </c>
      <c r="D848" s="78" t="n">
        <f aca="false">MAX(C848-05_Unit_Economics!$B$21,0)</f>
        <v>0</v>
      </c>
      <c r="E848" s="78" t="n">
        <f aca="false">D848*EXP(-01_Inputs!$C$20*01_Inputs!$C$22)</f>
        <v>0</v>
      </c>
      <c r="F848" s="79"/>
    </row>
    <row r="849" customFormat="false" ht="15" hidden="false" customHeight="false" outlineLevel="0" collapsed="false">
      <c r="A849" s="76" t="n">
        <v>838</v>
      </c>
      <c r="B849" s="77" t="n">
        <v>1.457106</v>
      </c>
      <c r="C849" s="78" t="n">
        <f aca="false">05_Unit_Economics!$B$15*EXP((01_Inputs!$C$20-01_Inputs!$C$21^2/2)*01_Inputs!$C$22+01_Inputs!$C$21*SQRT(01_Inputs!$C$22)*B849)</f>
        <v>90.1247147320593</v>
      </c>
      <c r="D849" s="78" t="n">
        <f aca="false">MAX(C849-05_Unit_Economics!$B$21,0)</f>
        <v>52.2171092575559</v>
      </c>
      <c r="E849" s="78" t="n">
        <f aca="false">D849*EXP(-01_Inputs!$C$20*01_Inputs!$C$22)</f>
        <v>49.9693693518205</v>
      </c>
      <c r="F849" s="80" t="n">
        <f aca="false">AVERAGE(E848:E849)</f>
        <v>24.9846846759103</v>
      </c>
    </row>
    <row r="850" customFormat="false" ht="15" hidden="false" customHeight="false" outlineLevel="0" collapsed="false">
      <c r="A850" s="76" t="n">
        <v>839</v>
      </c>
      <c r="B850" s="77" t="n">
        <v>0.466276</v>
      </c>
      <c r="C850" s="78" t="n">
        <f aca="false">05_Unit_Economics!$B$15*EXP((01_Inputs!$C$20-01_Inputs!$C$21^2/2)*01_Inputs!$C$22+01_Inputs!$C$21*SQRT(01_Inputs!$C$22)*B850)</f>
        <v>63.7139752600327</v>
      </c>
      <c r="D850" s="78" t="n">
        <f aca="false">MAX(C850-05_Unit_Economics!$B$21,0)</f>
        <v>25.8063697855292</v>
      </c>
      <c r="E850" s="78" t="n">
        <f aca="false">D850*EXP(-01_Inputs!$C$20*01_Inputs!$C$22)</f>
        <v>24.695507694275</v>
      </c>
      <c r="F850" s="79"/>
    </row>
    <row r="851" customFormat="false" ht="15" hidden="false" customHeight="false" outlineLevel="0" collapsed="false">
      <c r="A851" s="76" t="n">
        <v>840</v>
      </c>
      <c r="B851" s="77" t="n">
        <v>-0.466276</v>
      </c>
      <c r="C851" s="78" t="n">
        <f aca="false">05_Unit_Economics!$B$15*EXP((01_Inputs!$C$20-01_Inputs!$C$21^2/2)*01_Inputs!$C$22+01_Inputs!$C$21*SQRT(01_Inputs!$C$22)*B851)</f>
        <v>45.9709985038085</v>
      </c>
      <c r="D851" s="78" t="n">
        <f aca="false">MAX(C851-05_Unit_Economics!$B$21,0)</f>
        <v>8.063393029305</v>
      </c>
      <c r="E851" s="78" t="n">
        <f aca="false">D851*EXP(-01_Inputs!$C$20*01_Inputs!$C$22)</f>
        <v>7.716295870054</v>
      </c>
      <c r="F851" s="80" t="n">
        <f aca="false">AVERAGE(E850:E851)</f>
        <v>16.2059017821645</v>
      </c>
    </row>
    <row r="852" customFormat="false" ht="15" hidden="false" customHeight="false" outlineLevel="0" collapsed="false">
      <c r="A852" s="76" t="n">
        <v>841</v>
      </c>
      <c r="B852" s="77" t="n">
        <v>-1.311775</v>
      </c>
      <c r="C852" s="78" t="n">
        <f aca="false">05_Unit_Economics!$B$15*EXP((01_Inputs!$C$20-01_Inputs!$C$21^2/2)*01_Inputs!$C$22+01_Inputs!$C$21*SQRT(01_Inputs!$C$22)*B852)</f>
        <v>34.1952272539695</v>
      </c>
      <c r="D852" s="78" t="n">
        <f aca="false">MAX(C852-05_Unit_Economics!$B$21,0)</f>
        <v>0</v>
      </c>
      <c r="E852" s="78" t="n">
        <f aca="false">D852*EXP(-01_Inputs!$C$20*01_Inputs!$C$22)</f>
        <v>0</v>
      </c>
      <c r="F852" s="79"/>
    </row>
    <row r="853" customFormat="false" ht="15" hidden="false" customHeight="false" outlineLevel="0" collapsed="false">
      <c r="A853" s="76" t="n">
        <v>842</v>
      </c>
      <c r="B853" s="77" t="n">
        <v>1.311775</v>
      </c>
      <c r="C853" s="78" t="n">
        <f aca="false">05_Unit_Economics!$B$15*EXP((01_Inputs!$C$20-01_Inputs!$C$21^2/2)*01_Inputs!$C$22+01_Inputs!$C$21*SQRT(01_Inputs!$C$22)*B853)</f>
        <v>85.6550839565088</v>
      </c>
      <c r="D853" s="78" t="n">
        <f aca="false">MAX(C853-05_Unit_Economics!$B$21,0)</f>
        <v>47.7474784820054</v>
      </c>
      <c r="E853" s="78" t="n">
        <f aca="false">D853*EXP(-01_Inputs!$C$20*01_Inputs!$C$22)</f>
        <v>45.6921384927142</v>
      </c>
      <c r="F853" s="80" t="n">
        <f aca="false">AVERAGE(E852:E853)</f>
        <v>22.8460692463571</v>
      </c>
    </row>
    <row r="854" customFormat="false" ht="15" hidden="false" customHeight="false" outlineLevel="0" collapsed="false">
      <c r="A854" s="76" t="n">
        <v>843</v>
      </c>
      <c r="B854" s="77" t="n">
        <v>-0.259641</v>
      </c>
      <c r="C854" s="78" t="n">
        <f aca="false">05_Unit_Economics!$B$15*EXP((01_Inputs!$C$20-01_Inputs!$C$21^2/2)*01_Inputs!$C$22+01_Inputs!$C$21*SQRT(01_Inputs!$C$22)*B854)</f>
        <v>49.4189018895224</v>
      </c>
      <c r="D854" s="78" t="n">
        <f aca="false">MAX(C854-05_Unit_Economics!$B$21,0)</f>
        <v>11.5112964150189</v>
      </c>
      <c r="E854" s="78" t="n">
        <f aca="false">D854*EXP(-01_Inputs!$C$20*01_Inputs!$C$22)</f>
        <v>11.0157806599976</v>
      </c>
      <c r="F854" s="79"/>
    </row>
    <row r="855" customFormat="false" ht="15" hidden="false" customHeight="false" outlineLevel="0" collapsed="false">
      <c r="A855" s="76" t="n">
        <v>844</v>
      </c>
      <c r="B855" s="77" t="n">
        <v>0.259641</v>
      </c>
      <c r="C855" s="78" t="n">
        <f aca="false">05_Unit_Economics!$B$15*EXP((01_Inputs!$C$20-01_Inputs!$C$21^2/2)*01_Inputs!$C$22+01_Inputs!$C$21*SQRT(01_Inputs!$C$22)*B855)</f>
        <v>59.268720051662</v>
      </c>
      <c r="D855" s="78" t="n">
        <f aca="false">MAX(C855-05_Unit_Economics!$B$21,0)</f>
        <v>21.3611145771585</v>
      </c>
      <c r="E855" s="78" t="n">
        <f aca="false">D855*EXP(-01_Inputs!$C$20*01_Inputs!$C$22)</f>
        <v>20.441603130647</v>
      </c>
      <c r="F855" s="80" t="n">
        <f aca="false">AVERAGE(E854:E855)</f>
        <v>15.7286918953223</v>
      </c>
    </row>
    <row r="856" customFormat="false" ht="15" hidden="false" customHeight="false" outlineLevel="0" collapsed="false">
      <c r="A856" s="76" t="n">
        <v>845</v>
      </c>
      <c r="B856" s="77" t="n">
        <v>-0.037305</v>
      </c>
      <c r="C856" s="78" t="n">
        <f aca="false">05_Unit_Economics!$B$15*EXP((01_Inputs!$C$20-01_Inputs!$C$21^2/2)*01_Inputs!$C$22+01_Inputs!$C$21*SQRT(01_Inputs!$C$22)*B856)</f>
        <v>53.4181502400941</v>
      </c>
      <c r="D856" s="78" t="n">
        <f aca="false">MAX(C856-05_Unit_Economics!$B$21,0)</f>
        <v>15.5105447655906</v>
      </c>
      <c r="E856" s="78" t="n">
        <f aca="false">D856*EXP(-01_Inputs!$C$20*01_Inputs!$C$22)</f>
        <v>14.8428771959948</v>
      </c>
      <c r="F856" s="79"/>
    </row>
    <row r="857" customFormat="false" ht="15" hidden="false" customHeight="false" outlineLevel="0" collapsed="false">
      <c r="A857" s="76" t="n">
        <v>846</v>
      </c>
      <c r="B857" s="77" t="n">
        <v>0.037305</v>
      </c>
      <c r="C857" s="78" t="n">
        <f aca="false">05_Unit_Economics!$B$15*EXP((01_Inputs!$C$20-01_Inputs!$C$21^2/2)*01_Inputs!$C$22+01_Inputs!$C$21*SQRT(01_Inputs!$C$22)*B857)</f>
        <v>54.8314580004351</v>
      </c>
      <c r="D857" s="78" t="n">
        <f aca="false">MAX(C857-05_Unit_Economics!$B$21,0)</f>
        <v>16.9238525259317</v>
      </c>
      <c r="E857" s="78" t="n">
        <f aca="false">D857*EXP(-01_Inputs!$C$20*01_Inputs!$C$22)</f>
        <v>16.1953476503805</v>
      </c>
      <c r="F857" s="80" t="n">
        <f aca="false">AVERAGE(E856:E857)</f>
        <v>15.5191124231876</v>
      </c>
    </row>
    <row r="858" customFormat="false" ht="15" hidden="false" customHeight="false" outlineLevel="0" collapsed="false">
      <c r="A858" s="76" t="n">
        <v>847</v>
      </c>
      <c r="B858" s="77" t="n">
        <v>-1.97935</v>
      </c>
      <c r="C858" s="78" t="n">
        <f aca="false">05_Unit_Economics!$B$15*EXP((01_Inputs!$C$20-01_Inputs!$C$21^2/2)*01_Inputs!$C$22+01_Inputs!$C$21*SQRT(01_Inputs!$C$22)*B858)</f>
        <v>27.0702362335113</v>
      </c>
      <c r="D858" s="78" t="n">
        <f aca="false">MAX(C858-05_Unit_Economics!$B$21,0)</f>
        <v>0</v>
      </c>
      <c r="E858" s="78" t="n">
        <f aca="false">D858*EXP(-01_Inputs!$C$20*01_Inputs!$C$22)</f>
        <v>0</v>
      </c>
      <c r="F858" s="79"/>
    </row>
    <row r="859" customFormat="false" ht="15" hidden="false" customHeight="false" outlineLevel="0" collapsed="false">
      <c r="A859" s="76" t="n">
        <v>848</v>
      </c>
      <c r="B859" s="77" t="n">
        <v>1.97935</v>
      </c>
      <c r="C859" s="78" t="n">
        <f aca="false">05_Unit_Economics!$B$15*EXP((01_Inputs!$C$20-01_Inputs!$C$21^2/2)*01_Inputs!$C$22+01_Inputs!$C$21*SQRT(01_Inputs!$C$22)*B859)</f>
        <v>108.199833798448</v>
      </c>
      <c r="D859" s="78" t="n">
        <f aca="false">MAX(C859-05_Unit_Economics!$B$21,0)</f>
        <v>70.2922283239446</v>
      </c>
      <c r="E859" s="78" t="n">
        <f aca="false">D859*EXP(-01_Inputs!$C$20*01_Inputs!$C$22)</f>
        <v>67.2664260741977</v>
      </c>
      <c r="F859" s="80" t="n">
        <f aca="false">AVERAGE(E858:E859)</f>
        <v>33.6332130370989</v>
      </c>
    </row>
    <row r="860" customFormat="false" ht="15" hidden="false" customHeight="false" outlineLevel="0" collapsed="false">
      <c r="A860" s="76" t="n">
        <v>849</v>
      </c>
      <c r="B860" s="77" t="n">
        <v>-2.445116</v>
      </c>
      <c r="C860" s="78" t="n">
        <f aca="false">05_Unit_Economics!$B$15*EXP((01_Inputs!$C$20-01_Inputs!$C$21^2/2)*01_Inputs!$C$22+01_Inputs!$C$21*SQRT(01_Inputs!$C$22)*B860)</f>
        <v>22.9982179007813</v>
      </c>
      <c r="D860" s="78" t="n">
        <f aca="false">MAX(C860-05_Unit_Economics!$B$21,0)</f>
        <v>0</v>
      </c>
      <c r="E860" s="78" t="n">
        <f aca="false">D860*EXP(-01_Inputs!$C$20*01_Inputs!$C$22)</f>
        <v>0</v>
      </c>
      <c r="F860" s="79"/>
    </row>
    <row r="861" customFormat="false" ht="15" hidden="false" customHeight="false" outlineLevel="0" collapsed="false">
      <c r="A861" s="76" t="n">
        <v>850</v>
      </c>
      <c r="B861" s="77" t="n">
        <v>2.445116</v>
      </c>
      <c r="C861" s="78" t="n">
        <f aca="false">05_Unit_Economics!$B$15*EXP((01_Inputs!$C$20-01_Inputs!$C$21^2/2)*01_Inputs!$C$22+01_Inputs!$C$21*SQRT(01_Inputs!$C$22)*B861)</f>
        <v>127.357479348482</v>
      </c>
      <c r="D861" s="78" t="n">
        <f aca="false">MAX(C861-05_Unit_Economics!$B$21,0)</f>
        <v>89.4498738739787</v>
      </c>
      <c r="E861" s="78" t="n">
        <f aca="false">D861*EXP(-01_Inputs!$C$20*01_Inputs!$C$22)</f>
        <v>85.5994107991688</v>
      </c>
      <c r="F861" s="80" t="n">
        <f aca="false">AVERAGE(E860:E861)</f>
        <v>42.7997053995844</v>
      </c>
    </row>
    <row r="862" customFormat="false" ht="15" hidden="false" customHeight="false" outlineLevel="0" collapsed="false">
      <c r="A862" s="76" t="n">
        <v>851</v>
      </c>
      <c r="B862" s="77" t="n">
        <v>-2.430933</v>
      </c>
      <c r="C862" s="78" t="n">
        <f aca="false">05_Unit_Economics!$B$15*EXP((01_Inputs!$C$20-01_Inputs!$C$21^2/2)*01_Inputs!$C$22+01_Inputs!$C$21*SQRT(01_Inputs!$C$22)*B862)</f>
        <v>23.1126660324586</v>
      </c>
      <c r="D862" s="78" t="n">
        <f aca="false">MAX(C862-05_Unit_Economics!$B$21,0)</f>
        <v>0</v>
      </c>
      <c r="E862" s="78" t="n">
        <f aca="false">D862*EXP(-01_Inputs!$C$20*01_Inputs!$C$22)</f>
        <v>0</v>
      </c>
      <c r="F862" s="79"/>
    </row>
    <row r="863" customFormat="false" ht="15" hidden="false" customHeight="false" outlineLevel="0" collapsed="false">
      <c r="A863" s="76" t="n">
        <v>852</v>
      </c>
      <c r="B863" s="77" t="n">
        <v>2.430933</v>
      </c>
      <c r="C863" s="78" t="n">
        <f aca="false">05_Unit_Economics!$B$15*EXP((01_Inputs!$C$20-01_Inputs!$C$21^2/2)*01_Inputs!$C$22+01_Inputs!$C$21*SQRT(01_Inputs!$C$22)*B863)</f>
        <v>126.726837018165</v>
      </c>
      <c r="D863" s="78" t="n">
        <f aca="false">MAX(C863-05_Unit_Economics!$B$21,0)</f>
        <v>88.8192315436613</v>
      </c>
      <c r="E863" s="78" t="n">
        <f aca="false">D863*EXP(-01_Inputs!$C$20*01_Inputs!$C$22)</f>
        <v>84.9959151254216</v>
      </c>
      <c r="F863" s="80" t="n">
        <f aca="false">AVERAGE(E862:E863)</f>
        <v>42.4979575627108</v>
      </c>
    </row>
    <row r="864" customFormat="false" ht="15" hidden="false" customHeight="false" outlineLevel="0" collapsed="false">
      <c r="A864" s="76" t="n">
        <v>853</v>
      </c>
      <c r="B864" s="77" t="n">
        <v>0.828731</v>
      </c>
      <c r="C864" s="78" t="n">
        <f aca="false">05_Unit_Economics!$B$15*EXP((01_Inputs!$C$20-01_Inputs!$C$21^2/2)*01_Inputs!$C$22+01_Inputs!$C$21*SQRT(01_Inputs!$C$22)*B864)</f>
        <v>72.3317503703851</v>
      </c>
      <c r="D864" s="78" t="n">
        <f aca="false">MAX(C864-05_Unit_Economics!$B$21,0)</f>
        <v>34.4241448958817</v>
      </c>
      <c r="E864" s="78" t="n">
        <f aca="false">D864*EXP(-01_Inputs!$C$20*01_Inputs!$C$22)</f>
        <v>32.9423216907395</v>
      </c>
      <c r="F864" s="79"/>
    </row>
    <row r="865" customFormat="false" ht="15" hidden="false" customHeight="false" outlineLevel="0" collapsed="false">
      <c r="A865" s="76" t="n">
        <v>854</v>
      </c>
      <c r="B865" s="77" t="n">
        <v>-0.828731</v>
      </c>
      <c r="C865" s="78" t="n">
        <f aca="false">05_Unit_Economics!$B$15*EXP((01_Inputs!$C$20-01_Inputs!$C$21^2/2)*01_Inputs!$C$22+01_Inputs!$C$21*SQRT(01_Inputs!$C$22)*B865)</f>
        <v>40.4939054613266</v>
      </c>
      <c r="D865" s="78" t="n">
        <f aca="false">MAX(C865-05_Unit_Economics!$B$21,0)</f>
        <v>2.58629998682314</v>
      </c>
      <c r="E865" s="78" t="n">
        <f aca="false">D865*EXP(-01_Inputs!$C$20*01_Inputs!$C$22)</f>
        <v>2.47497000760289</v>
      </c>
      <c r="F865" s="80" t="n">
        <f aca="false">AVERAGE(E864:E865)</f>
        <v>17.7086458491712</v>
      </c>
    </row>
    <row r="866" customFormat="false" ht="15" hidden="false" customHeight="false" outlineLevel="0" collapsed="false">
      <c r="A866" s="76" t="n">
        <v>855</v>
      </c>
      <c r="B866" s="77" t="n">
        <v>0.111076</v>
      </c>
      <c r="C866" s="78" t="n">
        <f aca="false">05_Unit_Economics!$B$15*EXP((01_Inputs!$C$20-01_Inputs!$C$21^2/2)*01_Inputs!$C$22+01_Inputs!$C$21*SQRT(01_Inputs!$C$22)*B866)</f>
        <v>56.2656334434056</v>
      </c>
      <c r="D866" s="78" t="n">
        <f aca="false">MAX(C866-05_Unit_Economics!$B$21,0)</f>
        <v>18.3580279689021</v>
      </c>
      <c r="E866" s="78" t="n">
        <f aca="false">D866*EXP(-01_Inputs!$C$20*01_Inputs!$C$22)</f>
        <v>17.5677875162417</v>
      </c>
      <c r="F866" s="79"/>
    </row>
    <row r="867" customFormat="false" ht="15" hidden="false" customHeight="false" outlineLevel="0" collapsed="false">
      <c r="A867" s="76" t="n">
        <v>856</v>
      </c>
      <c r="B867" s="77" t="n">
        <v>-0.111076</v>
      </c>
      <c r="C867" s="78" t="n">
        <f aca="false">05_Unit_Economics!$B$15*EXP((01_Inputs!$C$20-01_Inputs!$C$21^2/2)*01_Inputs!$C$22+01_Inputs!$C$21*SQRT(01_Inputs!$C$22)*B867)</f>
        <v>52.0565553446895</v>
      </c>
      <c r="D867" s="78" t="n">
        <f aca="false">MAX(C867-05_Unit_Economics!$B$21,0)</f>
        <v>14.148949870186</v>
      </c>
      <c r="E867" s="78" t="n">
        <f aca="false">D867*EXP(-01_Inputs!$C$20*01_Inputs!$C$22)</f>
        <v>13.5398935723622</v>
      </c>
      <c r="F867" s="80" t="n">
        <f aca="false">AVERAGE(E866:E867)</f>
        <v>15.553840544302</v>
      </c>
    </row>
    <row r="868" customFormat="false" ht="15" hidden="false" customHeight="false" outlineLevel="0" collapsed="false">
      <c r="A868" s="76" t="n">
        <v>857</v>
      </c>
      <c r="B868" s="77" t="n">
        <v>-0.694673</v>
      </c>
      <c r="C868" s="78" t="n">
        <f aca="false">05_Unit_Economics!$B$15*EXP((01_Inputs!$C$20-01_Inputs!$C$21^2/2)*01_Inputs!$C$22+01_Inputs!$C$21*SQRT(01_Inputs!$C$22)*B868)</f>
        <v>42.4391710108854</v>
      </c>
      <c r="D868" s="78" t="n">
        <f aca="false">MAX(C868-05_Unit_Economics!$B$21,0)</f>
        <v>4.53156553638195</v>
      </c>
      <c r="E868" s="78" t="n">
        <f aca="false">D868*EXP(-01_Inputs!$C$20*01_Inputs!$C$22)</f>
        <v>4.33649957358918</v>
      </c>
      <c r="F868" s="79"/>
    </row>
    <row r="869" customFormat="false" ht="15" hidden="false" customHeight="false" outlineLevel="0" collapsed="false">
      <c r="A869" s="76" t="n">
        <v>858</v>
      </c>
      <c r="B869" s="77" t="n">
        <v>0.694673</v>
      </c>
      <c r="C869" s="78" t="n">
        <f aca="false">05_Unit_Economics!$B$15*EXP((01_Inputs!$C$20-01_Inputs!$C$21^2/2)*01_Inputs!$C$22+01_Inputs!$C$21*SQRT(01_Inputs!$C$22)*B869)</f>
        <v>69.0163118548989</v>
      </c>
      <c r="D869" s="78" t="n">
        <f aca="false">MAX(C869-05_Unit_Economics!$B$21,0)</f>
        <v>31.1087063803954</v>
      </c>
      <c r="E869" s="78" t="n">
        <f aca="false">D869*EXP(-01_Inputs!$C$20*01_Inputs!$C$22)</f>
        <v>29.7695996825864</v>
      </c>
      <c r="F869" s="80" t="n">
        <f aca="false">AVERAGE(E868:E869)</f>
        <v>17.0530496280878</v>
      </c>
    </row>
    <row r="870" customFormat="false" ht="15" hidden="false" customHeight="false" outlineLevel="0" collapsed="false">
      <c r="A870" s="76" t="n">
        <v>859</v>
      </c>
      <c r="B870" s="77" t="n">
        <v>-0.815628</v>
      </c>
      <c r="C870" s="78" t="n">
        <f aca="false">05_Unit_Economics!$B$15*EXP((01_Inputs!$C$20-01_Inputs!$C$21^2/2)*01_Inputs!$C$22+01_Inputs!$C$21*SQRT(01_Inputs!$C$22)*B870)</f>
        <v>40.6800390191412</v>
      </c>
      <c r="D870" s="78" t="n">
        <f aca="false">MAX(C870-05_Unit_Economics!$B$21,0)</f>
        <v>2.77243354463776</v>
      </c>
      <c r="E870" s="78" t="n">
        <f aca="false">D870*EXP(-01_Inputs!$C$20*01_Inputs!$C$22)</f>
        <v>2.65309125237213</v>
      </c>
      <c r="F870" s="79"/>
    </row>
    <row r="871" customFormat="false" ht="15" hidden="false" customHeight="false" outlineLevel="0" collapsed="false">
      <c r="A871" s="76" t="n">
        <v>860</v>
      </c>
      <c r="B871" s="77" t="n">
        <v>0.815628</v>
      </c>
      <c r="C871" s="78" t="n">
        <f aca="false">05_Unit_Economics!$B$15*EXP((01_Inputs!$C$20-01_Inputs!$C$21^2/2)*01_Inputs!$C$22+01_Inputs!$C$21*SQRT(01_Inputs!$C$22)*B871)</f>
        <v>72.0007928205887</v>
      </c>
      <c r="D871" s="78" t="n">
        <f aca="false">MAX(C871-05_Unit_Economics!$B$21,0)</f>
        <v>34.0931873460852</v>
      </c>
      <c r="E871" s="78" t="n">
        <f aca="false">D871*EXP(-01_Inputs!$C$20*01_Inputs!$C$22)</f>
        <v>32.6256105537063</v>
      </c>
      <c r="F871" s="80" t="n">
        <f aca="false">AVERAGE(E870:E871)</f>
        <v>17.6393509030392</v>
      </c>
    </row>
    <row r="872" customFormat="false" ht="15" hidden="false" customHeight="false" outlineLevel="0" collapsed="false">
      <c r="A872" s="76" t="n">
        <v>861</v>
      </c>
      <c r="B872" s="77" t="n">
        <v>1.101982</v>
      </c>
      <c r="C872" s="78" t="n">
        <f aca="false">05_Unit_Economics!$B$15*EXP((01_Inputs!$C$20-01_Inputs!$C$21^2/2)*01_Inputs!$C$22+01_Inputs!$C$21*SQRT(01_Inputs!$C$22)*B872)</f>
        <v>79.5910007339212</v>
      </c>
      <c r="D872" s="78" t="n">
        <f aca="false">MAX(C872-05_Unit_Economics!$B$21,0)</f>
        <v>41.6833952594177</v>
      </c>
      <c r="E872" s="78" t="n">
        <f aca="false">D872*EXP(-01_Inputs!$C$20*01_Inputs!$C$22)</f>
        <v>39.889090054413</v>
      </c>
      <c r="F872" s="79"/>
    </row>
    <row r="873" customFormat="false" ht="15" hidden="false" customHeight="false" outlineLevel="0" collapsed="false">
      <c r="A873" s="76" t="n">
        <v>862</v>
      </c>
      <c r="B873" s="77" t="n">
        <v>-1.101982</v>
      </c>
      <c r="C873" s="78" t="n">
        <f aca="false">05_Unit_Economics!$B$15*EXP((01_Inputs!$C$20-01_Inputs!$C$21^2/2)*01_Inputs!$C$22+01_Inputs!$C$21*SQRT(01_Inputs!$C$22)*B873)</f>
        <v>36.8005808991209</v>
      </c>
      <c r="D873" s="78" t="n">
        <f aca="false">MAX(C873-05_Unit_Economics!$B$21,0)</f>
        <v>0</v>
      </c>
      <c r="E873" s="78" t="n">
        <f aca="false">D873*EXP(-01_Inputs!$C$20*01_Inputs!$C$22)</f>
        <v>0</v>
      </c>
      <c r="F873" s="80" t="n">
        <f aca="false">AVERAGE(E872:E873)</f>
        <v>19.9445450272065</v>
      </c>
    </row>
    <row r="874" customFormat="false" ht="15" hidden="false" customHeight="false" outlineLevel="0" collapsed="false">
      <c r="A874" s="76" t="n">
        <v>863</v>
      </c>
      <c r="B874" s="77" t="n">
        <v>1.347601</v>
      </c>
      <c r="C874" s="78" t="n">
        <f aca="false">05_Unit_Economics!$B$15*EXP((01_Inputs!$C$20-01_Inputs!$C$21^2/2)*01_Inputs!$C$22+01_Inputs!$C$21*SQRT(01_Inputs!$C$22)*B874)</f>
        <v>86.7358835860125</v>
      </c>
      <c r="D874" s="78" t="n">
        <f aca="false">MAX(C874-05_Unit_Economics!$B$21,0)</f>
        <v>48.828278111509</v>
      </c>
      <c r="E874" s="78" t="n">
        <f aca="false">D874*EXP(-01_Inputs!$C$20*01_Inputs!$C$22)</f>
        <v>46.7264139754031</v>
      </c>
      <c r="F874" s="79"/>
    </row>
    <row r="875" customFormat="false" ht="15" hidden="false" customHeight="false" outlineLevel="0" collapsed="false">
      <c r="A875" s="76" t="n">
        <v>864</v>
      </c>
      <c r="B875" s="77" t="n">
        <v>-1.347601</v>
      </c>
      <c r="C875" s="78" t="n">
        <f aca="false">05_Unit_Economics!$B$15*EXP((01_Inputs!$C$20-01_Inputs!$C$21^2/2)*01_Inputs!$C$22+01_Inputs!$C$21*SQRT(01_Inputs!$C$22)*B875)</f>
        <v>33.7691269201874</v>
      </c>
      <c r="D875" s="78" t="n">
        <f aca="false">MAX(C875-05_Unit_Economics!$B$21,0)</f>
        <v>0</v>
      </c>
      <c r="E875" s="78" t="n">
        <f aca="false">D875*EXP(-01_Inputs!$C$20*01_Inputs!$C$22)</f>
        <v>0</v>
      </c>
      <c r="F875" s="80" t="n">
        <f aca="false">AVERAGE(E874:E875)</f>
        <v>23.3632069877015</v>
      </c>
    </row>
    <row r="876" customFormat="false" ht="15" hidden="false" customHeight="false" outlineLevel="0" collapsed="false">
      <c r="A876" s="76" t="n">
        <v>865</v>
      </c>
      <c r="B876" s="77" t="n">
        <v>-0.204921</v>
      </c>
      <c r="C876" s="78" t="n">
        <f aca="false">05_Unit_Economics!$B$15*EXP((01_Inputs!$C$20-01_Inputs!$C$21^2/2)*01_Inputs!$C$22+01_Inputs!$C$21*SQRT(01_Inputs!$C$22)*B876)</f>
        <v>50.3744942418534</v>
      </c>
      <c r="D876" s="78" t="n">
        <f aca="false">MAX(C876-05_Unit_Economics!$B$21,0)</f>
        <v>12.46688876735</v>
      </c>
      <c r="E876" s="78" t="n">
        <f aca="false">D876*EXP(-01_Inputs!$C$20*01_Inputs!$C$22)</f>
        <v>11.9302385432918</v>
      </c>
      <c r="F876" s="79"/>
    </row>
    <row r="877" customFormat="false" ht="15" hidden="false" customHeight="false" outlineLevel="0" collapsed="false">
      <c r="A877" s="76" t="n">
        <v>866</v>
      </c>
      <c r="B877" s="77" t="n">
        <v>0.204921</v>
      </c>
      <c r="C877" s="78" t="n">
        <f aca="false">05_Unit_Economics!$B$15*EXP((01_Inputs!$C$20-01_Inputs!$C$21^2/2)*01_Inputs!$C$22+01_Inputs!$C$21*SQRT(01_Inputs!$C$22)*B877)</f>
        <v>58.1444063197583</v>
      </c>
      <c r="D877" s="78" t="n">
        <f aca="false">MAX(C877-05_Unit_Economics!$B$21,0)</f>
        <v>20.2368008452548</v>
      </c>
      <c r="E877" s="78" t="n">
        <f aca="false">D877*EXP(-01_Inputs!$C$20*01_Inputs!$C$22)</f>
        <v>19.3656866554605</v>
      </c>
      <c r="F877" s="80" t="n">
        <f aca="false">AVERAGE(E876:E877)</f>
        <v>15.6479625993762</v>
      </c>
    </row>
    <row r="878" customFormat="false" ht="15" hidden="false" customHeight="false" outlineLevel="0" collapsed="false">
      <c r="A878" s="76" t="n">
        <v>867</v>
      </c>
      <c r="B878" s="77" t="n">
        <v>-0.604337</v>
      </c>
      <c r="C878" s="78" t="n">
        <f aca="false">05_Unit_Economics!$B$15*EXP((01_Inputs!$C$20-01_Inputs!$C$21^2/2)*01_Inputs!$C$22+01_Inputs!$C$21*SQRT(01_Inputs!$C$22)*B878)</f>
        <v>43.8024337257021</v>
      </c>
      <c r="D878" s="78" t="n">
        <f aca="false">MAX(C878-05_Unit_Economics!$B$21,0)</f>
        <v>5.89482825119859</v>
      </c>
      <c r="E878" s="78" t="n">
        <f aca="false">D878*EXP(-01_Inputs!$C$20*01_Inputs!$C$22)</f>
        <v>5.64107922360841</v>
      </c>
      <c r="F878" s="79"/>
    </row>
    <row r="879" customFormat="false" ht="15" hidden="false" customHeight="false" outlineLevel="0" collapsed="false">
      <c r="A879" s="76" t="n">
        <v>868</v>
      </c>
      <c r="B879" s="77" t="n">
        <v>0.604337</v>
      </c>
      <c r="C879" s="78" t="n">
        <f aca="false">05_Unit_Economics!$B$15*EXP((01_Inputs!$C$20-01_Inputs!$C$21^2/2)*01_Inputs!$C$22+01_Inputs!$C$21*SQRT(01_Inputs!$C$22)*B879)</f>
        <v>66.8683178586033</v>
      </c>
      <c r="D879" s="78" t="n">
        <f aca="false">MAX(C879-05_Unit_Economics!$B$21,0)</f>
        <v>28.9607123840999</v>
      </c>
      <c r="E879" s="78" t="n">
        <f aca="false">D879*EXP(-01_Inputs!$C$20*01_Inputs!$C$22)</f>
        <v>27.714068327203</v>
      </c>
      <c r="F879" s="80" t="n">
        <f aca="false">AVERAGE(E878:E879)</f>
        <v>16.6775737754057</v>
      </c>
    </row>
    <row r="880" customFormat="false" ht="15" hidden="false" customHeight="false" outlineLevel="0" collapsed="false">
      <c r="A880" s="76" t="n">
        <v>869</v>
      </c>
      <c r="B880" s="77" t="n">
        <v>0.608543</v>
      </c>
      <c r="C880" s="78" t="n">
        <f aca="false">05_Unit_Economics!$B$15*EXP((01_Inputs!$C$20-01_Inputs!$C$21^2/2)*01_Inputs!$C$22+01_Inputs!$C$21*SQRT(01_Inputs!$C$22)*B880)</f>
        <v>66.9668271993334</v>
      </c>
      <c r="D880" s="78" t="n">
        <f aca="false">MAX(C880-05_Unit_Economics!$B$21,0)</f>
        <v>29.05922172483</v>
      </c>
      <c r="E880" s="78" t="n">
        <f aca="false">D880*EXP(-01_Inputs!$C$20*01_Inputs!$C$22)</f>
        <v>27.8083372306628</v>
      </c>
      <c r="F880" s="79"/>
    </row>
    <row r="881" customFormat="false" ht="15" hidden="false" customHeight="false" outlineLevel="0" collapsed="false">
      <c r="A881" s="76" t="n">
        <v>870</v>
      </c>
      <c r="B881" s="77" t="n">
        <v>-0.608543</v>
      </c>
      <c r="C881" s="78" t="n">
        <f aca="false">05_Unit_Economics!$B$15*EXP((01_Inputs!$C$20-01_Inputs!$C$21^2/2)*01_Inputs!$C$22+01_Inputs!$C$21*SQRT(01_Inputs!$C$22)*B881)</f>
        <v>43.7379996013878</v>
      </c>
      <c r="D881" s="78" t="n">
        <f aca="false">MAX(C881-05_Unit_Economics!$B$21,0)</f>
        <v>5.83039412688434</v>
      </c>
      <c r="E881" s="78" t="n">
        <f aca="false">D881*EXP(-01_Inputs!$C$20*01_Inputs!$C$22)</f>
        <v>5.57941873334957</v>
      </c>
      <c r="F881" s="80" t="n">
        <f aca="false">AVERAGE(E880:E881)</f>
        <v>16.6938779820062</v>
      </c>
    </row>
    <row r="882" customFormat="false" ht="15" hidden="false" customHeight="false" outlineLevel="0" collapsed="false">
      <c r="A882" s="76" t="n">
        <v>871</v>
      </c>
      <c r="B882" s="77" t="n">
        <v>-0.228055</v>
      </c>
      <c r="C882" s="78" t="n">
        <f aca="false">05_Unit_Economics!$B$15*EXP((01_Inputs!$C$20-01_Inputs!$C$21^2/2)*01_Inputs!$C$22+01_Inputs!$C$21*SQRT(01_Inputs!$C$22)*B882)</f>
        <v>49.9682638223311</v>
      </c>
      <c r="D882" s="78" t="n">
        <f aca="false">MAX(C882-05_Unit_Economics!$B$21,0)</f>
        <v>12.0606583478277</v>
      </c>
      <c r="E882" s="78" t="n">
        <f aca="false">D882*EXP(-01_Inputs!$C$20*01_Inputs!$C$22)</f>
        <v>11.541494735684</v>
      </c>
      <c r="F882" s="79"/>
    </row>
    <row r="883" customFormat="false" ht="15" hidden="false" customHeight="false" outlineLevel="0" collapsed="false">
      <c r="A883" s="76" t="n">
        <v>872</v>
      </c>
      <c r="B883" s="77" t="n">
        <v>0.228055</v>
      </c>
      <c r="C883" s="78" t="n">
        <f aca="false">05_Unit_Economics!$B$15*EXP((01_Inputs!$C$20-01_Inputs!$C$21^2/2)*01_Inputs!$C$22+01_Inputs!$C$21*SQRT(01_Inputs!$C$22)*B883)</f>
        <v>58.617106885384</v>
      </c>
      <c r="D883" s="78" t="n">
        <f aca="false">MAX(C883-05_Unit_Economics!$B$21,0)</f>
        <v>20.7095014108806</v>
      </c>
      <c r="E883" s="78" t="n">
        <f aca="false">D883*EXP(-01_Inputs!$C$20*01_Inputs!$C$22)</f>
        <v>19.8180393324358</v>
      </c>
      <c r="F883" s="80" t="n">
        <f aca="false">AVERAGE(E882:E883)</f>
        <v>15.6797670340599</v>
      </c>
    </row>
    <row r="884" customFormat="false" ht="15" hidden="false" customHeight="false" outlineLevel="0" collapsed="false">
      <c r="A884" s="76" t="n">
        <v>873</v>
      </c>
      <c r="B884" s="77" t="n">
        <v>0.791183</v>
      </c>
      <c r="C884" s="78" t="n">
        <f aca="false">05_Unit_Economics!$B$15*EXP((01_Inputs!$C$20-01_Inputs!$C$21^2/2)*01_Inputs!$C$22+01_Inputs!$C$21*SQRT(01_Inputs!$C$22)*B884)</f>
        <v>71.3873997978279</v>
      </c>
      <c r="D884" s="78" t="n">
        <f aca="false">MAX(C884-05_Unit_Economics!$B$21,0)</f>
        <v>33.4797943233245</v>
      </c>
      <c r="E884" s="78" t="n">
        <f aca="false">D884*EXP(-01_Inputs!$C$20*01_Inputs!$C$22)</f>
        <v>32.038621673089</v>
      </c>
      <c r="F884" s="79"/>
    </row>
    <row r="885" customFormat="false" ht="15" hidden="false" customHeight="false" outlineLevel="0" collapsed="false">
      <c r="A885" s="76" t="n">
        <v>874</v>
      </c>
      <c r="B885" s="77" t="n">
        <v>-0.791183</v>
      </c>
      <c r="C885" s="78" t="n">
        <f aca="false">05_Unit_Economics!$B$15*EXP((01_Inputs!$C$20-01_Inputs!$C$21^2/2)*01_Inputs!$C$22+01_Inputs!$C$21*SQRT(01_Inputs!$C$22)*B885)</f>
        <v>41.0295804251967</v>
      </c>
      <c r="D885" s="78" t="n">
        <f aca="false">MAX(C885-05_Unit_Economics!$B$21,0)</f>
        <v>3.12197495069324</v>
      </c>
      <c r="E885" s="78" t="n">
        <f aca="false">D885*EXP(-01_Inputs!$C$20*01_Inputs!$C$22)</f>
        <v>2.98758628419761</v>
      </c>
      <c r="F885" s="80" t="n">
        <f aca="false">AVERAGE(E884:E885)</f>
        <v>17.5131039786433</v>
      </c>
    </row>
    <row r="886" customFormat="false" ht="15" hidden="false" customHeight="false" outlineLevel="0" collapsed="false">
      <c r="A886" s="76" t="n">
        <v>875</v>
      </c>
      <c r="B886" s="77" t="n">
        <v>-0.126723</v>
      </c>
      <c r="C886" s="78" t="n">
        <f aca="false">05_Unit_Economics!$B$15*EXP((01_Inputs!$C$20-01_Inputs!$C$21^2/2)*01_Inputs!$C$22+01_Inputs!$C$21*SQRT(01_Inputs!$C$22)*B886)</f>
        <v>51.7722494263086</v>
      </c>
      <c r="D886" s="78" t="n">
        <f aca="false">MAX(C886-05_Unit_Economics!$B$21,0)</f>
        <v>13.8646439518051</v>
      </c>
      <c r="E886" s="78" t="n">
        <f aca="false">D886*EXP(-01_Inputs!$C$20*01_Inputs!$C$22)</f>
        <v>13.2678258986346</v>
      </c>
      <c r="F886" s="79"/>
    </row>
    <row r="887" customFormat="false" ht="15" hidden="false" customHeight="false" outlineLevel="0" collapsed="false">
      <c r="A887" s="76" t="n">
        <v>876</v>
      </c>
      <c r="B887" s="77" t="n">
        <v>0.126723</v>
      </c>
      <c r="C887" s="78" t="n">
        <f aca="false">05_Unit_Economics!$B$15*EXP((01_Inputs!$C$20-01_Inputs!$C$21^2/2)*01_Inputs!$C$22+01_Inputs!$C$21*SQRT(01_Inputs!$C$22)*B887)</f>
        <v>56.5746146595333</v>
      </c>
      <c r="D887" s="78" t="n">
        <f aca="false">MAX(C887-05_Unit_Economics!$B$21,0)</f>
        <v>18.6670091850299</v>
      </c>
      <c r="E887" s="78" t="n">
        <f aca="false">D887*EXP(-01_Inputs!$C$20*01_Inputs!$C$22)</f>
        <v>17.8634683138</v>
      </c>
      <c r="F887" s="80" t="n">
        <f aca="false">AVERAGE(E886:E887)</f>
        <v>15.5656471062173</v>
      </c>
    </row>
    <row r="888" customFormat="false" ht="15" hidden="false" customHeight="false" outlineLevel="0" collapsed="false">
      <c r="A888" s="76" t="n">
        <v>877</v>
      </c>
      <c r="B888" s="77" t="n">
        <v>-2.293144</v>
      </c>
      <c r="C888" s="78" t="n">
        <f aca="false">05_Unit_Economics!$B$15*EXP((01_Inputs!$C$20-01_Inputs!$C$21^2/2)*01_Inputs!$C$22+01_Inputs!$C$21*SQRT(01_Inputs!$C$22)*B888)</f>
        <v>24.2546155286819</v>
      </c>
      <c r="D888" s="78" t="n">
        <f aca="false">MAX(C888-05_Unit_Economics!$B$21,0)</f>
        <v>0</v>
      </c>
      <c r="E888" s="78" t="n">
        <f aca="false">D888*EXP(-01_Inputs!$C$20*01_Inputs!$C$22)</f>
        <v>0</v>
      </c>
      <c r="F888" s="79"/>
    </row>
    <row r="889" customFormat="false" ht="15" hidden="false" customHeight="false" outlineLevel="0" collapsed="false">
      <c r="A889" s="76" t="n">
        <v>878</v>
      </c>
      <c r="B889" s="77" t="n">
        <v>2.293144</v>
      </c>
      <c r="C889" s="78" t="n">
        <f aca="false">05_Unit_Economics!$B$15*EXP((01_Inputs!$C$20-01_Inputs!$C$21^2/2)*01_Inputs!$C$22+01_Inputs!$C$21*SQRT(01_Inputs!$C$22)*B889)</f>
        <v>120.76031705747</v>
      </c>
      <c r="D889" s="78" t="n">
        <f aca="false">MAX(C889-05_Unit_Economics!$B$21,0)</f>
        <v>82.8527115829662</v>
      </c>
      <c r="E889" s="78" t="n">
        <f aca="false">D889*EXP(-01_Inputs!$C$20*01_Inputs!$C$22)</f>
        <v>79.2862302366924</v>
      </c>
      <c r="F889" s="80" t="n">
        <f aca="false">AVERAGE(E888:E889)</f>
        <v>39.6431151183462</v>
      </c>
    </row>
    <row r="890" customFormat="false" ht="15" hidden="false" customHeight="false" outlineLevel="0" collapsed="false">
      <c r="A890" s="76" t="n">
        <v>879</v>
      </c>
      <c r="B890" s="77" t="n">
        <v>0.22294</v>
      </c>
      <c r="C890" s="78" t="n">
        <f aca="false">05_Unit_Economics!$B$15*EXP((01_Inputs!$C$20-01_Inputs!$C$21^2/2)*01_Inputs!$C$22+01_Inputs!$C$21*SQRT(01_Inputs!$C$22)*B890)</f>
        <v>58.5122614875216</v>
      </c>
      <c r="D890" s="78" t="n">
        <f aca="false">MAX(C890-05_Unit_Economics!$B$21,0)</f>
        <v>20.6046560130182</v>
      </c>
      <c r="E890" s="78" t="n">
        <f aca="false">D890*EXP(-01_Inputs!$C$20*01_Inputs!$C$22)</f>
        <v>19.7177071140285</v>
      </c>
      <c r="F890" s="79"/>
    </row>
    <row r="891" customFormat="false" ht="15" hidden="false" customHeight="false" outlineLevel="0" collapsed="false">
      <c r="A891" s="76" t="n">
        <v>880</v>
      </c>
      <c r="B891" s="77" t="n">
        <v>-0.22294</v>
      </c>
      <c r="C891" s="78" t="n">
        <f aca="false">05_Unit_Economics!$B$15*EXP((01_Inputs!$C$20-01_Inputs!$C$21^2/2)*01_Inputs!$C$22+01_Inputs!$C$21*SQRT(01_Inputs!$C$22)*B891)</f>
        <v>50.057799628464</v>
      </c>
      <c r="D891" s="78" t="n">
        <f aca="false">MAX(C891-05_Unit_Economics!$B$21,0)</f>
        <v>12.1501941539606</v>
      </c>
      <c r="E891" s="78" t="n">
        <f aca="false">D891*EXP(-01_Inputs!$C$20*01_Inputs!$C$22)</f>
        <v>11.6271763796985</v>
      </c>
      <c r="F891" s="80" t="n">
        <f aca="false">AVERAGE(E890:E891)</f>
        <v>15.6724417468635</v>
      </c>
    </row>
    <row r="892" customFormat="false" ht="15" hidden="false" customHeight="false" outlineLevel="0" collapsed="false">
      <c r="A892" s="76" t="n">
        <v>881</v>
      </c>
      <c r="B892" s="77" t="n">
        <v>1.411983</v>
      </c>
      <c r="C892" s="78" t="n">
        <f aca="false">05_Unit_Economics!$B$15*EXP((01_Inputs!$C$20-01_Inputs!$C$21^2/2)*01_Inputs!$C$22+01_Inputs!$C$21*SQRT(01_Inputs!$C$22)*B892)</f>
        <v>88.7125511428947</v>
      </c>
      <c r="D892" s="78" t="n">
        <f aca="false">MAX(C892-05_Unit_Economics!$B$21,0)</f>
        <v>50.8049456683912</v>
      </c>
      <c r="E892" s="78" t="n">
        <f aca="false">D892*EXP(-01_Inputs!$C$20*01_Inputs!$C$22)</f>
        <v>48.6179938165701</v>
      </c>
      <c r="F892" s="79"/>
    </row>
    <row r="893" customFormat="false" ht="15" hidden="false" customHeight="false" outlineLevel="0" collapsed="false">
      <c r="A893" s="76" t="n">
        <v>882</v>
      </c>
      <c r="B893" s="77" t="n">
        <v>-1.411983</v>
      </c>
      <c r="C893" s="78" t="n">
        <f aca="false">05_Unit_Economics!$B$15*EXP((01_Inputs!$C$20-01_Inputs!$C$21^2/2)*01_Inputs!$C$22+01_Inputs!$C$21*SQRT(01_Inputs!$C$22)*B893)</f>
        <v>33.0166929438512</v>
      </c>
      <c r="D893" s="78" t="n">
        <f aca="false">MAX(C893-05_Unit_Economics!$B$21,0)</f>
        <v>0</v>
      </c>
      <c r="E893" s="78" t="n">
        <f aca="false">D893*EXP(-01_Inputs!$C$20*01_Inputs!$C$22)</f>
        <v>0</v>
      </c>
      <c r="F893" s="80" t="n">
        <f aca="false">AVERAGE(E892:E893)</f>
        <v>24.308996908285</v>
      </c>
    </row>
    <row r="894" customFormat="false" ht="15" hidden="false" customHeight="false" outlineLevel="0" collapsed="false">
      <c r="A894" s="76" t="n">
        <v>883</v>
      </c>
      <c r="B894" s="77" t="n">
        <v>0.729102</v>
      </c>
      <c r="C894" s="78" t="n">
        <f aca="false">05_Unit_Economics!$B$15*EXP((01_Inputs!$C$20-01_Inputs!$C$21^2/2)*01_Inputs!$C$22+01_Inputs!$C$21*SQRT(01_Inputs!$C$22)*B894)</f>
        <v>69.8529997481804</v>
      </c>
      <c r="D894" s="78" t="n">
        <f aca="false">MAX(C894-05_Unit_Economics!$B$21,0)</f>
        <v>31.945394273677</v>
      </c>
      <c r="E894" s="78" t="n">
        <f aca="false">D894*EXP(-01_Inputs!$C$20*01_Inputs!$C$22)</f>
        <v>30.570271473232</v>
      </c>
      <c r="F894" s="79"/>
    </row>
    <row r="895" customFormat="false" ht="15" hidden="false" customHeight="false" outlineLevel="0" collapsed="false">
      <c r="A895" s="76" t="n">
        <v>884</v>
      </c>
      <c r="B895" s="77" t="n">
        <v>-0.729102</v>
      </c>
      <c r="C895" s="78" t="n">
        <f aca="false">05_Unit_Economics!$B$15*EXP((01_Inputs!$C$20-01_Inputs!$C$21^2/2)*01_Inputs!$C$22+01_Inputs!$C$21*SQRT(01_Inputs!$C$22)*B895)</f>
        <v>41.9308415087349</v>
      </c>
      <c r="D895" s="78" t="n">
        <f aca="false">MAX(C895-05_Unit_Economics!$B$21,0)</f>
        <v>4.02323603423143</v>
      </c>
      <c r="E895" s="78" t="n">
        <f aca="false">D895*EXP(-01_Inputs!$C$20*01_Inputs!$C$22)</f>
        <v>3.85005164480593</v>
      </c>
      <c r="F895" s="80" t="n">
        <f aca="false">AVERAGE(E894:E895)</f>
        <v>17.210161559019</v>
      </c>
    </row>
    <row r="896" customFormat="false" ht="15" hidden="false" customHeight="false" outlineLevel="0" collapsed="false">
      <c r="A896" s="76" t="n">
        <v>885</v>
      </c>
      <c r="B896" s="77" t="n">
        <v>0.690134</v>
      </c>
      <c r="C896" s="78" t="n">
        <f aca="false">05_Unit_Economics!$B$15*EXP((01_Inputs!$C$20-01_Inputs!$C$21^2/2)*01_Inputs!$C$22+01_Inputs!$C$21*SQRT(01_Inputs!$C$22)*B896)</f>
        <v>68.9067561369577</v>
      </c>
      <c r="D896" s="78" t="n">
        <f aca="false">MAX(C896-05_Unit_Economics!$B$21,0)</f>
        <v>30.9991506624542</v>
      </c>
      <c r="E896" s="78" t="n">
        <f aca="false">D896*EXP(-01_Inputs!$C$20*01_Inputs!$C$22)</f>
        <v>29.6647599047388</v>
      </c>
      <c r="F896" s="79"/>
    </row>
    <row r="897" customFormat="false" ht="15" hidden="false" customHeight="false" outlineLevel="0" collapsed="false">
      <c r="A897" s="76" t="n">
        <v>886</v>
      </c>
      <c r="B897" s="77" t="n">
        <v>-0.690134</v>
      </c>
      <c r="C897" s="78" t="n">
        <f aca="false">05_Unit_Economics!$B$15*EXP((01_Inputs!$C$20-01_Inputs!$C$21^2/2)*01_Inputs!$C$22+01_Inputs!$C$21*SQRT(01_Inputs!$C$22)*B897)</f>
        <v>42.5066455824599</v>
      </c>
      <c r="D897" s="78" t="n">
        <f aca="false">MAX(C897-05_Unit_Economics!$B$21,0)</f>
        <v>4.59904010795639</v>
      </c>
      <c r="E897" s="78" t="n">
        <f aca="false">D897*EXP(-01_Inputs!$C$20*01_Inputs!$C$22)</f>
        <v>4.40106963188614</v>
      </c>
      <c r="F897" s="80" t="n">
        <f aca="false">AVERAGE(E896:E897)</f>
        <v>17.0329147683125</v>
      </c>
    </row>
    <row r="898" customFormat="false" ht="15" hidden="false" customHeight="false" outlineLevel="0" collapsed="false">
      <c r="A898" s="76" t="n">
        <v>887</v>
      </c>
      <c r="B898" s="77" t="n">
        <v>-0.392194</v>
      </c>
      <c r="C898" s="78" t="n">
        <f aca="false">05_Unit_Economics!$B$15*EXP((01_Inputs!$C$20-01_Inputs!$C$21^2/2)*01_Inputs!$C$22+01_Inputs!$C$21*SQRT(01_Inputs!$C$22)*B898)</f>
        <v>47.1785542558281</v>
      </c>
      <c r="D898" s="78" t="n">
        <f aca="false">MAX(C898-05_Unit_Economics!$B$21,0)</f>
        <v>9.27094878132463</v>
      </c>
      <c r="E898" s="78" t="n">
        <f aca="false">D898*EXP(-01_Inputs!$C$20*01_Inputs!$C$22)</f>
        <v>8.87187112581853</v>
      </c>
      <c r="F898" s="79"/>
    </row>
    <row r="899" customFormat="false" ht="15" hidden="false" customHeight="false" outlineLevel="0" collapsed="false">
      <c r="A899" s="76" t="n">
        <v>888</v>
      </c>
      <c r="B899" s="77" t="n">
        <v>0.392194</v>
      </c>
      <c r="C899" s="78" t="n">
        <f aca="false">05_Unit_Economics!$B$15*EXP((01_Inputs!$C$20-01_Inputs!$C$21^2/2)*01_Inputs!$C$22+01_Inputs!$C$21*SQRT(01_Inputs!$C$22)*B899)</f>
        <v>62.0831881678279</v>
      </c>
      <c r="D899" s="78" t="n">
        <f aca="false">MAX(C899-05_Unit_Economics!$B$21,0)</f>
        <v>24.1755826933244</v>
      </c>
      <c r="E899" s="78" t="n">
        <f aca="false">D899*EXP(-01_Inputs!$C$20*01_Inputs!$C$22)</f>
        <v>23.1349195325937</v>
      </c>
      <c r="F899" s="80" t="n">
        <f aca="false">AVERAGE(E898:E899)</f>
        <v>16.0033953292061</v>
      </c>
    </row>
    <row r="900" customFormat="false" ht="15" hidden="false" customHeight="false" outlineLevel="0" collapsed="false">
      <c r="A900" s="76" t="n">
        <v>889</v>
      </c>
      <c r="B900" s="77" t="n">
        <v>0.232221</v>
      </c>
      <c r="C900" s="78" t="n">
        <f aca="false">05_Unit_Economics!$B$15*EXP((01_Inputs!$C$20-01_Inputs!$C$21^2/2)*01_Inputs!$C$22+01_Inputs!$C$21*SQRT(01_Inputs!$C$22)*B900)</f>
        <v>58.7026388308446</v>
      </c>
      <c r="D900" s="78" t="n">
        <f aca="false">MAX(C900-05_Unit_Economics!$B$21,0)</f>
        <v>20.7950333563412</v>
      </c>
      <c r="E900" s="78" t="n">
        <f aca="false">D900*EXP(-01_Inputs!$C$20*01_Inputs!$C$22)</f>
        <v>19.8998894661347</v>
      </c>
      <c r="F900" s="79"/>
    </row>
    <row r="901" customFormat="false" ht="15" hidden="false" customHeight="false" outlineLevel="0" collapsed="false">
      <c r="A901" s="76" t="n">
        <v>890</v>
      </c>
      <c r="B901" s="77" t="n">
        <v>-0.232221</v>
      </c>
      <c r="C901" s="78" t="n">
        <f aca="false">05_Unit_Economics!$B$15*EXP((01_Inputs!$C$20-01_Inputs!$C$21^2/2)*01_Inputs!$C$22+01_Inputs!$C$21*SQRT(01_Inputs!$C$22)*B901)</f>
        <v>49.8954581886981</v>
      </c>
      <c r="D901" s="78" t="n">
        <f aca="false">MAX(C901-05_Unit_Economics!$B$21,0)</f>
        <v>11.9878527141946</v>
      </c>
      <c r="E901" s="78" t="n">
        <f aca="false">D901*EXP(-01_Inputs!$C$20*01_Inputs!$C$22)</f>
        <v>11.4718230964525</v>
      </c>
      <c r="F901" s="80" t="n">
        <f aca="false">AVERAGE(E900:E901)</f>
        <v>15.6858562812936</v>
      </c>
    </row>
    <row r="902" customFormat="false" ht="15" hidden="false" customHeight="false" outlineLevel="0" collapsed="false">
      <c r="A902" s="76" t="n">
        <v>891</v>
      </c>
      <c r="B902" s="77" t="n">
        <v>0.237112</v>
      </c>
      <c r="C902" s="78" t="n">
        <f aca="false">05_Unit_Economics!$B$15*EXP((01_Inputs!$C$20-01_Inputs!$C$21^2/2)*01_Inputs!$C$22+01_Inputs!$C$21*SQRT(01_Inputs!$C$22)*B902)</f>
        <v>58.8032150042275</v>
      </c>
      <c r="D902" s="78" t="n">
        <f aca="false">MAX(C902-05_Unit_Economics!$B$21,0)</f>
        <v>20.895609529724</v>
      </c>
      <c r="E902" s="78" t="n">
        <f aca="false">D902*EXP(-01_Inputs!$C$20*01_Inputs!$C$22)</f>
        <v>19.9961362332809</v>
      </c>
      <c r="F902" s="79"/>
    </row>
    <row r="903" customFormat="false" ht="15" hidden="false" customHeight="false" outlineLevel="0" collapsed="false">
      <c r="A903" s="76" t="n">
        <v>892</v>
      </c>
      <c r="B903" s="77" t="n">
        <v>-0.237112</v>
      </c>
      <c r="C903" s="78" t="n">
        <f aca="false">05_Unit_Economics!$B$15*EXP((01_Inputs!$C$20-01_Inputs!$C$21^2/2)*01_Inputs!$C$22+01_Inputs!$C$21*SQRT(01_Inputs!$C$22)*B903)</f>
        <v>49.8101177144835</v>
      </c>
      <c r="D903" s="78" t="n">
        <f aca="false">MAX(C903-05_Unit_Economics!$B$21,0)</f>
        <v>11.90251223998</v>
      </c>
      <c r="E903" s="78" t="n">
        <f aca="false">D903*EXP(-01_Inputs!$C$20*01_Inputs!$C$22)</f>
        <v>11.3901561919203</v>
      </c>
      <c r="F903" s="80" t="n">
        <f aca="false">AVERAGE(E902:E903)</f>
        <v>15.6931462126006</v>
      </c>
    </row>
    <row r="904" customFormat="false" ht="15" hidden="false" customHeight="false" outlineLevel="0" collapsed="false">
      <c r="A904" s="76" t="n">
        <v>893</v>
      </c>
      <c r="B904" s="77" t="n">
        <v>0.246337</v>
      </c>
      <c r="C904" s="78" t="n">
        <f aca="false">05_Unit_Economics!$B$15*EXP((01_Inputs!$C$20-01_Inputs!$C$21^2/2)*01_Inputs!$C$22+01_Inputs!$C$21*SQRT(01_Inputs!$C$22)*B904)</f>
        <v>58.9933827214755</v>
      </c>
      <c r="D904" s="78" t="n">
        <f aca="false">MAX(C904-05_Unit_Economics!$B$21,0)</f>
        <v>21.085777246972</v>
      </c>
      <c r="E904" s="78" t="n">
        <f aca="false">D904*EXP(-01_Inputs!$C$20*01_Inputs!$C$22)</f>
        <v>20.178117982885</v>
      </c>
      <c r="F904" s="79"/>
    </row>
    <row r="905" customFormat="false" ht="15" hidden="false" customHeight="false" outlineLevel="0" collapsed="false">
      <c r="A905" s="76" t="n">
        <v>894</v>
      </c>
      <c r="B905" s="77" t="n">
        <v>-0.246337</v>
      </c>
      <c r="C905" s="78" t="n">
        <f aca="false">05_Unit_Economics!$B$15*EXP((01_Inputs!$C$20-01_Inputs!$C$21^2/2)*01_Inputs!$C$22+01_Inputs!$C$21*SQRT(01_Inputs!$C$22)*B905)</f>
        <v>49.6495526486296</v>
      </c>
      <c r="D905" s="78" t="n">
        <f aca="false">MAX(C905-05_Unit_Economics!$B$21,0)</f>
        <v>11.7419471741261</v>
      </c>
      <c r="E905" s="78" t="n">
        <f aca="false">D905*EXP(-01_Inputs!$C$20*01_Inputs!$C$22)</f>
        <v>11.2365028167195</v>
      </c>
      <c r="F905" s="80" t="n">
        <f aca="false">AVERAGE(E904:E905)</f>
        <v>15.7073103998022</v>
      </c>
    </row>
    <row r="906" customFormat="false" ht="15" hidden="false" customHeight="false" outlineLevel="0" collapsed="false">
      <c r="A906" s="76" t="n">
        <v>895</v>
      </c>
      <c r="B906" s="77" t="n">
        <v>0.355746</v>
      </c>
      <c r="C906" s="78" t="n">
        <f aca="false">05_Unit_Economics!$B$15*EXP((01_Inputs!$C$20-01_Inputs!$C$21^2/2)*01_Inputs!$C$22+01_Inputs!$C$21*SQRT(01_Inputs!$C$22)*B906)</f>
        <v>61.2962355238475</v>
      </c>
      <c r="D906" s="78" t="n">
        <f aca="false">MAX(C906-05_Unit_Economics!$B$21,0)</f>
        <v>23.3886300493441</v>
      </c>
      <c r="E906" s="78" t="n">
        <f aca="false">D906*EXP(-01_Inputs!$C$20*01_Inputs!$C$22)</f>
        <v>22.3818420855928</v>
      </c>
      <c r="F906" s="79"/>
    </row>
    <row r="907" customFormat="false" ht="15" hidden="false" customHeight="false" outlineLevel="0" collapsed="false">
      <c r="A907" s="76" t="n">
        <v>896</v>
      </c>
      <c r="B907" s="77" t="n">
        <v>-0.355746</v>
      </c>
      <c r="C907" s="78" t="n">
        <f aca="false">05_Unit_Economics!$B$15*EXP((01_Inputs!$C$20-01_Inputs!$C$21^2/2)*01_Inputs!$C$22+01_Inputs!$C$21*SQRT(01_Inputs!$C$22)*B907)</f>
        <v>47.7842568359865</v>
      </c>
      <c r="D907" s="78" t="n">
        <f aca="false">MAX(C907-05_Unit_Economics!$B$21,0)</f>
        <v>9.87665136148307</v>
      </c>
      <c r="E907" s="78" t="n">
        <f aca="false">D907*EXP(-01_Inputs!$C$20*01_Inputs!$C$22)</f>
        <v>9.45150060695278</v>
      </c>
      <c r="F907" s="80" t="n">
        <f aca="false">AVERAGE(E906:E907)</f>
        <v>15.9166713462728</v>
      </c>
    </row>
    <row r="908" customFormat="false" ht="15" hidden="false" customHeight="false" outlineLevel="0" collapsed="false">
      <c r="A908" s="76" t="n">
        <v>897</v>
      </c>
      <c r="B908" s="77" t="n">
        <v>-0.080117</v>
      </c>
      <c r="C908" s="78" t="n">
        <f aca="false">05_Unit_Economics!$B$15*EXP((01_Inputs!$C$20-01_Inputs!$C$21^2/2)*01_Inputs!$C$22+01_Inputs!$C$21*SQRT(01_Inputs!$C$22)*B908)</f>
        <v>52.6236890407453</v>
      </c>
      <c r="D908" s="78" t="n">
        <f aca="false">MAX(C908-05_Unit_Economics!$B$21,0)</f>
        <v>14.7160835662418</v>
      </c>
      <c r="E908" s="78" t="n">
        <f aca="false">D908*EXP(-01_Inputs!$C$20*01_Inputs!$C$22)</f>
        <v>14.0826144072192</v>
      </c>
      <c r="F908" s="79"/>
    </row>
    <row r="909" customFormat="false" ht="15" hidden="false" customHeight="false" outlineLevel="0" collapsed="false">
      <c r="A909" s="76" t="n">
        <v>898</v>
      </c>
      <c r="B909" s="77" t="n">
        <v>0.080117</v>
      </c>
      <c r="C909" s="78" t="n">
        <f aca="false">05_Unit_Economics!$B$15*EXP((01_Inputs!$C$20-01_Inputs!$C$21^2/2)*01_Inputs!$C$22+01_Inputs!$C$21*SQRT(01_Inputs!$C$22)*B909)</f>
        <v>55.6592499450732</v>
      </c>
      <c r="D909" s="78" t="n">
        <f aca="false">MAX(C909-05_Unit_Economics!$B$21,0)</f>
        <v>17.7516444705698</v>
      </c>
      <c r="E909" s="78" t="n">
        <f aca="false">D909*EXP(-01_Inputs!$C$20*01_Inputs!$C$22)</f>
        <v>16.9875064277663</v>
      </c>
      <c r="F909" s="80" t="n">
        <f aca="false">AVERAGE(E908:E909)</f>
        <v>15.5350604174927</v>
      </c>
    </row>
    <row r="910" customFormat="false" ht="15" hidden="false" customHeight="false" outlineLevel="0" collapsed="false">
      <c r="A910" s="76" t="n">
        <v>899</v>
      </c>
      <c r="B910" s="77" t="n">
        <v>0.397554</v>
      </c>
      <c r="C910" s="78" t="n">
        <f aca="false">05_Unit_Economics!$B$15*EXP((01_Inputs!$C$20-01_Inputs!$C$21^2/2)*01_Inputs!$C$22+01_Inputs!$C$21*SQRT(01_Inputs!$C$22)*B910)</f>
        <v>62.1997655442198</v>
      </c>
      <c r="D910" s="78" t="n">
        <f aca="false">MAX(C910-05_Unit_Economics!$B$21,0)</f>
        <v>24.2921600697163</v>
      </c>
      <c r="E910" s="78" t="n">
        <f aca="false">D910*EXP(-01_Inputs!$C$20*01_Inputs!$C$22)</f>
        <v>23.2464787142838</v>
      </c>
      <c r="F910" s="79"/>
    </row>
    <row r="911" customFormat="false" ht="15" hidden="false" customHeight="false" outlineLevel="0" collapsed="false">
      <c r="A911" s="76" t="n">
        <v>900</v>
      </c>
      <c r="B911" s="77" t="n">
        <v>-0.397554</v>
      </c>
      <c r="C911" s="78" t="n">
        <f aca="false">05_Unit_Economics!$B$15*EXP((01_Inputs!$C$20-01_Inputs!$C$21^2/2)*01_Inputs!$C$22+01_Inputs!$C$21*SQRT(01_Inputs!$C$22)*B911)</f>
        <v>47.0901302556894</v>
      </c>
      <c r="D911" s="78" t="n">
        <f aca="false">MAX(C911-05_Unit_Economics!$B$21,0)</f>
        <v>9.18252478118594</v>
      </c>
      <c r="E911" s="78" t="n">
        <f aca="false">D911*EXP(-01_Inputs!$C$20*01_Inputs!$C$22)</f>
        <v>8.78725342895021</v>
      </c>
      <c r="F911" s="80" t="n">
        <f aca="false">AVERAGE(E910:E911)</f>
        <v>16.016866071617</v>
      </c>
    </row>
    <row r="912" customFormat="false" ht="15" hidden="false" customHeight="false" outlineLevel="0" collapsed="false">
      <c r="A912" s="76" t="n">
        <v>901</v>
      </c>
      <c r="B912" s="77" t="n">
        <v>0.763892</v>
      </c>
      <c r="C912" s="78" t="n">
        <f aca="false">05_Unit_Economics!$B$15*EXP((01_Inputs!$C$20-01_Inputs!$C$21^2/2)*01_Inputs!$C$22+01_Inputs!$C$21*SQRT(01_Inputs!$C$22)*B912)</f>
        <v>70.7087643349039</v>
      </c>
      <c r="D912" s="78" t="n">
        <f aca="false">MAX(C912-05_Unit_Economics!$B$21,0)</f>
        <v>32.8011588604004</v>
      </c>
      <c r="E912" s="78" t="n">
        <f aca="false">D912*EXP(-01_Inputs!$C$20*01_Inputs!$C$22)</f>
        <v>31.3891987811622</v>
      </c>
      <c r="F912" s="79"/>
    </row>
    <row r="913" customFormat="false" ht="15" hidden="false" customHeight="false" outlineLevel="0" collapsed="false">
      <c r="A913" s="76" t="n">
        <v>902</v>
      </c>
      <c r="B913" s="77" t="n">
        <v>-0.763892</v>
      </c>
      <c r="C913" s="78" t="n">
        <f aca="false">05_Unit_Economics!$B$15*EXP((01_Inputs!$C$20-01_Inputs!$C$21^2/2)*01_Inputs!$C$22+01_Inputs!$C$21*SQRT(01_Inputs!$C$22)*B913)</f>
        <v>41.4233665218332</v>
      </c>
      <c r="D913" s="78" t="n">
        <f aca="false">MAX(C913-05_Unit_Economics!$B$21,0)</f>
        <v>3.51576104732976</v>
      </c>
      <c r="E913" s="78" t="n">
        <f aca="false">D913*EXP(-01_Inputs!$C$20*01_Inputs!$C$22)</f>
        <v>3.3644214477718</v>
      </c>
      <c r="F913" s="80" t="n">
        <f aca="false">AVERAGE(E912:E913)</f>
        <v>17.376810114467</v>
      </c>
    </row>
    <row r="914" customFormat="false" ht="15" hidden="false" customHeight="false" outlineLevel="0" collapsed="false">
      <c r="A914" s="76" t="n">
        <v>903</v>
      </c>
      <c r="B914" s="77" t="n">
        <v>1.535586</v>
      </c>
      <c r="C914" s="78" t="n">
        <f aca="false">05_Unit_Economics!$B$15*EXP((01_Inputs!$C$20-01_Inputs!$C$21^2/2)*01_Inputs!$C$22+01_Inputs!$C$21*SQRT(01_Inputs!$C$22)*B914)</f>
        <v>92.6345729861046</v>
      </c>
      <c r="D914" s="78" t="n">
        <f aca="false">MAX(C914-05_Unit_Economics!$B$21,0)</f>
        <v>54.7269675116011</v>
      </c>
      <c r="E914" s="78" t="n">
        <f aca="false">D914*EXP(-01_Inputs!$C$20*01_Inputs!$C$22)</f>
        <v>52.3711881407255</v>
      </c>
      <c r="F914" s="79"/>
    </row>
    <row r="915" customFormat="false" ht="15" hidden="false" customHeight="false" outlineLevel="0" collapsed="false">
      <c r="A915" s="76" t="n">
        <v>904</v>
      </c>
      <c r="B915" s="77" t="n">
        <v>-1.535586</v>
      </c>
      <c r="C915" s="78" t="n">
        <f aca="false">05_Unit_Economics!$B$15*EXP((01_Inputs!$C$20-01_Inputs!$C$21^2/2)*01_Inputs!$C$22+01_Inputs!$C$21*SQRT(01_Inputs!$C$22)*B915)</f>
        <v>31.6188110651734</v>
      </c>
      <c r="D915" s="78" t="n">
        <f aca="false">MAX(C915-05_Unit_Economics!$B$21,0)</f>
        <v>0</v>
      </c>
      <c r="E915" s="78" t="n">
        <f aca="false">D915*EXP(-01_Inputs!$C$20*01_Inputs!$C$22)</f>
        <v>0</v>
      </c>
      <c r="F915" s="80" t="n">
        <f aca="false">AVERAGE(E914:E915)</f>
        <v>26.1855940703628</v>
      </c>
    </row>
    <row r="916" customFormat="false" ht="15" hidden="false" customHeight="false" outlineLevel="0" collapsed="false">
      <c r="A916" s="76" t="n">
        <v>905</v>
      </c>
      <c r="B916" s="77" t="n">
        <v>1.056754</v>
      </c>
      <c r="C916" s="78" t="n">
        <f aca="false">05_Unit_Economics!$B$15*EXP((01_Inputs!$C$20-01_Inputs!$C$21^2/2)*01_Inputs!$C$22+01_Inputs!$C$21*SQRT(01_Inputs!$C$22)*B916)</f>
        <v>78.3410107581947</v>
      </c>
      <c r="D916" s="78" t="n">
        <f aca="false">MAX(C916-05_Unit_Economics!$B$21,0)</f>
        <v>40.4334052836912</v>
      </c>
      <c r="E916" s="78" t="n">
        <f aca="false">D916*EXP(-01_Inputs!$C$20*01_Inputs!$C$22)</f>
        <v>38.6929072003399</v>
      </c>
      <c r="F916" s="79"/>
    </row>
    <row r="917" customFormat="false" ht="15" hidden="false" customHeight="false" outlineLevel="0" collapsed="false">
      <c r="A917" s="76" t="n">
        <v>906</v>
      </c>
      <c r="B917" s="77" t="n">
        <v>-1.056754</v>
      </c>
      <c r="C917" s="78" t="n">
        <f aca="false">05_Unit_Economics!$B$15*EXP((01_Inputs!$C$20-01_Inputs!$C$21^2/2)*01_Inputs!$C$22+01_Inputs!$C$21*SQRT(01_Inputs!$C$22)*B917)</f>
        <v>37.3877619525642</v>
      </c>
      <c r="D917" s="78" t="n">
        <f aca="false">MAX(C917-05_Unit_Economics!$B$21,0)</f>
        <v>0</v>
      </c>
      <c r="E917" s="78" t="n">
        <f aca="false">D917*EXP(-01_Inputs!$C$20*01_Inputs!$C$22)</f>
        <v>0</v>
      </c>
      <c r="F917" s="80" t="n">
        <f aca="false">AVERAGE(E916:E917)</f>
        <v>19.34645360017</v>
      </c>
    </row>
    <row r="918" customFormat="false" ht="15" hidden="false" customHeight="false" outlineLevel="0" collapsed="false">
      <c r="A918" s="76" t="n">
        <v>907</v>
      </c>
      <c r="B918" s="77" t="n">
        <v>-2.391799</v>
      </c>
      <c r="C918" s="78" t="n">
        <f aca="false">05_Unit_Economics!$B$15*EXP((01_Inputs!$C$20-01_Inputs!$C$21^2/2)*01_Inputs!$C$22+01_Inputs!$C$21*SQRT(01_Inputs!$C$22)*B918)</f>
        <v>23.4314158669008</v>
      </c>
      <c r="D918" s="78" t="n">
        <f aca="false">MAX(C918-05_Unit_Economics!$B$21,0)</f>
        <v>0</v>
      </c>
      <c r="E918" s="78" t="n">
        <f aca="false">D918*EXP(-01_Inputs!$C$20*01_Inputs!$C$22)</f>
        <v>0</v>
      </c>
      <c r="F918" s="79"/>
    </row>
    <row r="919" customFormat="false" ht="15" hidden="false" customHeight="false" outlineLevel="0" collapsed="false">
      <c r="A919" s="76" t="n">
        <v>908</v>
      </c>
      <c r="B919" s="77" t="n">
        <v>2.391799</v>
      </c>
      <c r="C919" s="78" t="n">
        <f aca="false">05_Unit_Economics!$B$15*EXP((01_Inputs!$C$20-01_Inputs!$C$21^2/2)*01_Inputs!$C$22+01_Inputs!$C$21*SQRT(01_Inputs!$C$22)*B919)</f>
        <v>125.00290541504</v>
      </c>
      <c r="D919" s="78" t="n">
        <f aca="false">MAX(C919-05_Unit_Economics!$B$21,0)</f>
        <v>87.0952999405361</v>
      </c>
      <c r="E919" s="78" t="n">
        <f aca="false">D919*EXP(-01_Inputs!$C$20*01_Inputs!$C$22)</f>
        <v>83.346191955398</v>
      </c>
      <c r="F919" s="80" t="n">
        <f aca="false">AVERAGE(E918:E919)</f>
        <v>41.673095977699</v>
      </c>
    </row>
    <row r="920" customFormat="false" ht="15" hidden="false" customHeight="false" outlineLevel="0" collapsed="false">
      <c r="A920" s="76" t="n">
        <v>909</v>
      </c>
      <c r="B920" s="77" t="n">
        <v>-1.705771</v>
      </c>
      <c r="C920" s="78" t="n">
        <f aca="false">05_Unit_Economics!$B$15*EXP((01_Inputs!$C$20-01_Inputs!$C$21^2/2)*01_Inputs!$C$22+01_Inputs!$C$21*SQRT(01_Inputs!$C$22)*B920)</f>
        <v>29.7904383221821</v>
      </c>
      <c r="D920" s="78" t="n">
        <f aca="false">MAX(C920-05_Unit_Economics!$B$21,0)</f>
        <v>0</v>
      </c>
      <c r="E920" s="78" t="n">
        <f aca="false">D920*EXP(-01_Inputs!$C$20*01_Inputs!$C$22)</f>
        <v>0</v>
      </c>
      <c r="F920" s="79"/>
    </row>
    <row r="921" customFormat="false" ht="15" hidden="false" customHeight="false" outlineLevel="0" collapsed="false">
      <c r="A921" s="76" t="n">
        <v>910</v>
      </c>
      <c r="B921" s="77" t="n">
        <v>1.705771</v>
      </c>
      <c r="C921" s="78" t="n">
        <f aca="false">05_Unit_Economics!$B$15*EXP((01_Inputs!$C$20-01_Inputs!$C$21^2/2)*01_Inputs!$C$22+01_Inputs!$C$21*SQRT(01_Inputs!$C$22)*B921)</f>
        <v>98.3199719881165</v>
      </c>
      <c r="D921" s="78" t="n">
        <f aca="false">MAX(C921-05_Unit_Economics!$B$21,0)</f>
        <v>60.412366513613</v>
      </c>
      <c r="E921" s="78" t="n">
        <f aca="false">D921*EXP(-01_Inputs!$C$20*01_Inputs!$C$22)</f>
        <v>57.8118532155142</v>
      </c>
      <c r="F921" s="80" t="n">
        <f aca="false">AVERAGE(E920:E921)</f>
        <v>28.9059266077571</v>
      </c>
    </row>
    <row r="922" customFormat="false" ht="15" hidden="false" customHeight="false" outlineLevel="0" collapsed="false">
      <c r="A922" s="76" t="n">
        <v>911</v>
      </c>
      <c r="B922" s="77" t="n">
        <v>-0.078549</v>
      </c>
      <c r="C922" s="78" t="n">
        <f aca="false">05_Unit_Economics!$B$15*EXP((01_Inputs!$C$20-01_Inputs!$C$21^2/2)*01_Inputs!$C$22+01_Inputs!$C$21*SQRT(01_Inputs!$C$22)*B922)</f>
        <v>52.6525768473799</v>
      </c>
      <c r="D922" s="78" t="n">
        <f aca="false">MAX(C922-05_Unit_Economics!$B$21,0)</f>
        <v>14.7449713728765</v>
      </c>
      <c r="E922" s="78" t="n">
        <f aca="false">D922*EXP(-01_Inputs!$C$20*01_Inputs!$C$22)</f>
        <v>14.1102587081009</v>
      </c>
      <c r="F922" s="79"/>
    </row>
    <row r="923" customFormat="false" ht="15" hidden="false" customHeight="false" outlineLevel="0" collapsed="false">
      <c r="A923" s="76" t="n">
        <v>912</v>
      </c>
      <c r="B923" s="77" t="n">
        <v>0.078549</v>
      </c>
      <c r="C923" s="78" t="n">
        <f aca="false">05_Unit_Economics!$B$15*EXP((01_Inputs!$C$20-01_Inputs!$C$21^2/2)*01_Inputs!$C$22+01_Inputs!$C$21*SQRT(01_Inputs!$C$22)*B923)</f>
        <v>55.6287125289368</v>
      </c>
      <c r="D923" s="78" t="n">
        <f aca="false">MAX(C923-05_Unit_Economics!$B$21,0)</f>
        <v>17.7211070544333</v>
      </c>
      <c r="E923" s="78" t="n">
        <f aca="false">D923*EXP(-01_Inputs!$C$20*01_Inputs!$C$22)</f>
        <v>16.9582835265435</v>
      </c>
      <c r="F923" s="80" t="n">
        <f aca="false">AVERAGE(E922:E923)</f>
        <v>15.5342711173222</v>
      </c>
    </row>
    <row r="924" customFormat="false" ht="15" hidden="false" customHeight="false" outlineLevel="0" collapsed="false">
      <c r="A924" s="76" t="n">
        <v>913</v>
      </c>
      <c r="B924" s="77" t="n">
        <v>0.675976</v>
      </c>
      <c r="C924" s="78" t="n">
        <f aca="false">05_Unit_Economics!$B$15*EXP((01_Inputs!$C$20-01_Inputs!$C$21^2/2)*01_Inputs!$C$22+01_Inputs!$C$21*SQRT(01_Inputs!$C$22)*B924)</f>
        <v>68.5661470952354</v>
      </c>
      <c r="D924" s="78" t="n">
        <f aca="false">MAX(C924-05_Unit_Economics!$B$21,0)</f>
        <v>30.6585416207319</v>
      </c>
      <c r="E924" s="78" t="n">
        <f aca="false">D924*EXP(-01_Inputs!$C$20*01_Inputs!$C$22)</f>
        <v>29.3388127343115</v>
      </c>
      <c r="F924" s="79"/>
    </row>
    <row r="925" customFormat="false" ht="15" hidden="false" customHeight="false" outlineLevel="0" collapsed="false">
      <c r="A925" s="76" t="n">
        <v>914</v>
      </c>
      <c r="B925" s="77" t="n">
        <v>-0.675976</v>
      </c>
      <c r="C925" s="78" t="n">
        <f aca="false">05_Unit_Economics!$B$15*EXP((01_Inputs!$C$20-01_Inputs!$C$21^2/2)*01_Inputs!$C$22+01_Inputs!$C$21*SQRT(01_Inputs!$C$22)*B925)</f>
        <v>42.7178015017003</v>
      </c>
      <c r="D925" s="78" t="n">
        <f aca="false">MAX(C925-05_Unit_Economics!$B$21,0)</f>
        <v>4.81019602719687</v>
      </c>
      <c r="E925" s="78" t="n">
        <f aca="false">D925*EXP(-01_Inputs!$C$20*01_Inputs!$C$22)</f>
        <v>4.60313612444717</v>
      </c>
      <c r="F925" s="80" t="n">
        <f aca="false">AVERAGE(E924:E925)</f>
        <v>16.9709744293793</v>
      </c>
    </row>
    <row r="926" customFormat="false" ht="15" hidden="false" customHeight="false" outlineLevel="0" collapsed="false">
      <c r="A926" s="76" t="n">
        <v>915</v>
      </c>
      <c r="B926" s="77" t="n">
        <v>1.364254</v>
      </c>
      <c r="C926" s="78" t="n">
        <f aca="false">05_Unit_Economics!$B$15*EXP((01_Inputs!$C$20-01_Inputs!$C$21^2/2)*01_Inputs!$C$22+01_Inputs!$C$21*SQRT(01_Inputs!$C$22)*B926)</f>
        <v>87.2429041823619</v>
      </c>
      <c r="D926" s="78" t="n">
        <f aca="false">MAX(C926-05_Unit_Economics!$B$21,0)</f>
        <v>49.3352987078584</v>
      </c>
      <c r="E926" s="78" t="n">
        <f aca="false">D926*EXP(-01_Inputs!$C$20*01_Inputs!$C$22)</f>
        <v>47.2116093416</v>
      </c>
      <c r="F926" s="79"/>
    </row>
    <row r="927" customFormat="false" ht="15" hidden="false" customHeight="false" outlineLevel="0" collapsed="false">
      <c r="A927" s="76" t="n">
        <v>916</v>
      </c>
      <c r="B927" s="77" t="n">
        <v>-1.364254</v>
      </c>
      <c r="C927" s="78" t="n">
        <f aca="false">05_Unit_Economics!$B$15*EXP((01_Inputs!$C$20-01_Inputs!$C$21^2/2)*01_Inputs!$C$22+01_Inputs!$C$21*SQRT(01_Inputs!$C$22)*B927)</f>
        <v>33.5728743649826</v>
      </c>
      <c r="D927" s="78" t="n">
        <f aca="false">MAX(C927-05_Unit_Economics!$B$21,0)</f>
        <v>0</v>
      </c>
      <c r="E927" s="78" t="n">
        <f aca="false">D927*EXP(-01_Inputs!$C$20*01_Inputs!$C$22)</f>
        <v>0</v>
      </c>
      <c r="F927" s="80" t="n">
        <f aca="false">AVERAGE(E926:E927)</f>
        <v>23.6058046708</v>
      </c>
    </row>
    <row r="928" customFormat="false" ht="15" hidden="false" customHeight="false" outlineLevel="0" collapsed="false">
      <c r="A928" s="76" t="n">
        <v>917</v>
      </c>
      <c r="B928" s="77" t="n">
        <v>-0.439355</v>
      </c>
      <c r="C928" s="78" t="n">
        <f aca="false">05_Unit_Economics!$B$15*EXP((01_Inputs!$C$20-01_Inputs!$C$21^2/2)*01_Inputs!$C$22+01_Inputs!$C$21*SQRT(01_Inputs!$C$22)*B928)</f>
        <v>46.4062004342265</v>
      </c>
      <c r="D928" s="78" t="n">
        <f aca="false">MAX(C928-05_Unit_Economics!$B$21,0)</f>
        <v>8.49859495972306</v>
      </c>
      <c r="E928" s="78" t="n">
        <f aca="false">D928*EXP(-01_Inputs!$C$20*01_Inputs!$C$22)</f>
        <v>8.13276407966747</v>
      </c>
      <c r="F928" s="79"/>
    </row>
    <row r="929" customFormat="false" ht="15" hidden="false" customHeight="false" outlineLevel="0" collapsed="false">
      <c r="A929" s="76" t="n">
        <v>918</v>
      </c>
      <c r="B929" s="77" t="n">
        <v>0.439355</v>
      </c>
      <c r="C929" s="78" t="n">
        <f aca="false">05_Unit_Economics!$B$15*EXP((01_Inputs!$C$20-01_Inputs!$C$21^2/2)*01_Inputs!$C$22+01_Inputs!$C$21*SQRT(01_Inputs!$C$22)*B929)</f>
        <v>63.1164593081056</v>
      </c>
      <c r="D929" s="78" t="n">
        <f aca="false">MAX(C929-05_Unit_Economics!$B$21,0)</f>
        <v>25.2088538336021</v>
      </c>
      <c r="E929" s="78" t="n">
        <f aca="false">D929*EXP(-01_Inputs!$C$20*01_Inputs!$C$22)</f>
        <v>24.1237124394252</v>
      </c>
      <c r="F929" s="80" t="n">
        <f aca="false">AVERAGE(E928:E929)</f>
        <v>16.1282382595463</v>
      </c>
    </row>
    <row r="930" customFormat="false" ht="15" hidden="false" customHeight="false" outlineLevel="0" collapsed="false">
      <c r="A930" s="76" t="n">
        <v>919</v>
      </c>
      <c r="B930" s="77" t="n">
        <v>0.791241</v>
      </c>
      <c r="C930" s="78" t="n">
        <f aca="false">05_Unit_Economics!$B$15*EXP((01_Inputs!$C$20-01_Inputs!$C$21^2/2)*01_Inputs!$C$22+01_Inputs!$C$21*SQRT(01_Inputs!$C$22)*B930)</f>
        <v>71.3888489767529</v>
      </c>
      <c r="D930" s="78" t="n">
        <f aca="false">MAX(C930-05_Unit_Economics!$B$21,0)</f>
        <v>33.4812435022495</v>
      </c>
      <c r="E930" s="78" t="n">
        <f aca="false">D930*EXP(-01_Inputs!$C$20*01_Inputs!$C$22)</f>
        <v>32.0400084705964</v>
      </c>
      <c r="F930" s="79"/>
    </row>
    <row r="931" customFormat="false" ht="15" hidden="false" customHeight="false" outlineLevel="0" collapsed="false">
      <c r="A931" s="76" t="n">
        <v>920</v>
      </c>
      <c r="B931" s="77" t="n">
        <v>-0.791241</v>
      </c>
      <c r="C931" s="78" t="n">
        <f aca="false">05_Unit_Economics!$B$15*EXP((01_Inputs!$C$20-01_Inputs!$C$21^2/2)*01_Inputs!$C$22+01_Inputs!$C$21*SQRT(01_Inputs!$C$22)*B931)</f>
        <v>41.028747533168</v>
      </c>
      <c r="D931" s="78" t="n">
        <f aca="false">MAX(C931-05_Unit_Economics!$B$21,0)</f>
        <v>3.12114205866448</v>
      </c>
      <c r="E931" s="78" t="n">
        <f aca="false">D931*EXP(-01_Inputs!$C$20*01_Inputs!$C$22)</f>
        <v>2.98678924487455</v>
      </c>
      <c r="F931" s="80" t="n">
        <f aca="false">AVERAGE(E930:E931)</f>
        <v>17.5133988577355</v>
      </c>
    </row>
    <row r="932" customFormat="false" ht="15" hidden="false" customHeight="false" outlineLevel="0" collapsed="false">
      <c r="A932" s="76" t="n">
        <v>921</v>
      </c>
      <c r="B932" s="77" t="n">
        <v>0.988663</v>
      </c>
      <c r="C932" s="78" t="n">
        <f aca="false">05_Unit_Economics!$B$15*EXP((01_Inputs!$C$20-01_Inputs!$C$21^2/2)*01_Inputs!$C$22+01_Inputs!$C$21*SQRT(01_Inputs!$C$22)*B932)</f>
        <v>76.4960710241783</v>
      </c>
      <c r="D932" s="78" t="n">
        <f aca="false">MAX(C932-05_Unit_Economics!$B$21,0)</f>
        <v>38.5884655496749</v>
      </c>
      <c r="E932" s="78" t="n">
        <f aca="false">D932*EXP(-01_Inputs!$C$20*01_Inputs!$C$22)</f>
        <v>36.9273848205737</v>
      </c>
      <c r="F932" s="79"/>
    </row>
    <row r="933" customFormat="false" ht="15" hidden="false" customHeight="false" outlineLevel="0" collapsed="false">
      <c r="A933" s="76" t="n">
        <v>922</v>
      </c>
      <c r="B933" s="77" t="n">
        <v>-0.988663</v>
      </c>
      <c r="C933" s="78" t="n">
        <f aca="false">05_Unit_Economics!$B$15*EXP((01_Inputs!$C$20-01_Inputs!$C$21^2/2)*01_Inputs!$C$22+01_Inputs!$C$21*SQRT(01_Inputs!$C$22)*B933)</f>
        <v>38.289483657597</v>
      </c>
      <c r="D933" s="78" t="n">
        <f aca="false">MAX(C933-05_Unit_Economics!$B$21,0)</f>
        <v>0.381878183093484</v>
      </c>
      <c r="E933" s="78" t="n">
        <f aca="false">D933*EXP(-01_Inputs!$C$20*01_Inputs!$C$22)</f>
        <v>0.365439838583926</v>
      </c>
      <c r="F933" s="80" t="n">
        <f aca="false">AVERAGE(E932:E933)</f>
        <v>18.6464123295788</v>
      </c>
    </row>
    <row r="934" customFormat="false" ht="15" hidden="false" customHeight="false" outlineLevel="0" collapsed="false">
      <c r="A934" s="76" t="n">
        <v>923</v>
      </c>
      <c r="B934" s="77" t="n">
        <v>0.490986</v>
      </c>
      <c r="C934" s="78" t="n">
        <f aca="false">05_Unit_Economics!$B$15*EXP((01_Inputs!$C$20-01_Inputs!$C$21^2/2)*01_Inputs!$C$22+01_Inputs!$C$21*SQRT(01_Inputs!$C$22)*B934)</f>
        <v>64.2673952519813</v>
      </c>
      <c r="D934" s="78" t="n">
        <f aca="false">MAX(C934-05_Unit_Economics!$B$21,0)</f>
        <v>26.3597897774778</v>
      </c>
      <c r="E934" s="78" t="n">
        <f aca="false">D934*EXP(-01_Inputs!$C$20*01_Inputs!$C$22)</f>
        <v>25.225105145715</v>
      </c>
      <c r="F934" s="79"/>
    </row>
    <row r="935" customFormat="false" ht="15" hidden="false" customHeight="false" outlineLevel="0" collapsed="false">
      <c r="A935" s="76" t="n">
        <v>924</v>
      </c>
      <c r="B935" s="77" t="n">
        <v>-0.490986</v>
      </c>
      <c r="C935" s="78" t="n">
        <f aca="false">05_Unit_Economics!$B$15*EXP((01_Inputs!$C$20-01_Inputs!$C$21^2/2)*01_Inputs!$C$22+01_Inputs!$C$21*SQRT(01_Inputs!$C$22)*B935)</f>
        <v>45.5751326137705</v>
      </c>
      <c r="D935" s="78" t="n">
        <f aca="false">MAX(C935-05_Unit_Economics!$B$21,0)</f>
        <v>7.66752713926704</v>
      </c>
      <c r="E935" s="78" t="n">
        <f aca="false">D935*EXP(-01_Inputs!$C$20*01_Inputs!$C$22)</f>
        <v>7.33747043995358</v>
      </c>
      <c r="F935" s="80" t="n">
        <f aca="false">AVERAGE(E934:E935)</f>
        <v>16.2812877928343</v>
      </c>
    </row>
    <row r="936" customFormat="false" ht="15" hidden="false" customHeight="false" outlineLevel="0" collapsed="false">
      <c r="A936" s="76" t="n">
        <v>925</v>
      </c>
      <c r="B936" s="77" t="n">
        <v>-0.683449</v>
      </c>
      <c r="C936" s="78" t="n">
        <f aca="false">05_Unit_Economics!$B$15*EXP((01_Inputs!$C$20-01_Inputs!$C$21^2/2)*01_Inputs!$C$22+01_Inputs!$C$21*SQRT(01_Inputs!$C$22)*B936)</f>
        <v>42.6062169470869</v>
      </c>
      <c r="D936" s="78" t="n">
        <f aca="false">MAX(C936-05_Unit_Economics!$B$21,0)</f>
        <v>4.69861147258344</v>
      </c>
      <c r="E936" s="78" t="n">
        <f aca="false">D936*EXP(-01_Inputs!$C$20*01_Inputs!$C$22)</f>
        <v>4.49635484331698</v>
      </c>
      <c r="F936" s="79"/>
    </row>
    <row r="937" customFormat="false" ht="15" hidden="false" customHeight="false" outlineLevel="0" collapsed="false">
      <c r="A937" s="76" t="n">
        <v>926</v>
      </c>
      <c r="B937" s="77" t="n">
        <v>0.683449</v>
      </c>
      <c r="C937" s="78" t="n">
        <f aca="false">05_Unit_Economics!$B$15*EXP((01_Inputs!$C$20-01_Inputs!$C$21^2/2)*01_Inputs!$C$22+01_Inputs!$C$21*SQRT(01_Inputs!$C$22)*B937)</f>
        <v>68.7457200198788</v>
      </c>
      <c r="D937" s="78" t="n">
        <f aca="false">MAX(C937-05_Unit_Economics!$B$21,0)</f>
        <v>30.8381145453753</v>
      </c>
      <c r="E937" s="78" t="n">
        <f aca="false">D937*EXP(-01_Inputs!$C$20*01_Inputs!$C$22)</f>
        <v>29.5106557552041</v>
      </c>
      <c r="F937" s="80" t="n">
        <f aca="false">AVERAGE(E936:E937)</f>
        <v>17.0035052992605</v>
      </c>
    </row>
    <row r="938" customFormat="false" ht="15" hidden="false" customHeight="false" outlineLevel="0" collapsed="false">
      <c r="A938" s="76" t="n">
        <v>927</v>
      </c>
      <c r="B938" s="77" t="n">
        <v>-0.097931</v>
      </c>
      <c r="C938" s="78" t="n">
        <f aca="false">05_Unit_Economics!$B$15*EXP((01_Inputs!$C$20-01_Inputs!$C$21^2/2)*01_Inputs!$C$22+01_Inputs!$C$21*SQRT(01_Inputs!$C$22)*B938)</f>
        <v>52.2966063255388</v>
      </c>
      <c r="D938" s="78" t="n">
        <f aca="false">MAX(C938-05_Unit_Economics!$B$21,0)</f>
        <v>14.3890008510353</v>
      </c>
      <c r="E938" s="78" t="n">
        <f aca="false">D938*EXP(-01_Inputs!$C$20*01_Inputs!$C$22)</f>
        <v>13.7696113084813</v>
      </c>
      <c r="F938" s="79"/>
    </row>
    <row r="939" customFormat="false" ht="15" hidden="false" customHeight="false" outlineLevel="0" collapsed="false">
      <c r="A939" s="76" t="n">
        <v>928</v>
      </c>
      <c r="B939" s="77" t="n">
        <v>0.097931</v>
      </c>
      <c r="C939" s="78" t="n">
        <f aca="false">05_Unit_Economics!$B$15*EXP((01_Inputs!$C$20-01_Inputs!$C$21^2/2)*01_Inputs!$C$22+01_Inputs!$C$21*SQRT(01_Inputs!$C$22)*B939)</f>
        <v>56.0073639026992</v>
      </c>
      <c r="D939" s="78" t="n">
        <f aca="false">MAX(C939-05_Unit_Economics!$B$21,0)</f>
        <v>18.0997584281957</v>
      </c>
      <c r="E939" s="78" t="n">
        <f aca="false">D939*EXP(-01_Inputs!$C$20*01_Inputs!$C$22)</f>
        <v>17.320635457168</v>
      </c>
      <c r="F939" s="80" t="n">
        <f aca="false">AVERAGE(E938:E939)</f>
        <v>15.5451233828247</v>
      </c>
    </row>
    <row r="940" customFormat="false" ht="15" hidden="false" customHeight="false" outlineLevel="0" collapsed="false">
      <c r="A940" s="76" t="n">
        <v>929</v>
      </c>
      <c r="B940" s="77" t="n">
        <v>2.31051</v>
      </c>
      <c r="C940" s="78" t="n">
        <f aca="false">05_Unit_Economics!$B$15*EXP((01_Inputs!$C$20-01_Inputs!$C$21^2/2)*01_Inputs!$C$22+01_Inputs!$C$21*SQRT(01_Inputs!$C$22)*B940)</f>
        <v>121.496545509095</v>
      </c>
      <c r="D940" s="78" t="n">
        <f aca="false">MAX(C940-05_Unit_Economics!$B$21,0)</f>
        <v>83.5889400345915</v>
      </c>
      <c r="E940" s="78" t="n">
        <f aca="false">D940*EXP(-01_Inputs!$C$20*01_Inputs!$C$22)</f>
        <v>79.9907669670795</v>
      </c>
      <c r="F940" s="79"/>
    </row>
    <row r="941" customFormat="false" ht="15" hidden="false" customHeight="false" outlineLevel="0" collapsed="false">
      <c r="A941" s="76" t="n">
        <v>930</v>
      </c>
      <c r="B941" s="77" t="n">
        <v>-2.31051</v>
      </c>
      <c r="C941" s="78" t="n">
        <f aca="false">05_Unit_Economics!$B$15*EXP((01_Inputs!$C$20-01_Inputs!$C$21^2/2)*01_Inputs!$C$22+01_Inputs!$C$21*SQRT(01_Inputs!$C$22)*B941)</f>
        <v>24.1076406664698</v>
      </c>
      <c r="D941" s="78" t="n">
        <f aca="false">MAX(C941-05_Unit_Economics!$B$21,0)</f>
        <v>0</v>
      </c>
      <c r="E941" s="78" t="n">
        <f aca="false">D941*EXP(-01_Inputs!$C$20*01_Inputs!$C$22)</f>
        <v>0</v>
      </c>
      <c r="F941" s="80" t="n">
        <f aca="false">AVERAGE(E940:E941)</f>
        <v>39.9953834835397</v>
      </c>
    </row>
    <row r="942" customFormat="false" ht="15" hidden="false" customHeight="false" outlineLevel="0" collapsed="false">
      <c r="A942" s="76" t="n">
        <v>931</v>
      </c>
      <c r="B942" s="77" t="n">
        <v>1.439411</v>
      </c>
      <c r="C942" s="78" t="n">
        <f aca="false">05_Unit_Economics!$B$15*EXP((01_Inputs!$C$20-01_Inputs!$C$21^2/2)*01_Inputs!$C$22+01_Inputs!$C$21*SQRT(01_Inputs!$C$22)*B942)</f>
        <v>89.5682747072196</v>
      </c>
      <c r="D942" s="78" t="n">
        <f aca="false">MAX(C942-05_Unit_Economics!$B$21,0)</f>
        <v>51.6606692327161</v>
      </c>
      <c r="E942" s="78" t="n">
        <f aca="false">D942*EXP(-01_Inputs!$C$20*01_Inputs!$C$22)</f>
        <v>49.4368818679538</v>
      </c>
      <c r="F942" s="79"/>
    </row>
    <row r="943" customFormat="false" ht="15" hidden="false" customHeight="false" outlineLevel="0" collapsed="false">
      <c r="A943" s="76" t="n">
        <v>932</v>
      </c>
      <c r="B943" s="77" t="n">
        <v>-1.439411</v>
      </c>
      <c r="C943" s="78" t="n">
        <f aca="false">05_Unit_Economics!$B$15*EXP((01_Inputs!$C$20-01_Inputs!$C$21^2/2)*01_Inputs!$C$22+01_Inputs!$C$21*SQRT(01_Inputs!$C$22)*B943)</f>
        <v>32.7012557842042</v>
      </c>
      <c r="D943" s="78" t="n">
        <f aca="false">MAX(C943-05_Unit_Economics!$B$21,0)</f>
        <v>0</v>
      </c>
      <c r="E943" s="78" t="n">
        <f aca="false">D943*EXP(-01_Inputs!$C$20*01_Inputs!$C$22)</f>
        <v>0</v>
      </c>
      <c r="F943" s="80" t="n">
        <f aca="false">AVERAGE(E942:E943)</f>
        <v>24.7184409339769</v>
      </c>
    </row>
    <row r="944" customFormat="false" ht="15" hidden="false" customHeight="false" outlineLevel="0" collapsed="false">
      <c r="A944" s="76" t="n">
        <v>933</v>
      </c>
      <c r="B944" s="77" t="n">
        <v>-0.848893</v>
      </c>
      <c r="C944" s="78" t="n">
        <f aca="false">05_Unit_Economics!$B$15*EXP((01_Inputs!$C$20-01_Inputs!$C$21^2/2)*01_Inputs!$C$22+01_Inputs!$C$21*SQRT(01_Inputs!$C$22)*B944)</f>
        <v>40.2091579890317</v>
      </c>
      <c r="D944" s="78" t="n">
        <f aca="false">MAX(C944-05_Unit_Economics!$B$21,0)</f>
        <v>2.30155251452827</v>
      </c>
      <c r="E944" s="78" t="n">
        <f aca="false">D944*EXP(-01_Inputs!$C$20*01_Inputs!$C$22)</f>
        <v>2.20247978710987</v>
      </c>
      <c r="F944" s="79"/>
    </row>
    <row r="945" customFormat="false" ht="15" hidden="false" customHeight="false" outlineLevel="0" collapsed="false">
      <c r="A945" s="76" t="n">
        <v>934</v>
      </c>
      <c r="B945" s="77" t="n">
        <v>0.848893</v>
      </c>
      <c r="C945" s="78" t="n">
        <f aca="false">05_Unit_Economics!$B$15*EXP((01_Inputs!$C$20-01_Inputs!$C$21^2/2)*01_Inputs!$C$22+01_Inputs!$C$21*SQRT(01_Inputs!$C$22)*B945)</f>
        <v>72.8439790295938</v>
      </c>
      <c r="D945" s="78" t="n">
        <f aca="false">MAX(C945-05_Unit_Economics!$B$21,0)</f>
        <v>34.9363735550903</v>
      </c>
      <c r="E945" s="78" t="n">
        <f aca="false">D945*EXP(-01_Inputs!$C$20*01_Inputs!$C$22)</f>
        <v>33.4325009333004</v>
      </c>
      <c r="F945" s="80" t="n">
        <f aca="false">AVERAGE(E944:E945)</f>
        <v>17.8174903602051</v>
      </c>
    </row>
    <row r="946" customFormat="false" ht="15" hidden="false" customHeight="false" outlineLevel="0" collapsed="false">
      <c r="A946" s="76" t="n">
        <v>935</v>
      </c>
      <c r="B946" s="77" t="n">
        <v>-0.137762</v>
      </c>
      <c r="C946" s="78" t="n">
        <f aca="false">05_Unit_Economics!$B$15*EXP((01_Inputs!$C$20-01_Inputs!$C$21^2/2)*01_Inputs!$C$22+01_Inputs!$C$21*SQRT(01_Inputs!$C$22)*B946)</f>
        <v>51.5726055002935</v>
      </c>
      <c r="D946" s="78" t="n">
        <f aca="false">MAX(C946-05_Unit_Economics!$B$21,0)</f>
        <v>13.66500002579</v>
      </c>
      <c r="E946" s="78" t="n">
        <f aca="false">D946*EXP(-01_Inputs!$C$20*01_Inputs!$C$22)</f>
        <v>13.076775853549</v>
      </c>
      <c r="F946" s="79"/>
    </row>
    <row r="947" customFormat="false" ht="15" hidden="false" customHeight="false" outlineLevel="0" collapsed="false">
      <c r="A947" s="76" t="n">
        <v>936</v>
      </c>
      <c r="B947" s="77" t="n">
        <v>0.137762</v>
      </c>
      <c r="C947" s="78" t="n">
        <f aca="false">05_Unit_Economics!$B$15*EXP((01_Inputs!$C$20-01_Inputs!$C$21^2/2)*01_Inputs!$C$22+01_Inputs!$C$21*SQRT(01_Inputs!$C$22)*B947)</f>
        <v>56.7936219808399</v>
      </c>
      <c r="D947" s="78" t="n">
        <f aca="false">MAX(C947-05_Unit_Economics!$B$21,0)</f>
        <v>18.8860165063364</v>
      </c>
      <c r="E947" s="78" t="n">
        <f aca="false">D947*EXP(-01_Inputs!$C$20*01_Inputs!$C$22)</f>
        <v>18.0730482366399</v>
      </c>
      <c r="F947" s="80" t="n">
        <f aca="false">AVERAGE(E946:E947)</f>
        <v>15.5749120450945</v>
      </c>
    </row>
    <row r="948" customFormat="false" ht="15" hidden="false" customHeight="false" outlineLevel="0" collapsed="false">
      <c r="A948" s="76" t="n">
        <v>937</v>
      </c>
      <c r="B948" s="77" t="n">
        <v>-0.25708</v>
      </c>
      <c r="C948" s="78" t="n">
        <f aca="false">05_Unit_Economics!$B$15*EXP((01_Inputs!$C$20-01_Inputs!$C$21^2/2)*01_Inputs!$C$22+01_Inputs!$C$21*SQRT(01_Inputs!$C$22)*B948)</f>
        <v>49.4632183808074</v>
      </c>
      <c r="D948" s="78" t="n">
        <f aca="false">MAX(C948-05_Unit_Economics!$B$21,0)</f>
        <v>11.5556129063039</v>
      </c>
      <c r="E948" s="78" t="n">
        <f aca="false">D948*EXP(-01_Inputs!$C$20*01_Inputs!$C$22)</f>
        <v>11.0581895017141</v>
      </c>
      <c r="F948" s="79"/>
    </row>
    <row r="949" customFormat="false" ht="15" hidden="false" customHeight="false" outlineLevel="0" collapsed="false">
      <c r="A949" s="76" t="n">
        <v>938</v>
      </c>
      <c r="B949" s="77" t="n">
        <v>0.25708</v>
      </c>
      <c r="C949" s="78" t="n">
        <f aca="false">05_Unit_Economics!$B$15*EXP((01_Inputs!$C$20-01_Inputs!$C$21^2/2)*01_Inputs!$C$22+01_Inputs!$C$21*SQRT(01_Inputs!$C$22)*B949)</f>
        <v>59.2156183368601</v>
      </c>
      <c r="D949" s="78" t="n">
        <f aca="false">MAX(C949-05_Unit_Economics!$B$21,0)</f>
        <v>21.3080128623566</v>
      </c>
      <c r="E949" s="78" t="n">
        <f aca="false">D949*EXP(-01_Inputs!$C$20*01_Inputs!$C$22)</f>
        <v>20.3907872345187</v>
      </c>
      <c r="F949" s="80" t="n">
        <f aca="false">AVERAGE(E948:E949)</f>
        <v>15.7244883681164</v>
      </c>
    </row>
    <row r="950" customFormat="false" ht="15" hidden="false" customHeight="false" outlineLevel="0" collapsed="false">
      <c r="A950" s="76" t="n">
        <v>939</v>
      </c>
      <c r="B950" s="77" t="n">
        <v>0.668549</v>
      </c>
      <c r="C950" s="78" t="n">
        <f aca="false">05_Unit_Economics!$B$15*EXP((01_Inputs!$C$20-01_Inputs!$C$21^2/2)*01_Inputs!$C$22+01_Inputs!$C$21*SQRT(01_Inputs!$C$22)*B950)</f>
        <v>68.3881442791113</v>
      </c>
      <c r="D950" s="78" t="n">
        <f aca="false">MAX(C950-05_Unit_Economics!$B$21,0)</f>
        <v>30.4805388046079</v>
      </c>
      <c r="E950" s="78" t="n">
        <f aca="false">D950*EXP(-01_Inputs!$C$20*01_Inputs!$C$22)</f>
        <v>29.1684722349803</v>
      </c>
      <c r="F950" s="79"/>
    </row>
    <row r="951" customFormat="false" ht="15" hidden="false" customHeight="false" outlineLevel="0" collapsed="false">
      <c r="A951" s="76" t="n">
        <v>940</v>
      </c>
      <c r="B951" s="77" t="n">
        <v>-0.668549</v>
      </c>
      <c r="C951" s="78" t="n">
        <f aca="false">05_Unit_Economics!$B$15*EXP((01_Inputs!$C$20-01_Inputs!$C$21^2/2)*01_Inputs!$C$22+01_Inputs!$C$21*SQRT(01_Inputs!$C$22)*B951)</f>
        <v>42.8289887410396</v>
      </c>
      <c r="D951" s="78" t="n">
        <f aca="false">MAX(C951-05_Unit_Economics!$B$21,0)</f>
        <v>4.92138326653614</v>
      </c>
      <c r="E951" s="78" t="n">
        <f aca="false">D951*EXP(-01_Inputs!$C$20*01_Inputs!$C$22)</f>
        <v>4.70953719315339</v>
      </c>
      <c r="F951" s="80" t="n">
        <f aca="false">AVERAGE(E950:E951)</f>
        <v>16.9390047140668</v>
      </c>
    </row>
    <row r="952" customFormat="false" ht="15" hidden="false" customHeight="false" outlineLevel="0" collapsed="false">
      <c r="A952" s="76" t="n">
        <v>941</v>
      </c>
      <c r="B952" s="77" t="n">
        <v>0.651979</v>
      </c>
      <c r="C952" s="78" t="n">
        <f aca="false">05_Unit_Economics!$B$15*EXP((01_Inputs!$C$20-01_Inputs!$C$21^2/2)*01_Inputs!$C$22+01_Inputs!$C$21*SQRT(01_Inputs!$C$22)*B952)</f>
        <v>67.992675106538</v>
      </c>
      <c r="D952" s="78" t="n">
        <f aca="false">MAX(C952-05_Unit_Economics!$B$21,0)</f>
        <v>30.0850696320345</v>
      </c>
      <c r="E952" s="78" t="n">
        <f aca="false">D952*EXP(-01_Inputs!$C$20*01_Inputs!$C$22)</f>
        <v>28.7900264452276</v>
      </c>
      <c r="F952" s="79"/>
    </row>
    <row r="953" customFormat="false" ht="15" hidden="false" customHeight="false" outlineLevel="0" collapsed="false">
      <c r="A953" s="76" t="n">
        <v>942</v>
      </c>
      <c r="B953" s="77" t="n">
        <v>-0.651979</v>
      </c>
      <c r="C953" s="78" t="n">
        <f aca="false">05_Unit_Economics!$B$15*EXP((01_Inputs!$C$20-01_Inputs!$C$21^2/2)*01_Inputs!$C$22+01_Inputs!$C$21*SQRT(01_Inputs!$C$22)*B953)</f>
        <v>43.0780971150378</v>
      </c>
      <c r="D953" s="78" t="n">
        <f aca="false">MAX(C953-05_Unit_Economics!$B$21,0)</f>
        <v>5.17049164053428</v>
      </c>
      <c r="E953" s="78" t="n">
        <f aca="false">D953*EXP(-01_Inputs!$C$20*01_Inputs!$C$22)</f>
        <v>4.94792243749058</v>
      </c>
      <c r="F953" s="80" t="n">
        <f aca="false">AVERAGE(E952:E953)</f>
        <v>16.8689744413591</v>
      </c>
    </row>
    <row r="954" customFormat="false" ht="15" hidden="false" customHeight="false" outlineLevel="0" collapsed="false">
      <c r="A954" s="76" t="n">
        <v>943</v>
      </c>
      <c r="B954" s="77" t="n">
        <v>-0.40464</v>
      </c>
      <c r="C954" s="78" t="n">
        <f aca="false">05_Unit_Economics!$B$15*EXP((01_Inputs!$C$20-01_Inputs!$C$21^2/2)*01_Inputs!$C$22+01_Inputs!$C$21*SQRT(01_Inputs!$C$22)*B954)</f>
        <v>46.9734867272382</v>
      </c>
      <c r="D954" s="78" t="n">
        <f aca="false">MAX(C954-05_Unit_Economics!$B$21,0)</f>
        <v>9.06588125273478</v>
      </c>
      <c r="E954" s="78" t="n">
        <f aca="false">D954*EXP(-01_Inputs!$C$20*01_Inputs!$C$22)</f>
        <v>8.67563094278525</v>
      </c>
      <c r="F954" s="79"/>
    </row>
    <row r="955" customFormat="false" ht="15" hidden="false" customHeight="false" outlineLevel="0" collapsed="false">
      <c r="A955" s="76" t="n">
        <v>944</v>
      </c>
      <c r="B955" s="77" t="n">
        <v>0.40464</v>
      </c>
      <c r="C955" s="78" t="n">
        <f aca="false">05_Unit_Economics!$B$15*EXP((01_Inputs!$C$20-01_Inputs!$C$21^2/2)*01_Inputs!$C$22+01_Inputs!$C$21*SQRT(01_Inputs!$C$22)*B955)</f>
        <v>62.3542186331302</v>
      </c>
      <c r="D955" s="78" t="n">
        <f aca="false">MAX(C955-05_Unit_Economics!$B$21,0)</f>
        <v>24.4466131586267</v>
      </c>
      <c r="E955" s="78" t="n">
        <f aca="false">D955*EXP(-01_Inputs!$C$20*01_Inputs!$C$22)</f>
        <v>23.3942832089605</v>
      </c>
      <c r="F955" s="80" t="n">
        <f aca="false">AVERAGE(E954:E955)</f>
        <v>16.0349570758729</v>
      </c>
    </row>
    <row r="956" customFormat="false" ht="15" hidden="false" customHeight="false" outlineLevel="0" collapsed="false">
      <c r="A956" s="76" t="n">
        <v>945</v>
      </c>
      <c r="B956" s="77" t="n">
        <v>0.665809</v>
      </c>
      <c r="C956" s="78" t="n">
        <f aca="false">05_Unit_Economics!$B$15*EXP((01_Inputs!$C$20-01_Inputs!$C$21^2/2)*01_Inputs!$C$22+01_Inputs!$C$21*SQRT(01_Inputs!$C$22)*B956)</f>
        <v>68.3225914863358</v>
      </c>
      <c r="D956" s="78" t="n">
        <f aca="false">MAX(C956-05_Unit_Economics!$B$21,0)</f>
        <v>30.4149860118323</v>
      </c>
      <c r="E956" s="78" t="n">
        <f aca="false">D956*EXP(-01_Inputs!$C$20*01_Inputs!$C$22)</f>
        <v>29.1057412305103</v>
      </c>
      <c r="F956" s="79"/>
    </row>
    <row r="957" customFormat="false" ht="15" hidden="false" customHeight="false" outlineLevel="0" collapsed="false">
      <c r="A957" s="76" t="n">
        <v>946</v>
      </c>
      <c r="B957" s="77" t="n">
        <v>-0.665809</v>
      </c>
      <c r="C957" s="78" t="n">
        <f aca="false">05_Unit_Economics!$B$15*EXP((01_Inputs!$C$20-01_Inputs!$C$21^2/2)*01_Inputs!$C$22+01_Inputs!$C$21*SQRT(01_Inputs!$C$22)*B957)</f>
        <v>42.8700814420431</v>
      </c>
      <c r="D957" s="78" t="n">
        <f aca="false">MAX(C957-05_Unit_Economics!$B$21,0)</f>
        <v>4.96247596753958</v>
      </c>
      <c r="E957" s="78" t="n">
        <f aca="false">D957*EXP(-01_Inputs!$C$20*01_Inputs!$C$22)</f>
        <v>4.74886101600189</v>
      </c>
      <c r="F957" s="80" t="n">
        <f aca="false">AVERAGE(E956:E957)</f>
        <v>16.9273011232561</v>
      </c>
    </row>
    <row r="958" customFormat="false" ht="15" hidden="false" customHeight="false" outlineLevel="0" collapsed="false">
      <c r="A958" s="76" t="n">
        <v>947</v>
      </c>
      <c r="B958" s="77" t="n">
        <v>0.079749</v>
      </c>
      <c r="C958" s="78" t="n">
        <f aca="false">05_Unit_Economics!$B$15*EXP((01_Inputs!$C$20-01_Inputs!$C$21^2/2)*01_Inputs!$C$22+01_Inputs!$C$21*SQRT(01_Inputs!$C$22)*B958)</f>
        <v>55.6520814953384</v>
      </c>
      <c r="D958" s="78" t="n">
        <f aca="false">MAX(C958-05_Unit_Economics!$B$21,0)</f>
        <v>17.7444760208349</v>
      </c>
      <c r="E958" s="78" t="n">
        <f aca="false">D958*EXP(-01_Inputs!$C$20*01_Inputs!$C$22)</f>
        <v>16.9806465514235</v>
      </c>
      <c r="F958" s="79"/>
    </row>
    <row r="959" customFormat="false" ht="15" hidden="false" customHeight="false" outlineLevel="0" collapsed="false">
      <c r="A959" s="76" t="n">
        <v>948</v>
      </c>
      <c r="B959" s="77" t="n">
        <v>-0.079749</v>
      </c>
      <c r="C959" s="78" t="n">
        <f aca="false">05_Unit_Economics!$B$15*EXP((01_Inputs!$C$20-01_Inputs!$C$21^2/2)*01_Inputs!$C$22+01_Inputs!$C$21*SQRT(01_Inputs!$C$22)*B959)</f>
        <v>52.6304674084112</v>
      </c>
      <c r="D959" s="78" t="n">
        <f aca="false">MAX(C959-05_Unit_Economics!$B$21,0)</f>
        <v>14.7228619339078</v>
      </c>
      <c r="E959" s="78" t="n">
        <f aca="false">D959*EXP(-01_Inputs!$C$20*01_Inputs!$C$22)</f>
        <v>14.0891009929823</v>
      </c>
      <c r="F959" s="80" t="n">
        <f aca="false">AVERAGE(E958:E959)</f>
        <v>15.5348737722029</v>
      </c>
    </row>
    <row r="960" customFormat="false" ht="15" hidden="false" customHeight="false" outlineLevel="0" collapsed="false">
      <c r="A960" s="76" t="n">
        <v>949</v>
      </c>
      <c r="B960" s="77" t="n">
        <v>-1.726689</v>
      </c>
      <c r="C960" s="78" t="n">
        <f aca="false">05_Unit_Economics!$B$15*EXP((01_Inputs!$C$20-01_Inputs!$C$21^2/2)*01_Inputs!$C$22+01_Inputs!$C$21*SQRT(01_Inputs!$C$22)*B960)</f>
        <v>29.5731300463027</v>
      </c>
      <c r="D960" s="78" t="n">
        <f aca="false">MAX(C960-05_Unit_Economics!$B$21,0)</f>
        <v>0</v>
      </c>
      <c r="E960" s="78" t="n">
        <f aca="false">D960*EXP(-01_Inputs!$C$20*01_Inputs!$C$22)</f>
        <v>0</v>
      </c>
      <c r="F960" s="79"/>
    </row>
    <row r="961" customFormat="false" ht="15" hidden="false" customHeight="false" outlineLevel="0" collapsed="false">
      <c r="A961" s="76" t="n">
        <v>950</v>
      </c>
      <c r="B961" s="77" t="n">
        <v>1.726689</v>
      </c>
      <c r="C961" s="78" t="n">
        <f aca="false">05_Unit_Economics!$B$15*EXP((01_Inputs!$C$20-01_Inputs!$C$21^2/2)*01_Inputs!$C$22+01_Inputs!$C$21*SQRT(01_Inputs!$C$22)*B961)</f>
        <v>99.0424434872034</v>
      </c>
      <c r="D961" s="78" t="n">
        <f aca="false">MAX(C961-05_Unit_Economics!$B$21,0)</f>
        <v>61.1348380126999</v>
      </c>
      <c r="E961" s="78" t="n">
        <f aca="false">D961*EXP(-01_Inputs!$C$20*01_Inputs!$C$22)</f>
        <v>58.5032251757269</v>
      </c>
      <c r="F961" s="80" t="n">
        <f aca="false">AVERAGE(E960:E961)</f>
        <v>29.2516125878634</v>
      </c>
    </row>
    <row r="962" customFormat="false" ht="15" hidden="false" customHeight="false" outlineLevel="0" collapsed="false">
      <c r="A962" s="76" t="n">
        <v>951</v>
      </c>
      <c r="B962" s="77" t="n">
        <v>1.140506</v>
      </c>
      <c r="C962" s="78" t="n">
        <f aca="false">05_Unit_Economics!$B$15*EXP((01_Inputs!$C$20-01_Inputs!$C$21^2/2)*01_Inputs!$C$22+01_Inputs!$C$21*SQRT(01_Inputs!$C$22)*B962)</f>
        <v>80.6714255647253</v>
      </c>
      <c r="D962" s="78" t="n">
        <f aca="false">MAX(C962-05_Unit_Economics!$B$21,0)</f>
        <v>42.7638200902218</v>
      </c>
      <c r="E962" s="78" t="n">
        <f aca="false">D962*EXP(-01_Inputs!$C$20*01_Inputs!$C$22)</f>
        <v>40.9230068720031</v>
      </c>
      <c r="F962" s="79"/>
    </row>
    <row r="963" customFormat="false" ht="15" hidden="false" customHeight="false" outlineLevel="0" collapsed="false">
      <c r="A963" s="76" t="n">
        <v>952</v>
      </c>
      <c r="B963" s="77" t="n">
        <v>-1.140506</v>
      </c>
      <c r="C963" s="78" t="n">
        <f aca="false">05_Unit_Economics!$B$15*EXP((01_Inputs!$C$20-01_Inputs!$C$21^2/2)*01_Inputs!$C$22+01_Inputs!$C$21*SQRT(01_Inputs!$C$22)*B963)</f>
        <v>36.3077141732251</v>
      </c>
      <c r="D963" s="78" t="n">
        <f aca="false">MAX(C963-05_Unit_Economics!$B$21,0)</f>
        <v>0</v>
      </c>
      <c r="E963" s="78" t="n">
        <f aca="false">D963*EXP(-01_Inputs!$C$20*01_Inputs!$C$22)</f>
        <v>0</v>
      </c>
      <c r="F963" s="80" t="n">
        <f aca="false">AVERAGE(E962:E963)</f>
        <v>20.4615034360016</v>
      </c>
    </row>
    <row r="964" customFormat="false" ht="15" hidden="false" customHeight="false" outlineLevel="0" collapsed="false">
      <c r="A964" s="76" t="n">
        <v>953</v>
      </c>
      <c r="B964" s="77" t="n">
        <v>-1.29935</v>
      </c>
      <c r="C964" s="78" t="n">
        <f aca="false">05_Unit_Economics!$B$15*EXP((01_Inputs!$C$20-01_Inputs!$C$21^2/2)*01_Inputs!$C$22+01_Inputs!$C$21*SQRT(01_Inputs!$C$22)*B964)</f>
        <v>34.3442575613978</v>
      </c>
      <c r="D964" s="78" t="n">
        <f aca="false">MAX(C964-05_Unit_Economics!$B$21,0)</f>
        <v>0</v>
      </c>
      <c r="E964" s="78" t="n">
        <f aca="false">D964*EXP(-01_Inputs!$C$20*01_Inputs!$C$22)</f>
        <v>0</v>
      </c>
      <c r="F964" s="79"/>
    </row>
    <row r="965" customFormat="false" ht="15" hidden="false" customHeight="false" outlineLevel="0" collapsed="false">
      <c r="A965" s="76" t="n">
        <v>954</v>
      </c>
      <c r="B965" s="77" t="n">
        <v>1.29935</v>
      </c>
      <c r="C965" s="78" t="n">
        <f aca="false">05_Unit_Economics!$B$15*EXP((01_Inputs!$C$20-01_Inputs!$C$21^2/2)*01_Inputs!$C$22+01_Inputs!$C$21*SQRT(01_Inputs!$C$22)*B965)</f>
        <v>85.2834001758354</v>
      </c>
      <c r="D965" s="78" t="n">
        <f aca="false">MAX(C965-05_Unit_Economics!$B$21,0)</f>
        <v>47.375794701332</v>
      </c>
      <c r="E965" s="78" t="n">
        <f aca="false">D965*EXP(-01_Inputs!$C$20*01_Inputs!$C$22)</f>
        <v>45.3364542278702</v>
      </c>
      <c r="F965" s="80" t="n">
        <f aca="false">AVERAGE(E964:E965)</f>
        <v>22.6682271139351</v>
      </c>
    </row>
    <row r="966" customFormat="false" ht="15" hidden="false" customHeight="false" outlineLevel="0" collapsed="false">
      <c r="A966" s="76" t="n">
        <v>955</v>
      </c>
      <c r="B966" s="77" t="n">
        <v>1.527175</v>
      </c>
      <c r="C966" s="78" t="n">
        <f aca="false">05_Unit_Economics!$B$15*EXP((01_Inputs!$C$20-01_Inputs!$C$21^2/2)*01_Inputs!$C$22+01_Inputs!$C$21*SQRT(01_Inputs!$C$22)*B966)</f>
        <v>92.3622717021395</v>
      </c>
      <c r="D966" s="78" t="n">
        <f aca="false">MAX(C966-05_Unit_Economics!$B$21,0)</f>
        <v>54.454666227636</v>
      </c>
      <c r="E966" s="78" t="n">
        <f aca="false">D966*EXP(-01_Inputs!$C$20*01_Inputs!$C$22)</f>
        <v>52.1106083494101</v>
      </c>
      <c r="F966" s="79"/>
    </row>
    <row r="967" customFormat="false" ht="15" hidden="false" customHeight="false" outlineLevel="0" collapsed="false">
      <c r="A967" s="76" t="n">
        <v>956</v>
      </c>
      <c r="B967" s="77" t="n">
        <v>-1.527175</v>
      </c>
      <c r="C967" s="78" t="n">
        <f aca="false">05_Unit_Economics!$B$15*EXP((01_Inputs!$C$20-01_Inputs!$C$21^2/2)*01_Inputs!$C$22+01_Inputs!$C$21*SQRT(01_Inputs!$C$22)*B967)</f>
        <v>31.7120292449759</v>
      </c>
      <c r="D967" s="78" t="n">
        <f aca="false">MAX(C967-05_Unit_Economics!$B$21,0)</f>
        <v>0</v>
      </c>
      <c r="E967" s="78" t="n">
        <f aca="false">D967*EXP(-01_Inputs!$C$20*01_Inputs!$C$22)</f>
        <v>0</v>
      </c>
      <c r="F967" s="80" t="n">
        <f aca="false">AVERAGE(E966:E967)</f>
        <v>26.0553041747051</v>
      </c>
    </row>
    <row r="968" customFormat="false" ht="15" hidden="false" customHeight="false" outlineLevel="0" collapsed="false">
      <c r="A968" s="76" t="n">
        <v>957</v>
      </c>
      <c r="B968" s="77" t="n">
        <v>-1.027921</v>
      </c>
      <c r="C968" s="78" t="n">
        <f aca="false">05_Unit_Economics!$B$15*EXP((01_Inputs!$C$20-01_Inputs!$C$21^2/2)*01_Inputs!$C$22+01_Inputs!$C$21*SQRT(01_Inputs!$C$22)*B968)</f>
        <v>37.7669726151682</v>
      </c>
      <c r="D968" s="78" t="n">
        <f aca="false">MAX(C968-05_Unit_Economics!$B$21,0)</f>
        <v>0</v>
      </c>
      <c r="E968" s="78" t="n">
        <f aca="false">D968*EXP(-01_Inputs!$C$20*01_Inputs!$C$22)</f>
        <v>0</v>
      </c>
      <c r="F968" s="79"/>
    </row>
    <row r="969" customFormat="false" ht="15" hidden="false" customHeight="false" outlineLevel="0" collapsed="false">
      <c r="A969" s="76" t="n">
        <v>958</v>
      </c>
      <c r="B969" s="77" t="n">
        <v>1.027921</v>
      </c>
      <c r="C969" s="78" t="n">
        <f aca="false">05_Unit_Economics!$B$15*EXP((01_Inputs!$C$20-01_Inputs!$C$21^2/2)*01_Inputs!$C$22+01_Inputs!$C$21*SQRT(01_Inputs!$C$22)*B969)</f>
        <v>77.5544042461665</v>
      </c>
      <c r="D969" s="78" t="n">
        <f aca="false">MAX(C969-05_Unit_Economics!$B$21,0)</f>
        <v>39.646798771663</v>
      </c>
      <c r="E969" s="78" t="n">
        <f aca="false">D969*EXP(-01_Inputs!$C$20*01_Inputs!$C$22)</f>
        <v>37.9401609856804</v>
      </c>
      <c r="F969" s="80" t="n">
        <f aca="false">AVERAGE(E968:E969)</f>
        <v>18.9700804928402</v>
      </c>
    </row>
    <row r="970" customFormat="false" ht="15" hidden="false" customHeight="false" outlineLevel="0" collapsed="false">
      <c r="A970" s="76" t="n">
        <v>959</v>
      </c>
      <c r="B970" s="77" t="n">
        <v>0.839179</v>
      </c>
      <c r="C970" s="78" t="n">
        <f aca="false">05_Unit_Economics!$B$15*EXP((01_Inputs!$C$20-01_Inputs!$C$21^2/2)*01_Inputs!$C$22+01_Inputs!$C$21*SQRT(01_Inputs!$C$22)*B970)</f>
        <v>72.596737321994</v>
      </c>
      <c r="D970" s="78" t="n">
        <f aca="false">MAX(C970-05_Unit_Economics!$B$21,0)</f>
        <v>34.6891318474906</v>
      </c>
      <c r="E970" s="78" t="n">
        <f aca="false">D970*EXP(-01_Inputs!$C$20*01_Inputs!$C$22)</f>
        <v>33.1959020027604</v>
      </c>
      <c r="F970" s="79"/>
    </row>
    <row r="971" customFormat="false" ht="15" hidden="false" customHeight="false" outlineLevel="0" collapsed="false">
      <c r="A971" s="76" t="n">
        <v>960</v>
      </c>
      <c r="B971" s="77" t="n">
        <v>-0.839179</v>
      </c>
      <c r="C971" s="78" t="n">
        <f aca="false">05_Unit_Economics!$B$15*EXP((01_Inputs!$C$20-01_Inputs!$C$21^2/2)*01_Inputs!$C$22+01_Inputs!$C$21*SQRT(01_Inputs!$C$22)*B971)</f>
        <v>40.3460977641385</v>
      </c>
      <c r="D971" s="78" t="n">
        <f aca="false">MAX(C971-05_Unit_Economics!$B$21,0)</f>
        <v>2.438492289635</v>
      </c>
      <c r="E971" s="78" t="n">
        <f aca="false">D971*EXP(-01_Inputs!$C$20*01_Inputs!$C$22)</f>
        <v>2.33352484683372</v>
      </c>
      <c r="F971" s="80" t="n">
        <f aca="false">AVERAGE(E970:E971)</f>
        <v>17.7647134247971</v>
      </c>
    </row>
    <row r="972" customFormat="false" ht="15" hidden="false" customHeight="false" outlineLevel="0" collapsed="false">
      <c r="A972" s="76" t="n">
        <v>961</v>
      </c>
      <c r="B972" s="77" t="n">
        <v>1.064973</v>
      </c>
      <c r="C972" s="78" t="n">
        <f aca="false">05_Unit_Economics!$B$15*EXP((01_Inputs!$C$20-01_Inputs!$C$21^2/2)*01_Inputs!$C$22+01_Inputs!$C$21*SQRT(01_Inputs!$C$22)*B972)</f>
        <v>78.5666948782741</v>
      </c>
      <c r="D972" s="78" t="n">
        <f aca="false">MAX(C972-05_Unit_Economics!$B$21,0)</f>
        <v>40.6590894037707</v>
      </c>
      <c r="E972" s="78" t="n">
        <f aca="false">D972*EXP(-01_Inputs!$C$20*01_Inputs!$C$22)</f>
        <v>38.9088765121887</v>
      </c>
      <c r="F972" s="79"/>
    </row>
    <row r="973" customFormat="false" ht="15" hidden="false" customHeight="false" outlineLevel="0" collapsed="false">
      <c r="A973" s="76" t="n">
        <v>962</v>
      </c>
      <c r="B973" s="77" t="n">
        <v>-1.064973</v>
      </c>
      <c r="C973" s="78" t="n">
        <f aca="false">05_Unit_Economics!$B$15*EXP((01_Inputs!$C$20-01_Inputs!$C$21^2/2)*01_Inputs!$C$22+01_Inputs!$C$21*SQRT(01_Inputs!$C$22)*B973)</f>
        <v>37.2803649929355</v>
      </c>
      <c r="D973" s="78" t="n">
        <f aca="false">MAX(C973-05_Unit_Economics!$B$21,0)</f>
        <v>0</v>
      </c>
      <c r="E973" s="78" t="n">
        <f aca="false">D973*EXP(-01_Inputs!$C$20*01_Inputs!$C$22)</f>
        <v>0</v>
      </c>
      <c r="F973" s="80" t="n">
        <f aca="false">AVERAGE(E972:E973)</f>
        <v>19.4544382560944</v>
      </c>
    </row>
    <row r="974" customFormat="false" ht="15" hidden="false" customHeight="false" outlineLevel="0" collapsed="false">
      <c r="A974" s="76" t="n">
        <v>963</v>
      </c>
      <c r="B974" s="77" t="n">
        <v>2.070824</v>
      </c>
      <c r="C974" s="78" t="n">
        <f aca="false">05_Unit_Economics!$B$15*EXP((01_Inputs!$C$20-01_Inputs!$C$21^2/2)*01_Inputs!$C$22+01_Inputs!$C$21*SQRT(01_Inputs!$C$22)*B974)</f>
        <v>111.719998801861</v>
      </c>
      <c r="D974" s="78" t="n">
        <f aca="false">MAX(C974-05_Unit_Economics!$B$21,0)</f>
        <v>73.8123933273576</v>
      </c>
      <c r="E974" s="78" t="n">
        <f aca="false">D974*EXP(-01_Inputs!$C$20*01_Inputs!$C$22)</f>
        <v>70.6350619051719</v>
      </c>
      <c r="F974" s="79"/>
    </row>
    <row r="975" customFormat="false" ht="15" hidden="false" customHeight="false" outlineLevel="0" collapsed="false">
      <c r="A975" s="76" t="n">
        <v>964</v>
      </c>
      <c r="B975" s="77" t="n">
        <v>-2.070824</v>
      </c>
      <c r="C975" s="78" t="n">
        <f aca="false">05_Unit_Economics!$B$15*EXP((01_Inputs!$C$20-01_Inputs!$C$21^2/2)*01_Inputs!$C$22+01_Inputs!$C$21*SQRT(01_Inputs!$C$22)*B975)</f>
        <v>26.2172851124472</v>
      </c>
      <c r="D975" s="78" t="n">
        <f aca="false">MAX(C975-05_Unit_Economics!$B$21,0)</f>
        <v>0</v>
      </c>
      <c r="E975" s="78" t="n">
        <f aca="false">D975*EXP(-01_Inputs!$C$20*01_Inputs!$C$22)</f>
        <v>0</v>
      </c>
      <c r="F975" s="80" t="n">
        <f aca="false">AVERAGE(E974:E975)</f>
        <v>35.317530952586</v>
      </c>
    </row>
    <row r="976" customFormat="false" ht="15" hidden="false" customHeight="false" outlineLevel="0" collapsed="false">
      <c r="A976" s="76" t="n">
        <v>965</v>
      </c>
      <c r="B976" s="77" t="n">
        <v>0.328324</v>
      </c>
      <c r="C976" s="78" t="n">
        <f aca="false">05_Unit_Economics!$B$15*EXP((01_Inputs!$C$20-01_Inputs!$C$21^2/2)*01_Inputs!$C$22+01_Inputs!$C$21*SQRT(01_Inputs!$C$22)*B976)</f>
        <v>60.7107468110617</v>
      </c>
      <c r="D976" s="78" t="n">
        <f aca="false">MAX(C976-05_Unit_Economics!$B$21,0)</f>
        <v>22.8031413365582</v>
      </c>
      <c r="E976" s="78" t="n">
        <f aca="false">D976*EXP(-01_Inputs!$C$20*01_Inputs!$C$22)</f>
        <v>21.8215563448366</v>
      </c>
      <c r="F976" s="79"/>
    </row>
    <row r="977" customFormat="false" ht="15" hidden="false" customHeight="false" outlineLevel="0" collapsed="false">
      <c r="A977" s="76" t="n">
        <v>966</v>
      </c>
      <c r="B977" s="77" t="n">
        <v>-0.328324</v>
      </c>
      <c r="C977" s="78" t="n">
        <f aca="false">05_Unit_Economics!$B$15*EXP((01_Inputs!$C$20-01_Inputs!$C$21^2/2)*01_Inputs!$C$22+01_Inputs!$C$21*SQRT(01_Inputs!$C$22)*B977)</f>
        <v>48.2450836993654</v>
      </c>
      <c r="D977" s="78" t="n">
        <f aca="false">MAX(C977-05_Unit_Economics!$B$21,0)</f>
        <v>10.3374782248619</v>
      </c>
      <c r="E977" s="78" t="n">
        <f aca="false">D977*EXP(-01_Inputs!$C$20*01_Inputs!$C$22)</f>
        <v>9.89249069757305</v>
      </c>
      <c r="F977" s="80" t="n">
        <f aca="false">AVERAGE(E976:E977)</f>
        <v>15.8570235212048</v>
      </c>
    </row>
    <row r="978" customFormat="false" ht="15" hidden="false" customHeight="false" outlineLevel="0" collapsed="false">
      <c r="A978" s="76" t="n">
        <v>967</v>
      </c>
      <c r="B978" s="77" t="n">
        <v>-1.054301</v>
      </c>
      <c r="C978" s="78" t="n">
        <f aca="false">05_Unit_Economics!$B$15*EXP((01_Inputs!$C$20-01_Inputs!$C$21^2/2)*01_Inputs!$C$22+01_Inputs!$C$21*SQRT(01_Inputs!$C$22)*B978)</f>
        <v>37.419874998944</v>
      </c>
      <c r="D978" s="78" t="n">
        <f aca="false">MAX(C978-05_Unit_Economics!$B$21,0)</f>
        <v>0</v>
      </c>
      <c r="E978" s="78" t="n">
        <f aca="false">D978*EXP(-01_Inputs!$C$20*01_Inputs!$C$22)</f>
        <v>0</v>
      </c>
      <c r="F978" s="79"/>
    </row>
    <row r="979" customFormat="false" ht="15" hidden="false" customHeight="false" outlineLevel="0" collapsed="false">
      <c r="A979" s="76" t="n">
        <v>968</v>
      </c>
      <c r="B979" s="77" t="n">
        <v>1.054301</v>
      </c>
      <c r="C979" s="78" t="n">
        <f aca="false">05_Unit_Economics!$B$15*EXP((01_Inputs!$C$20-01_Inputs!$C$21^2/2)*01_Inputs!$C$22+01_Inputs!$C$21*SQRT(01_Inputs!$C$22)*B979)</f>
        <v>78.273779948044</v>
      </c>
      <c r="D979" s="78" t="n">
        <f aca="false">MAX(C979-05_Unit_Economics!$B$21,0)</f>
        <v>40.3661744735405</v>
      </c>
      <c r="E979" s="78" t="n">
        <f aca="false">D979*EXP(-01_Inputs!$C$20*01_Inputs!$C$22)</f>
        <v>38.6285704105021</v>
      </c>
      <c r="F979" s="80" t="n">
        <f aca="false">AVERAGE(E978:E979)</f>
        <v>19.314285205251</v>
      </c>
    </row>
    <row r="980" customFormat="false" ht="15" hidden="false" customHeight="false" outlineLevel="0" collapsed="false">
      <c r="A980" s="76" t="n">
        <v>969</v>
      </c>
      <c r="B980" s="77" t="n">
        <v>2.254879</v>
      </c>
      <c r="C980" s="78" t="n">
        <f aca="false">05_Unit_Economics!$B$15*EXP((01_Inputs!$C$20-01_Inputs!$C$21^2/2)*01_Inputs!$C$22+01_Inputs!$C$21*SQRT(01_Inputs!$C$22)*B980)</f>
        <v>119.1537862668</v>
      </c>
      <c r="D980" s="78" t="n">
        <f aca="false">MAX(C980-05_Unit_Economics!$B$21,0)</f>
        <v>81.2461807922967</v>
      </c>
      <c r="E980" s="78" t="n">
        <f aca="false">D980*EXP(-01_Inputs!$C$20*01_Inputs!$C$22)</f>
        <v>77.748854238759</v>
      </c>
      <c r="F980" s="79"/>
    </row>
    <row r="981" customFormat="false" ht="15" hidden="false" customHeight="false" outlineLevel="0" collapsed="false">
      <c r="A981" s="76" t="n">
        <v>970</v>
      </c>
      <c r="B981" s="77" t="n">
        <v>-2.254879</v>
      </c>
      <c r="C981" s="78" t="n">
        <f aca="false">05_Unit_Economics!$B$15*EXP((01_Inputs!$C$20-01_Inputs!$C$21^2/2)*01_Inputs!$C$22+01_Inputs!$C$21*SQRT(01_Inputs!$C$22)*B981)</f>
        <v>24.5816364978304</v>
      </c>
      <c r="D981" s="78" t="n">
        <f aca="false">MAX(C981-05_Unit_Economics!$B$21,0)</f>
        <v>0</v>
      </c>
      <c r="E981" s="78" t="n">
        <f aca="false">D981*EXP(-01_Inputs!$C$20*01_Inputs!$C$22)</f>
        <v>0</v>
      </c>
      <c r="F981" s="80" t="n">
        <f aca="false">AVERAGE(E980:E981)</f>
        <v>38.8744271193795</v>
      </c>
    </row>
    <row r="982" customFormat="false" ht="15" hidden="false" customHeight="false" outlineLevel="0" collapsed="false">
      <c r="A982" s="76" t="n">
        <v>971</v>
      </c>
      <c r="B982" s="77" t="n">
        <v>1.179788</v>
      </c>
      <c r="C982" s="78" t="n">
        <f aca="false">05_Unit_Economics!$B$15*EXP((01_Inputs!$C$20-01_Inputs!$C$21^2/2)*01_Inputs!$C$22+01_Inputs!$C$21*SQRT(01_Inputs!$C$22)*B982)</f>
        <v>81.7882123850386</v>
      </c>
      <c r="D982" s="78" t="n">
        <f aca="false">MAX(C982-05_Unit_Economics!$B$21,0)</f>
        <v>43.8806069105351</v>
      </c>
      <c r="E982" s="78" t="n">
        <f aca="false">D982*EXP(-01_Inputs!$C$20*01_Inputs!$C$22)</f>
        <v>41.9917204393557</v>
      </c>
      <c r="F982" s="79"/>
    </row>
    <row r="983" customFormat="false" ht="15" hidden="false" customHeight="false" outlineLevel="0" collapsed="false">
      <c r="A983" s="76" t="n">
        <v>972</v>
      </c>
      <c r="B983" s="77" t="n">
        <v>-1.179788</v>
      </c>
      <c r="C983" s="78" t="n">
        <f aca="false">05_Unit_Economics!$B$15*EXP((01_Inputs!$C$20-01_Inputs!$C$21^2/2)*01_Inputs!$C$22+01_Inputs!$C$21*SQRT(01_Inputs!$C$22)*B983)</f>
        <v>35.8119461953964</v>
      </c>
      <c r="D983" s="78" t="n">
        <f aca="false">MAX(C983-05_Unit_Economics!$B$21,0)</f>
        <v>0</v>
      </c>
      <c r="E983" s="78" t="n">
        <f aca="false">D983*EXP(-01_Inputs!$C$20*01_Inputs!$C$22)</f>
        <v>0</v>
      </c>
      <c r="F983" s="80" t="n">
        <f aca="false">AVERAGE(E982:E983)</f>
        <v>20.9958602196778</v>
      </c>
    </row>
    <row r="984" customFormat="false" ht="15" hidden="false" customHeight="false" outlineLevel="0" collapsed="false">
      <c r="A984" s="76" t="n">
        <v>973</v>
      </c>
      <c r="B984" s="77" t="n">
        <v>0.288573</v>
      </c>
      <c r="C984" s="78" t="n">
        <f aca="false">05_Unit_Economics!$B$15*EXP((01_Inputs!$C$20-01_Inputs!$C$21^2/2)*01_Inputs!$C$22+01_Inputs!$C$21*SQRT(01_Inputs!$C$22)*B984)</f>
        <v>59.8719359526099</v>
      </c>
      <c r="D984" s="78" t="n">
        <f aca="false">MAX(C984-05_Unit_Economics!$B$21,0)</f>
        <v>21.9643304781064</v>
      </c>
      <c r="E984" s="78" t="n">
        <f aca="false">D984*EXP(-01_Inputs!$C$20*01_Inputs!$C$22)</f>
        <v>21.0188529742698</v>
      </c>
      <c r="F984" s="79"/>
    </row>
    <row r="985" customFormat="false" ht="15" hidden="false" customHeight="false" outlineLevel="0" collapsed="false">
      <c r="A985" s="76" t="n">
        <v>974</v>
      </c>
      <c r="B985" s="77" t="n">
        <v>-0.288573</v>
      </c>
      <c r="C985" s="78" t="n">
        <f aca="false">05_Unit_Economics!$B$15*EXP((01_Inputs!$C$20-01_Inputs!$C$21^2/2)*01_Inputs!$C$22+01_Inputs!$C$21*SQRT(01_Inputs!$C$22)*B985)</f>
        <v>48.9210013798289</v>
      </c>
      <c r="D985" s="78" t="n">
        <f aca="false">MAX(C985-05_Unit_Economics!$B$21,0)</f>
        <v>11.0133959053254</v>
      </c>
      <c r="E985" s="78" t="n">
        <f aca="false">D985*EXP(-01_Inputs!$C$20*01_Inputs!$C$22)</f>
        <v>10.5393127968186</v>
      </c>
      <c r="F985" s="80" t="n">
        <f aca="false">AVERAGE(E984:E985)</f>
        <v>15.7790828855442</v>
      </c>
    </row>
    <row r="986" customFormat="false" ht="15" hidden="false" customHeight="false" outlineLevel="0" collapsed="false">
      <c r="A986" s="76" t="n">
        <v>975</v>
      </c>
      <c r="B986" s="77" t="n">
        <v>1.22679</v>
      </c>
      <c r="C986" s="78" t="n">
        <f aca="false">05_Unit_Economics!$B$15*EXP((01_Inputs!$C$20-01_Inputs!$C$21^2/2)*01_Inputs!$C$22+01_Inputs!$C$21*SQRT(01_Inputs!$C$22)*B986)</f>
        <v>83.1448136566839</v>
      </c>
      <c r="D986" s="78" t="n">
        <f aca="false">MAX(C986-05_Unit_Economics!$B$21,0)</f>
        <v>45.2372081821805</v>
      </c>
      <c r="E986" s="78" t="n">
        <f aca="false">D986*EXP(-01_Inputs!$C$20*01_Inputs!$C$22)</f>
        <v>43.2899253949697</v>
      </c>
      <c r="F986" s="79"/>
    </row>
    <row r="987" customFormat="false" ht="15" hidden="false" customHeight="false" outlineLevel="0" collapsed="false">
      <c r="A987" s="76" t="n">
        <v>976</v>
      </c>
      <c r="B987" s="77" t="n">
        <v>-1.22679</v>
      </c>
      <c r="C987" s="78" t="n">
        <f aca="false">05_Unit_Economics!$B$15*EXP((01_Inputs!$C$20-01_Inputs!$C$21^2/2)*01_Inputs!$C$22+01_Inputs!$C$21*SQRT(01_Inputs!$C$22)*B987)</f>
        <v>35.2276339621719</v>
      </c>
      <c r="D987" s="78" t="n">
        <f aca="false">MAX(C987-05_Unit_Economics!$B$21,0)</f>
        <v>0</v>
      </c>
      <c r="E987" s="78" t="n">
        <f aca="false">D987*EXP(-01_Inputs!$C$20*01_Inputs!$C$22)</f>
        <v>0</v>
      </c>
      <c r="F987" s="80" t="n">
        <f aca="false">AVERAGE(E986:E987)</f>
        <v>21.6449626974848</v>
      </c>
    </row>
    <row r="988" customFormat="false" ht="15" hidden="false" customHeight="false" outlineLevel="0" collapsed="false">
      <c r="A988" s="76" t="n">
        <v>977</v>
      </c>
      <c r="B988" s="77" t="n">
        <v>-1.315814</v>
      </c>
      <c r="C988" s="78" t="n">
        <f aca="false">05_Unit_Economics!$B$15*EXP((01_Inputs!$C$20-01_Inputs!$C$21^2/2)*01_Inputs!$C$22+01_Inputs!$C$21*SQRT(01_Inputs!$C$22)*B988)</f>
        <v>34.1469213228462</v>
      </c>
      <c r="D988" s="78" t="n">
        <f aca="false">MAX(C988-05_Unit_Economics!$B$21,0)</f>
        <v>0</v>
      </c>
      <c r="E988" s="78" t="n">
        <f aca="false">D988*EXP(-01_Inputs!$C$20*01_Inputs!$C$22)</f>
        <v>0</v>
      </c>
      <c r="F988" s="79"/>
    </row>
    <row r="989" customFormat="false" ht="15" hidden="false" customHeight="false" outlineLevel="0" collapsed="false">
      <c r="A989" s="76" t="n">
        <v>978</v>
      </c>
      <c r="B989" s="77" t="n">
        <v>1.315814</v>
      </c>
      <c r="C989" s="78" t="n">
        <f aca="false">05_Unit_Economics!$B$15*EXP((01_Inputs!$C$20-01_Inputs!$C$21^2/2)*01_Inputs!$C$22+01_Inputs!$C$21*SQRT(01_Inputs!$C$22)*B989)</f>
        <v>85.7762558931188</v>
      </c>
      <c r="D989" s="78" t="n">
        <f aca="false">MAX(C989-05_Unit_Economics!$B$21,0)</f>
        <v>47.8686504186153</v>
      </c>
      <c r="E989" s="78" t="n">
        <f aca="false">D989*EXP(-01_Inputs!$C$20*01_Inputs!$C$22)</f>
        <v>45.8080944569878</v>
      </c>
      <c r="F989" s="80" t="n">
        <f aca="false">AVERAGE(E988:E989)</f>
        <v>22.9040472284939</v>
      </c>
    </row>
    <row r="990" customFormat="false" ht="15" hidden="false" customHeight="false" outlineLevel="0" collapsed="false">
      <c r="A990" s="76" t="n">
        <v>979</v>
      </c>
      <c r="B990" s="77" t="n">
        <v>-0.544399</v>
      </c>
      <c r="C990" s="78" t="n">
        <f aca="false">05_Unit_Economics!$B$15*EXP((01_Inputs!$C$20-01_Inputs!$C$21^2/2)*01_Inputs!$C$22+01_Inputs!$C$21*SQRT(01_Inputs!$C$22)*B990)</f>
        <v>44.7310405619664</v>
      </c>
      <c r="D990" s="78" t="n">
        <f aca="false">MAX(C990-05_Unit_Economics!$B$21,0)</f>
        <v>6.8234350874629</v>
      </c>
      <c r="E990" s="78" t="n">
        <f aca="false">D990*EXP(-01_Inputs!$C$20*01_Inputs!$C$22)</f>
        <v>6.52971321050806</v>
      </c>
      <c r="F990" s="79"/>
    </row>
    <row r="991" customFormat="false" ht="15" hidden="false" customHeight="false" outlineLevel="0" collapsed="false">
      <c r="A991" s="76" t="n">
        <v>980</v>
      </c>
      <c r="B991" s="77" t="n">
        <v>0.544399</v>
      </c>
      <c r="C991" s="78" t="n">
        <f aca="false">05_Unit_Economics!$B$15*EXP((01_Inputs!$C$20-01_Inputs!$C$21^2/2)*01_Inputs!$C$22+01_Inputs!$C$21*SQRT(01_Inputs!$C$22)*B991)</f>
        <v>65.4801458797518</v>
      </c>
      <c r="D991" s="78" t="n">
        <f aca="false">MAX(C991-05_Unit_Economics!$B$21,0)</f>
        <v>27.5725404052483</v>
      </c>
      <c r="E991" s="78" t="n">
        <f aca="false">D991*EXP(-01_Inputs!$C$20*01_Inputs!$C$22)</f>
        <v>26.3856516583879</v>
      </c>
      <c r="F991" s="80" t="n">
        <f aca="false">AVERAGE(E990:E991)</f>
        <v>16.457682434448</v>
      </c>
    </row>
    <row r="992" customFormat="false" ht="15" hidden="false" customHeight="false" outlineLevel="0" collapsed="false">
      <c r="A992" s="76" t="n">
        <v>981</v>
      </c>
      <c r="B992" s="77" t="n">
        <v>0.049948</v>
      </c>
      <c r="C992" s="78" t="n">
        <f aca="false">05_Unit_Economics!$B$15*EXP((01_Inputs!$C$20-01_Inputs!$C$21^2/2)*01_Inputs!$C$22+01_Inputs!$C$21*SQRT(01_Inputs!$C$22)*B992)</f>
        <v>55.074627565609</v>
      </c>
      <c r="D992" s="78" t="n">
        <f aca="false">MAX(C992-05_Unit_Economics!$B$21,0)</f>
        <v>17.1670220911055</v>
      </c>
      <c r="E992" s="78" t="n">
        <f aca="false">D992*EXP(-01_Inputs!$C$20*01_Inputs!$C$22)</f>
        <v>16.4280497281106</v>
      </c>
      <c r="F992" s="79"/>
    </row>
    <row r="993" customFormat="false" ht="15" hidden="false" customHeight="false" outlineLevel="0" collapsed="false">
      <c r="A993" s="76" t="n">
        <v>982</v>
      </c>
      <c r="B993" s="77" t="n">
        <v>-0.049948</v>
      </c>
      <c r="C993" s="78" t="n">
        <f aca="false">05_Unit_Economics!$B$15*EXP((01_Inputs!$C$20-01_Inputs!$C$21^2/2)*01_Inputs!$C$22+01_Inputs!$C$21*SQRT(01_Inputs!$C$22)*B993)</f>
        <v>53.1822944760074</v>
      </c>
      <c r="D993" s="78" t="n">
        <f aca="false">MAX(C993-05_Unit_Economics!$B$21,0)</f>
        <v>15.274689001504</v>
      </c>
      <c r="E993" s="78" t="n">
        <f aca="false">D993*EXP(-01_Inputs!$C$20*01_Inputs!$C$22)</f>
        <v>14.6171740891592</v>
      </c>
      <c r="F993" s="80" t="n">
        <f aca="false">AVERAGE(E992:E993)</f>
        <v>15.5226119086349</v>
      </c>
    </row>
    <row r="994" customFormat="false" ht="15" hidden="false" customHeight="false" outlineLevel="0" collapsed="false">
      <c r="A994" s="76" t="n">
        <v>983</v>
      </c>
      <c r="B994" s="77" t="n">
        <v>-0.444983</v>
      </c>
      <c r="C994" s="78" t="n">
        <f aca="false">05_Unit_Economics!$B$15*EXP((01_Inputs!$C$20-01_Inputs!$C$21^2/2)*01_Inputs!$C$22+01_Inputs!$C$21*SQRT(01_Inputs!$C$22)*B994)</f>
        <v>46.3148794721547</v>
      </c>
      <c r="D994" s="78" t="n">
        <f aca="false">MAX(C994-05_Unit_Economics!$B$21,0)</f>
        <v>8.40727399765123</v>
      </c>
      <c r="E994" s="78" t="n">
        <f aca="false">D994*EXP(-01_Inputs!$C$20*01_Inputs!$C$22)</f>
        <v>8.04537412361259</v>
      </c>
      <c r="F994" s="79"/>
    </row>
    <row r="995" customFormat="false" ht="15" hidden="false" customHeight="false" outlineLevel="0" collapsed="false">
      <c r="A995" s="76" t="n">
        <v>984</v>
      </c>
      <c r="B995" s="77" t="n">
        <v>0.444983</v>
      </c>
      <c r="C995" s="78" t="n">
        <f aca="false">05_Unit_Economics!$B$15*EXP((01_Inputs!$C$20-01_Inputs!$C$21^2/2)*01_Inputs!$C$22+01_Inputs!$C$21*SQRT(01_Inputs!$C$22)*B995)</f>
        <v>63.2409086395575</v>
      </c>
      <c r="D995" s="78" t="n">
        <f aca="false">MAX(C995-05_Unit_Economics!$B$21,0)</f>
        <v>25.333303165054</v>
      </c>
      <c r="E995" s="78" t="n">
        <f aca="false">D995*EXP(-01_Inputs!$C$20*01_Inputs!$C$22)</f>
        <v>24.2428047196629</v>
      </c>
      <c r="F995" s="80" t="n">
        <f aca="false">AVERAGE(E994:E995)</f>
        <v>16.1440894216377</v>
      </c>
    </row>
    <row r="996" customFormat="false" ht="15" hidden="false" customHeight="false" outlineLevel="0" collapsed="false">
      <c r="A996" s="76" t="n">
        <v>985</v>
      </c>
      <c r="B996" s="77" t="n">
        <v>0.972267</v>
      </c>
      <c r="C996" s="78" t="n">
        <f aca="false">05_Unit_Economics!$B$15*EXP((01_Inputs!$C$20-01_Inputs!$C$21^2/2)*01_Inputs!$C$22+01_Inputs!$C$21*SQRT(01_Inputs!$C$22)*B996)</f>
        <v>76.0583478313966</v>
      </c>
      <c r="D996" s="78" t="n">
        <f aca="false">MAX(C996-05_Unit_Economics!$B$21,0)</f>
        <v>38.1507423568931</v>
      </c>
      <c r="E996" s="78" t="n">
        <f aca="false">D996*EXP(-01_Inputs!$C$20*01_Inputs!$C$22)</f>
        <v>36.5085038789634</v>
      </c>
      <c r="F996" s="79"/>
    </row>
    <row r="997" customFormat="false" ht="15" hidden="false" customHeight="false" outlineLevel="0" collapsed="false">
      <c r="A997" s="76" t="n">
        <v>986</v>
      </c>
      <c r="B997" s="77" t="n">
        <v>-0.972267</v>
      </c>
      <c r="C997" s="78" t="n">
        <f aca="false">05_Unit_Economics!$B$15*EXP((01_Inputs!$C$20-01_Inputs!$C$21^2/2)*01_Inputs!$C$22+01_Inputs!$C$21*SQRT(01_Inputs!$C$22)*B997)</f>
        <v>38.5098433618824</v>
      </c>
      <c r="D997" s="78" t="n">
        <f aca="false">MAX(C997-05_Unit_Economics!$B$21,0)</f>
        <v>0.602237887378955</v>
      </c>
      <c r="E997" s="78" t="n">
        <f aca="false">D997*EXP(-01_Inputs!$C$20*01_Inputs!$C$22)</f>
        <v>0.576313929667498</v>
      </c>
      <c r="F997" s="80" t="n">
        <f aca="false">AVERAGE(E996:E997)</f>
        <v>18.5424089043155</v>
      </c>
    </row>
    <row r="998" customFormat="false" ht="15" hidden="false" customHeight="false" outlineLevel="0" collapsed="false">
      <c r="A998" s="76" t="n">
        <v>987</v>
      </c>
      <c r="B998" s="77" t="n">
        <v>0.53122</v>
      </c>
      <c r="C998" s="78" t="n">
        <f aca="false">05_Unit_Economics!$B$15*EXP((01_Inputs!$C$20-01_Inputs!$C$21^2/2)*01_Inputs!$C$22+01_Inputs!$C$21*SQRT(01_Inputs!$C$22)*B998)</f>
        <v>65.1788044105154</v>
      </c>
      <c r="D998" s="78" t="n">
        <f aca="false">MAX(C998-05_Unit_Economics!$B$21,0)</f>
        <v>27.2711989360119</v>
      </c>
      <c r="E998" s="78" t="n">
        <f aca="false">D998*EXP(-01_Inputs!$C$20*01_Inputs!$C$22)</f>
        <v>26.0972817468513</v>
      </c>
      <c r="F998" s="79"/>
    </row>
    <row r="999" customFormat="false" ht="15" hidden="false" customHeight="false" outlineLevel="0" collapsed="false">
      <c r="A999" s="76" t="n">
        <v>988</v>
      </c>
      <c r="B999" s="77" t="n">
        <v>-0.53122</v>
      </c>
      <c r="C999" s="78" t="n">
        <f aca="false">05_Unit_Economics!$B$15*EXP((01_Inputs!$C$20-01_Inputs!$C$21^2/2)*01_Inputs!$C$22+01_Inputs!$C$21*SQRT(01_Inputs!$C$22)*B999)</f>
        <v>44.9378457896063</v>
      </c>
      <c r="D999" s="78" t="n">
        <f aca="false">MAX(C999-05_Unit_Economics!$B$21,0)</f>
        <v>7.03024031510284</v>
      </c>
      <c r="E999" s="78" t="n">
        <f aca="false">D999*EXP(-01_Inputs!$C$20*01_Inputs!$C$22)</f>
        <v>6.72761629152422</v>
      </c>
      <c r="F999" s="80" t="n">
        <f aca="false">AVERAGE(E998:E999)</f>
        <v>16.4124490191878</v>
      </c>
    </row>
    <row r="1000" customFormat="false" ht="15" hidden="false" customHeight="false" outlineLevel="0" collapsed="false">
      <c r="A1000" s="76" t="n">
        <v>989</v>
      </c>
      <c r="B1000" s="77" t="n">
        <v>-0.077336</v>
      </c>
      <c r="C1000" s="78" t="n">
        <f aca="false">05_Unit_Economics!$B$15*EXP((01_Inputs!$C$20-01_Inputs!$C$21^2/2)*01_Inputs!$C$22+01_Inputs!$C$21*SQRT(01_Inputs!$C$22)*B1000)</f>
        <v>52.6749352446735</v>
      </c>
      <c r="D1000" s="78" t="n">
        <f aca="false">MAX(C1000-05_Unit_Economics!$B$21,0)</f>
        <v>14.76732977017</v>
      </c>
      <c r="E1000" s="78" t="n">
        <f aca="false">D1000*EXP(-01_Inputs!$C$20*01_Inputs!$C$22)</f>
        <v>14.1316546648737</v>
      </c>
      <c r="F1000" s="79"/>
    </row>
    <row r="1001" customFormat="false" ht="15" hidden="false" customHeight="false" outlineLevel="0" collapsed="false">
      <c r="A1001" s="76" t="n">
        <v>990</v>
      </c>
      <c r="B1001" s="77" t="n">
        <v>0.077336</v>
      </c>
      <c r="C1001" s="78" t="n">
        <f aca="false">05_Unit_Economics!$B$15*EXP((01_Inputs!$C$20-01_Inputs!$C$21^2/2)*01_Inputs!$C$22+01_Inputs!$C$21*SQRT(01_Inputs!$C$22)*B1001)</f>
        <v>55.605100371658</v>
      </c>
      <c r="D1001" s="78" t="n">
        <f aca="false">MAX(C1001-05_Unit_Economics!$B$21,0)</f>
        <v>17.6974948971545</v>
      </c>
      <c r="E1001" s="78" t="n">
        <f aca="false">D1001*EXP(-01_Inputs!$C$20*01_Inputs!$C$22)</f>
        <v>16.9356877791911</v>
      </c>
      <c r="F1001" s="80" t="n">
        <f aca="false">AVERAGE(E1000:E1001)</f>
        <v>15.5336712220324</v>
      </c>
    </row>
    <row r="1002" customFormat="false" ht="15" hidden="false" customHeight="false" outlineLevel="0" collapsed="false">
      <c r="A1002" s="76" t="n">
        <v>991</v>
      </c>
      <c r="B1002" s="77" t="n">
        <v>-0.904198</v>
      </c>
      <c r="C1002" s="78" t="n">
        <f aca="false">05_Unit_Economics!$B$15*EXP((01_Inputs!$C$20-01_Inputs!$C$21^2/2)*01_Inputs!$C$22+01_Inputs!$C$21*SQRT(01_Inputs!$C$22)*B1002)</f>
        <v>39.438323859994</v>
      </c>
      <c r="D1002" s="78" t="n">
        <f aca="false">MAX(C1002-05_Unit_Economics!$B$21,0)</f>
        <v>1.53071838549057</v>
      </c>
      <c r="E1002" s="78" t="n">
        <f aca="false">D1002*EXP(-01_Inputs!$C$20*01_Inputs!$C$22)</f>
        <v>1.46482701677196</v>
      </c>
      <c r="F1002" s="79"/>
    </row>
    <row r="1003" customFormat="false" ht="15" hidden="false" customHeight="false" outlineLevel="0" collapsed="false">
      <c r="A1003" s="76" t="n">
        <v>992</v>
      </c>
      <c r="B1003" s="77" t="n">
        <v>0.904198</v>
      </c>
      <c r="C1003" s="78" t="n">
        <f aca="false">05_Unit_Economics!$B$15*EXP((01_Inputs!$C$20-01_Inputs!$C$21^2/2)*01_Inputs!$C$22+01_Inputs!$C$21*SQRT(01_Inputs!$C$22)*B1003)</f>
        <v>74.2677369288963</v>
      </c>
      <c r="D1003" s="78" t="n">
        <f aca="false">MAX(C1003-05_Unit_Economics!$B$21,0)</f>
        <v>36.3601314543928</v>
      </c>
      <c r="E1003" s="78" t="n">
        <f aca="false">D1003*EXP(-01_Inputs!$C$20*01_Inputs!$C$22)</f>
        <v>34.7949716895214</v>
      </c>
      <c r="F1003" s="80" t="n">
        <f aca="false">AVERAGE(E1002:E1003)</f>
        <v>18.1298993531467</v>
      </c>
    </row>
    <row r="1004" customFormat="false" ht="15" hidden="false" customHeight="false" outlineLevel="0" collapsed="false">
      <c r="A1004" s="76" t="n">
        <v>993</v>
      </c>
      <c r="B1004" s="77" t="n">
        <v>0.924633</v>
      </c>
      <c r="C1004" s="78" t="n">
        <f aca="false">05_Unit_Economics!$B$15*EXP((01_Inputs!$C$20-01_Inputs!$C$21^2/2)*01_Inputs!$C$22+01_Inputs!$C$21*SQRT(01_Inputs!$C$22)*B1004)</f>
        <v>74.800822458352</v>
      </c>
      <c r="D1004" s="78" t="n">
        <f aca="false">MAX(C1004-05_Unit_Economics!$B$21,0)</f>
        <v>36.8932169838485</v>
      </c>
      <c r="E1004" s="78" t="n">
        <f aca="false">D1004*EXP(-01_Inputs!$C$20*01_Inputs!$C$22)</f>
        <v>35.3051099966057</v>
      </c>
      <c r="F1004" s="79"/>
    </row>
    <row r="1005" customFormat="false" ht="15" hidden="false" customHeight="false" outlineLevel="0" collapsed="false">
      <c r="A1005" s="76" t="n">
        <v>994</v>
      </c>
      <c r="B1005" s="77" t="n">
        <v>-0.924633</v>
      </c>
      <c r="C1005" s="78" t="n">
        <f aca="false">05_Unit_Economics!$B$15*EXP((01_Inputs!$C$20-01_Inputs!$C$21^2/2)*01_Inputs!$C$22+01_Inputs!$C$21*SQRT(01_Inputs!$C$22)*B1005)</f>
        <v>39.1572574349897</v>
      </c>
      <c r="D1005" s="78" t="n">
        <f aca="false">MAX(C1005-05_Unit_Economics!$B$21,0)</f>
        <v>1.24965196048628</v>
      </c>
      <c r="E1005" s="78" t="n">
        <f aca="false">D1005*EXP(-01_Inputs!$C$20*01_Inputs!$C$22)</f>
        <v>1.19585938905129</v>
      </c>
      <c r="F1005" s="80" t="n">
        <f aca="false">AVERAGE(E1004:E1005)</f>
        <v>18.2504846928285</v>
      </c>
    </row>
    <row r="1006" customFormat="false" ht="15" hidden="false" customHeight="false" outlineLevel="0" collapsed="false">
      <c r="A1006" s="76" t="n">
        <v>995</v>
      </c>
      <c r="B1006" s="77" t="n">
        <v>-0.322541</v>
      </c>
      <c r="C1006" s="78" t="n">
        <f aca="false">05_Unit_Economics!$B$15*EXP((01_Inputs!$C$20-01_Inputs!$C$21^2/2)*01_Inputs!$C$22+01_Inputs!$C$21*SQRT(01_Inputs!$C$22)*B1006)</f>
        <v>48.3428330524447</v>
      </c>
      <c r="D1006" s="78" t="n">
        <f aca="false">MAX(C1006-05_Unit_Economics!$B$21,0)</f>
        <v>10.4352275779412</v>
      </c>
      <c r="E1006" s="78" t="n">
        <f aca="false">D1006*EXP(-01_Inputs!$C$20*01_Inputs!$C$22)</f>
        <v>9.98603232784271</v>
      </c>
      <c r="F1006" s="79"/>
    </row>
    <row r="1007" customFormat="false" ht="15" hidden="false" customHeight="false" outlineLevel="0" collapsed="false">
      <c r="A1007" s="76" t="n">
        <v>996</v>
      </c>
      <c r="B1007" s="77" t="n">
        <v>0.322541</v>
      </c>
      <c r="C1007" s="78" t="n">
        <f aca="false">05_Unit_Economics!$B$15*EXP((01_Inputs!$C$20-01_Inputs!$C$21^2/2)*01_Inputs!$C$22+01_Inputs!$C$21*SQRT(01_Inputs!$C$22)*B1007)</f>
        <v>60.5879894993563</v>
      </c>
      <c r="D1007" s="78" t="n">
        <f aca="false">MAX(C1007-05_Unit_Economics!$B$21,0)</f>
        <v>22.6803840248528</v>
      </c>
      <c r="E1007" s="78" t="n">
        <f aca="false">D1007*EXP(-01_Inputs!$C$20*01_Inputs!$C$22)</f>
        <v>21.7040832495914</v>
      </c>
      <c r="F1007" s="80" t="n">
        <f aca="false">AVERAGE(E1006:E1007)</f>
        <v>15.845057788717</v>
      </c>
    </row>
    <row r="1008" customFormat="false" ht="15" hidden="false" customHeight="false" outlineLevel="0" collapsed="false">
      <c r="A1008" s="76" t="n">
        <v>997</v>
      </c>
      <c r="B1008" s="77" t="n">
        <v>0.646081</v>
      </c>
      <c r="C1008" s="78" t="n">
        <f aca="false">05_Unit_Economics!$B$15*EXP((01_Inputs!$C$20-01_Inputs!$C$21^2/2)*01_Inputs!$C$22+01_Inputs!$C$21*SQRT(01_Inputs!$C$22)*B1008)</f>
        <v>67.8524625974478</v>
      </c>
      <c r="D1008" s="78" t="n">
        <f aca="false">MAX(C1008-05_Unit_Economics!$B$21,0)</f>
        <v>29.9448571229444</v>
      </c>
      <c r="E1008" s="78" t="n">
        <f aca="false">D1008*EXP(-01_Inputs!$C$20*01_Inputs!$C$22)</f>
        <v>28.6558495297666</v>
      </c>
      <c r="F1008" s="79"/>
    </row>
    <row r="1009" customFormat="false" ht="15" hidden="false" customHeight="false" outlineLevel="0" collapsed="false">
      <c r="A1009" s="76" t="n">
        <v>998</v>
      </c>
      <c r="B1009" s="77" t="n">
        <v>-0.646081</v>
      </c>
      <c r="C1009" s="78" t="n">
        <f aca="false">05_Unit_Economics!$B$15*EXP((01_Inputs!$C$20-01_Inputs!$C$21^2/2)*01_Inputs!$C$22+01_Inputs!$C$21*SQRT(01_Inputs!$C$22)*B1009)</f>
        <v>43.1671150791928</v>
      </c>
      <c r="D1009" s="78" t="n">
        <f aca="false">MAX(C1009-05_Unit_Economics!$B$21,0)</f>
        <v>5.25950960468928</v>
      </c>
      <c r="E1009" s="78" t="n">
        <f aca="false">D1009*EXP(-01_Inputs!$C$20*01_Inputs!$C$22)</f>
        <v>5.0331085305749</v>
      </c>
      <c r="F1009" s="80" t="n">
        <f aca="false">AVERAGE(E1008:E1009)</f>
        <v>16.8444790301707</v>
      </c>
    </row>
    <row r="1010" customFormat="false" ht="15" hidden="false" customHeight="false" outlineLevel="0" collapsed="false">
      <c r="A1010" s="76" t="n">
        <v>999</v>
      </c>
      <c r="B1010" s="77" t="n">
        <v>0.247522</v>
      </c>
      <c r="C1010" s="78" t="n">
        <f aca="false">05_Unit_Economics!$B$15*EXP((01_Inputs!$C$20-01_Inputs!$C$21^2/2)*01_Inputs!$C$22+01_Inputs!$C$21*SQRT(01_Inputs!$C$22)*B1010)</f>
        <v>59.0178553016097</v>
      </c>
      <c r="D1010" s="78" t="n">
        <f aca="false">MAX(C1010-05_Unit_Economics!$B$21,0)</f>
        <v>21.1102498271062</v>
      </c>
      <c r="E1010" s="78" t="n">
        <f aca="false">D1010*EXP(-01_Inputs!$C$20*01_Inputs!$C$22)</f>
        <v>20.201537115294</v>
      </c>
      <c r="F1010" s="79"/>
    </row>
    <row r="1011" customFormat="false" ht="15" hidden="false" customHeight="false" outlineLevel="0" collapsed="false">
      <c r="A1011" s="76" t="n">
        <v>1000</v>
      </c>
      <c r="B1011" s="77" t="n">
        <v>-0.247522</v>
      </c>
      <c r="C1011" s="78" t="n">
        <f aca="false">05_Unit_Economics!$B$15*EXP((01_Inputs!$C$20-01_Inputs!$C$21^2/2)*01_Inputs!$C$22+01_Inputs!$C$21*SQRT(01_Inputs!$C$22)*B1011)</f>
        <v>49.6289647663758</v>
      </c>
      <c r="D1011" s="78" t="n">
        <f aca="false">MAX(C1011-05_Unit_Economics!$B$21,0)</f>
        <v>11.7213592918723</v>
      </c>
      <c r="E1011" s="78" t="n">
        <f aca="false">D1011*EXP(-01_Inputs!$C$20*01_Inputs!$C$22)</f>
        <v>11.2168011613207</v>
      </c>
      <c r="F1011" s="80" t="n">
        <f aca="false">AVERAGE(E1010:E1011)</f>
        <v>15.7091691383073</v>
      </c>
    </row>
    <row r="1012" customFormat="false" ht="15" hidden="false" customHeight="false" outlineLevel="0" collapsed="false">
      <c r="A1012" s="76" t="n">
        <v>1001</v>
      </c>
      <c r="B1012" s="77" t="n">
        <v>0.776803</v>
      </c>
      <c r="C1012" s="78" t="n">
        <f aca="false">05_Unit_Economics!$B$15*EXP((01_Inputs!$C$20-01_Inputs!$C$21^2/2)*01_Inputs!$C$22+01_Inputs!$C$21*SQRT(01_Inputs!$C$22)*B1012)</f>
        <v>71.0290096599615</v>
      </c>
      <c r="D1012" s="78" t="n">
        <f aca="false">MAX(C1012-05_Unit_Economics!$B$21,0)</f>
        <v>33.121404185458</v>
      </c>
      <c r="E1012" s="78" t="n">
        <f aca="false">D1012*EXP(-01_Inputs!$C$20*01_Inputs!$C$22)</f>
        <v>31.6956588123384</v>
      </c>
      <c r="F1012" s="79"/>
    </row>
    <row r="1013" customFormat="false" ht="15" hidden="false" customHeight="false" outlineLevel="0" collapsed="false">
      <c r="A1013" s="76" t="n">
        <v>1002</v>
      </c>
      <c r="B1013" s="77" t="n">
        <v>-0.776803</v>
      </c>
      <c r="C1013" s="78" t="n">
        <f aca="false">05_Unit_Economics!$B$15*EXP((01_Inputs!$C$20-01_Inputs!$C$21^2/2)*01_Inputs!$C$22+01_Inputs!$C$21*SQRT(01_Inputs!$C$22)*B1013)</f>
        <v>41.2366028383711</v>
      </c>
      <c r="D1013" s="78" t="n">
        <f aca="false">MAX(C1013-05_Unit_Economics!$B$21,0)</f>
        <v>3.32899736386759</v>
      </c>
      <c r="E1013" s="78" t="n">
        <f aca="false">D1013*EXP(-01_Inputs!$C$20*01_Inputs!$C$22)</f>
        <v>3.18569720177043</v>
      </c>
      <c r="F1013" s="80" t="n">
        <f aca="false">AVERAGE(E1012:E1013)</f>
        <v>17.4406780070544</v>
      </c>
    </row>
    <row r="1014" customFormat="false" ht="15" hidden="false" customHeight="false" outlineLevel="0" collapsed="false">
      <c r="A1014" s="76" t="n">
        <v>1003</v>
      </c>
      <c r="B1014" s="77" t="n">
        <v>-1.035198</v>
      </c>
      <c r="C1014" s="78" t="n">
        <f aca="false">05_Unit_Economics!$B$15*EXP((01_Inputs!$C$20-01_Inputs!$C$21^2/2)*01_Inputs!$C$22+01_Inputs!$C$21*SQRT(01_Inputs!$C$22)*B1014)</f>
        <v>37.6709044166476</v>
      </c>
      <c r="D1014" s="78" t="n">
        <f aca="false">MAX(C1014-05_Unit_Economics!$B$21,0)</f>
        <v>0</v>
      </c>
      <c r="E1014" s="78" t="n">
        <f aca="false">D1014*EXP(-01_Inputs!$C$20*01_Inputs!$C$22)</f>
        <v>0</v>
      </c>
      <c r="F1014" s="79"/>
    </row>
    <row r="1015" customFormat="false" ht="15" hidden="false" customHeight="false" outlineLevel="0" collapsed="false">
      <c r="A1015" s="76" t="n">
        <v>1004</v>
      </c>
      <c r="B1015" s="77" t="n">
        <v>1.035198</v>
      </c>
      <c r="C1015" s="78" t="n">
        <f aca="false">05_Unit_Economics!$B$15*EXP((01_Inputs!$C$20-01_Inputs!$C$21^2/2)*01_Inputs!$C$22+01_Inputs!$C$21*SQRT(01_Inputs!$C$22)*B1015)</f>
        <v>77.7521831956937</v>
      </c>
      <c r="D1015" s="78" t="n">
        <f aca="false">MAX(C1015-05_Unit_Economics!$B$21,0)</f>
        <v>39.8445777211903</v>
      </c>
      <c r="E1015" s="78" t="n">
        <f aca="false">D1015*EXP(-01_Inputs!$C$20*01_Inputs!$C$22)</f>
        <v>38.1294263341354</v>
      </c>
      <c r="F1015" s="80" t="n">
        <f aca="false">AVERAGE(E1014:E1015)</f>
        <v>19.0647131670677</v>
      </c>
    </row>
    <row r="1016" customFormat="false" ht="15" hidden="false" customHeight="false" outlineLevel="0" collapsed="false">
      <c r="A1016" s="76" t="n">
        <v>1005</v>
      </c>
      <c r="B1016" s="77" t="n">
        <v>0.963519</v>
      </c>
      <c r="C1016" s="78" t="n">
        <f aca="false">05_Unit_Economics!$B$15*EXP((01_Inputs!$C$20-01_Inputs!$C$21^2/2)*01_Inputs!$C$22+01_Inputs!$C$21*SQRT(01_Inputs!$C$22)*B1016)</f>
        <v>75.8258285274571</v>
      </c>
      <c r="D1016" s="78" t="n">
        <f aca="false">MAX(C1016-05_Unit_Economics!$B$21,0)</f>
        <v>37.9182230529536</v>
      </c>
      <c r="E1016" s="78" t="n">
        <f aca="false">D1016*EXP(-01_Inputs!$C$20*01_Inputs!$C$22)</f>
        <v>36.2859936108697</v>
      </c>
      <c r="F1016" s="79"/>
    </row>
    <row r="1017" customFormat="false" ht="15" hidden="false" customHeight="false" outlineLevel="0" collapsed="false">
      <c r="A1017" s="76" t="n">
        <v>1006</v>
      </c>
      <c r="B1017" s="77" t="n">
        <v>-0.963519</v>
      </c>
      <c r="C1017" s="78" t="n">
        <f aca="false">05_Unit_Economics!$B$15*EXP((01_Inputs!$C$20-01_Inputs!$C$21^2/2)*01_Inputs!$C$22+01_Inputs!$C$21*SQRT(01_Inputs!$C$22)*B1017)</f>
        <v>38.6279334922142</v>
      </c>
      <c r="D1017" s="78" t="n">
        <f aca="false">MAX(C1017-05_Unit_Economics!$B$21,0)</f>
        <v>0.720328017710742</v>
      </c>
      <c r="E1017" s="78" t="n">
        <f aca="false">D1017*EXP(-01_Inputs!$C$20*01_Inputs!$C$22)</f>
        <v>0.689320747227009</v>
      </c>
      <c r="F1017" s="80" t="n">
        <f aca="false">AVERAGE(E1016:E1017)</f>
        <v>18.4876571790483</v>
      </c>
    </row>
    <row r="1018" customFormat="false" ht="15" hidden="false" customHeight="false" outlineLevel="0" collapsed="false">
      <c r="A1018" s="76" t="n">
        <v>1007</v>
      </c>
      <c r="B1018" s="77" t="n">
        <v>-0.316704</v>
      </c>
      <c r="C1018" s="78" t="n">
        <f aca="false">05_Unit_Economics!$B$15*EXP((01_Inputs!$C$20-01_Inputs!$C$21^2/2)*01_Inputs!$C$22+01_Inputs!$C$21*SQRT(01_Inputs!$C$22)*B1018)</f>
        <v>48.4416959948684</v>
      </c>
      <c r="D1018" s="78" t="n">
        <f aca="false">MAX(C1018-05_Unit_Economics!$B$21,0)</f>
        <v>10.5340905203649</v>
      </c>
      <c r="E1018" s="78" t="n">
        <f aca="false">D1018*EXP(-01_Inputs!$C$20*01_Inputs!$C$22)</f>
        <v>10.0806396118425</v>
      </c>
      <c r="F1018" s="79"/>
    </row>
    <row r="1019" customFormat="false" ht="15" hidden="false" customHeight="false" outlineLevel="0" collapsed="false">
      <c r="A1019" s="76" t="n">
        <v>1008</v>
      </c>
      <c r="B1019" s="77" t="n">
        <v>0.316704</v>
      </c>
      <c r="C1019" s="78" t="n">
        <f aca="false">05_Unit_Economics!$B$15*EXP((01_Inputs!$C$20-01_Inputs!$C$21^2/2)*01_Inputs!$C$22+01_Inputs!$C$21*SQRT(01_Inputs!$C$22)*B1019)</f>
        <v>60.4643376165222</v>
      </c>
      <c r="D1019" s="78" t="n">
        <f aca="false">MAX(C1019-05_Unit_Economics!$B$21,0)</f>
        <v>22.5567321420187</v>
      </c>
      <c r="E1019" s="78" t="n">
        <f aca="false">D1019*EXP(-01_Inputs!$C$20*01_Inputs!$C$22)</f>
        <v>21.5857540909643</v>
      </c>
      <c r="F1019" s="80" t="n">
        <f aca="false">AVERAGE(E1018:E1019)</f>
        <v>15.8331968514034</v>
      </c>
    </row>
    <row r="1020" customFormat="false" ht="15" hidden="false" customHeight="false" outlineLevel="0" collapsed="false">
      <c r="A1020" s="76" t="n">
        <v>1009</v>
      </c>
      <c r="B1020" s="77" t="n">
        <v>0.615731</v>
      </c>
      <c r="C1020" s="78" t="n">
        <f aca="false">05_Unit_Economics!$B$15*EXP((01_Inputs!$C$20-01_Inputs!$C$21^2/2)*01_Inputs!$C$22+01_Inputs!$C$21*SQRT(01_Inputs!$C$22)*B1020)</f>
        <v>67.135514445917</v>
      </c>
      <c r="D1020" s="78" t="n">
        <f aca="false">MAX(C1020-05_Unit_Economics!$B$21,0)</f>
        <v>29.2279089714136</v>
      </c>
      <c r="E1020" s="78" t="n">
        <f aca="false">D1020*EXP(-01_Inputs!$C$20*01_Inputs!$C$22)</f>
        <v>27.9697631588562</v>
      </c>
      <c r="F1020" s="79"/>
    </row>
    <row r="1021" customFormat="false" ht="15" hidden="false" customHeight="false" outlineLevel="0" collapsed="false">
      <c r="A1021" s="76" t="n">
        <v>1010</v>
      </c>
      <c r="B1021" s="77" t="n">
        <v>-0.615731</v>
      </c>
      <c r="C1021" s="78" t="n">
        <f aca="false">05_Unit_Economics!$B$15*EXP((01_Inputs!$C$20-01_Inputs!$C$21^2/2)*01_Inputs!$C$22+01_Inputs!$C$21*SQRT(01_Inputs!$C$22)*B1021)</f>
        <v>43.6281018403484</v>
      </c>
      <c r="D1021" s="78" t="n">
        <f aca="false">MAX(C1021-05_Unit_Economics!$B$21,0)</f>
        <v>5.72049636584497</v>
      </c>
      <c r="E1021" s="78" t="n">
        <f aca="false">D1021*EXP(-01_Inputs!$C$20*01_Inputs!$C$22)</f>
        <v>5.47425163600552</v>
      </c>
      <c r="F1021" s="80" t="n">
        <f aca="false">AVERAGE(E1020:E1021)</f>
        <v>16.7220073974308</v>
      </c>
    </row>
    <row r="1022" customFormat="false" ht="15" hidden="false" customHeight="false" outlineLevel="0" collapsed="false">
      <c r="A1022" s="76" t="n">
        <v>1011</v>
      </c>
      <c r="B1022" s="77" t="n">
        <v>0.642917</v>
      </c>
      <c r="C1022" s="78" t="n">
        <f aca="false">05_Unit_Economics!$B$15*EXP((01_Inputs!$C$20-01_Inputs!$C$21^2/2)*01_Inputs!$C$22+01_Inputs!$C$21*SQRT(01_Inputs!$C$22)*B1022)</f>
        <v>67.7773643699306</v>
      </c>
      <c r="D1022" s="78" t="n">
        <f aca="false">MAX(C1022-05_Unit_Economics!$B$21,0)</f>
        <v>29.8697588954271</v>
      </c>
      <c r="E1022" s="78" t="n">
        <f aca="false">D1022*EXP(-01_Inputs!$C$20*01_Inputs!$C$22)</f>
        <v>28.5839839837447</v>
      </c>
      <c r="F1022" s="79"/>
    </row>
    <row r="1023" customFormat="false" ht="15" hidden="false" customHeight="false" outlineLevel="0" collapsed="false">
      <c r="A1023" s="76" t="n">
        <v>1012</v>
      </c>
      <c r="B1023" s="77" t="n">
        <v>-0.642917</v>
      </c>
      <c r="C1023" s="78" t="n">
        <f aca="false">05_Unit_Economics!$B$15*EXP((01_Inputs!$C$20-01_Inputs!$C$21^2/2)*01_Inputs!$C$22+01_Inputs!$C$21*SQRT(01_Inputs!$C$22)*B1023)</f>
        <v>43.2149448208715</v>
      </c>
      <c r="D1023" s="78" t="n">
        <f aca="false">MAX(C1023-05_Unit_Economics!$B$21,0)</f>
        <v>5.30733934636801</v>
      </c>
      <c r="E1023" s="78" t="n">
        <f aca="false">D1023*EXP(-01_Inputs!$C$20*01_Inputs!$C$22)</f>
        <v>5.07887939115928</v>
      </c>
      <c r="F1023" s="80" t="n">
        <f aca="false">AVERAGE(E1022:E1023)</f>
        <v>16.831431687452</v>
      </c>
    </row>
    <row r="1024" customFormat="false" ht="15" hidden="false" customHeight="false" outlineLevel="0" collapsed="false">
      <c r="A1024" s="76" t="n">
        <v>1013</v>
      </c>
      <c r="B1024" s="77" t="n">
        <v>-1.658483</v>
      </c>
      <c r="C1024" s="78" t="n">
        <f aca="false">05_Unit_Economics!$B$15*EXP((01_Inputs!$C$20-01_Inputs!$C$21^2/2)*01_Inputs!$C$22+01_Inputs!$C$21*SQRT(01_Inputs!$C$22)*B1024)</f>
        <v>30.2875967447854</v>
      </c>
      <c r="D1024" s="78" t="n">
        <f aca="false">MAX(C1024-05_Unit_Economics!$B$21,0)</f>
        <v>0</v>
      </c>
      <c r="E1024" s="78" t="n">
        <f aca="false">D1024*EXP(-01_Inputs!$C$20*01_Inputs!$C$22)</f>
        <v>0</v>
      </c>
      <c r="F1024" s="79"/>
    </row>
    <row r="1025" customFormat="false" ht="15" hidden="false" customHeight="false" outlineLevel="0" collapsed="false">
      <c r="A1025" s="76" t="n">
        <v>1014</v>
      </c>
      <c r="B1025" s="77" t="n">
        <v>1.658483</v>
      </c>
      <c r="C1025" s="78" t="n">
        <f aca="false">05_Unit_Economics!$B$15*EXP((01_Inputs!$C$20-01_Inputs!$C$21^2/2)*01_Inputs!$C$22+01_Inputs!$C$21*SQRT(01_Inputs!$C$22)*B1025)</f>
        <v>96.7060901540475</v>
      </c>
      <c r="D1025" s="78" t="n">
        <f aca="false">MAX(C1025-05_Unit_Economics!$B$21,0)</f>
        <v>58.798484679544</v>
      </c>
      <c r="E1025" s="78" t="n">
        <f aca="false">D1025*EXP(-01_Inputs!$C$20*01_Inputs!$C$22)</f>
        <v>56.267442607508</v>
      </c>
      <c r="F1025" s="80" t="n">
        <f aca="false">AVERAGE(E1024:E1025)</f>
        <v>28.133721303754</v>
      </c>
    </row>
    <row r="1026" customFormat="false" ht="15" hidden="false" customHeight="false" outlineLevel="0" collapsed="false">
      <c r="A1026" s="76" t="n">
        <v>1015</v>
      </c>
      <c r="B1026" s="77" t="n">
        <v>0.434661</v>
      </c>
      <c r="C1026" s="78" t="n">
        <f aca="false">05_Unit_Economics!$B$15*EXP((01_Inputs!$C$20-01_Inputs!$C$21^2/2)*01_Inputs!$C$22+01_Inputs!$C$21*SQRT(01_Inputs!$C$22)*B1026)</f>
        <v>63.0128504099421</v>
      </c>
      <c r="D1026" s="78" t="n">
        <f aca="false">MAX(C1026-05_Unit_Economics!$B$21,0)</f>
        <v>25.1052449354387</v>
      </c>
      <c r="E1026" s="78" t="n">
        <f aca="false">D1026*EXP(-01_Inputs!$C$20*01_Inputs!$C$22)</f>
        <v>24.0245634942982</v>
      </c>
      <c r="F1026" s="79"/>
    </row>
    <row r="1027" customFormat="false" ht="15" hidden="false" customHeight="false" outlineLevel="0" collapsed="false">
      <c r="A1027" s="76" t="n">
        <v>1016</v>
      </c>
      <c r="B1027" s="77" t="n">
        <v>-0.434661</v>
      </c>
      <c r="C1027" s="78" t="n">
        <f aca="false">05_Unit_Economics!$B$15*EXP((01_Inputs!$C$20-01_Inputs!$C$21^2/2)*01_Inputs!$C$22+01_Inputs!$C$21*SQRT(01_Inputs!$C$22)*B1027)</f>
        <v>46.4825038431925</v>
      </c>
      <c r="D1027" s="78" t="n">
        <f aca="false">MAX(C1027-05_Unit_Economics!$B$21,0)</f>
        <v>8.57489836868908</v>
      </c>
      <c r="E1027" s="78" t="n">
        <f aca="false">D1027*EXP(-01_Inputs!$C$20*01_Inputs!$C$22)</f>
        <v>8.20578292884618</v>
      </c>
      <c r="F1027" s="80" t="n">
        <f aca="false">AVERAGE(E1026:E1027)</f>
        <v>16.1151732115722</v>
      </c>
    </row>
    <row r="1028" customFormat="false" ht="15" hidden="false" customHeight="false" outlineLevel="0" collapsed="false">
      <c r="A1028" s="76" t="n">
        <v>1017</v>
      </c>
      <c r="B1028" s="77" t="n">
        <v>-0.359736</v>
      </c>
      <c r="C1028" s="78" t="n">
        <f aca="false">05_Unit_Economics!$B$15*EXP((01_Inputs!$C$20-01_Inputs!$C$21^2/2)*01_Inputs!$C$22+01_Inputs!$C$21*SQRT(01_Inputs!$C$22)*B1028)</f>
        <v>47.7175726943543</v>
      </c>
      <c r="D1028" s="78" t="n">
        <f aca="false">MAX(C1028-05_Unit_Economics!$B$21,0)</f>
        <v>9.80996721985086</v>
      </c>
      <c r="E1028" s="78" t="n">
        <f aca="false">D1028*EXP(-01_Inputs!$C$20*01_Inputs!$C$22)</f>
        <v>9.38768695371714</v>
      </c>
      <c r="F1028" s="79"/>
    </row>
    <row r="1029" customFormat="false" ht="15" hidden="false" customHeight="false" outlineLevel="0" collapsed="false">
      <c r="A1029" s="76" t="n">
        <v>1018</v>
      </c>
      <c r="B1029" s="77" t="n">
        <v>0.359736</v>
      </c>
      <c r="C1029" s="78" t="n">
        <f aca="false">05_Unit_Economics!$B$15*EXP((01_Inputs!$C$20-01_Inputs!$C$21^2/2)*01_Inputs!$C$22+01_Inputs!$C$21*SQRT(01_Inputs!$C$22)*B1029)</f>
        <v>61.3818955149241</v>
      </c>
      <c r="D1029" s="78" t="n">
        <f aca="false">MAX(C1029-05_Unit_Economics!$B$21,0)</f>
        <v>23.4742900404206</v>
      </c>
      <c r="E1029" s="78" t="n">
        <f aca="false">D1029*EXP(-01_Inputs!$C$20*01_Inputs!$C$22)</f>
        <v>22.4638147530506</v>
      </c>
      <c r="F1029" s="80" t="n">
        <f aca="false">AVERAGE(E1028:E1029)</f>
        <v>15.9257508533839</v>
      </c>
    </row>
    <row r="1030" customFormat="false" ht="15" hidden="false" customHeight="false" outlineLevel="0" collapsed="false">
      <c r="A1030" s="76" t="n">
        <v>1019</v>
      </c>
      <c r="B1030" s="77" t="n">
        <v>0.240414</v>
      </c>
      <c r="C1030" s="78" t="n">
        <f aca="false">05_Unit_Economics!$B$15*EXP((01_Inputs!$C$20-01_Inputs!$C$21^2/2)*01_Inputs!$C$22+01_Inputs!$C$21*SQRT(01_Inputs!$C$22)*B1030)</f>
        <v>58.8712131649766</v>
      </c>
      <c r="D1030" s="78" t="n">
        <f aca="false">MAX(C1030-05_Unit_Economics!$B$21,0)</f>
        <v>20.9636076904731</v>
      </c>
      <c r="E1030" s="78" t="n">
        <f aca="false">D1030*EXP(-01_Inputs!$C$20*01_Inputs!$C$22)</f>
        <v>20.0612073423107</v>
      </c>
      <c r="F1030" s="79"/>
    </row>
    <row r="1031" customFormat="false" ht="15" hidden="false" customHeight="false" outlineLevel="0" collapsed="false">
      <c r="A1031" s="76" t="n">
        <v>1020</v>
      </c>
      <c r="B1031" s="77" t="n">
        <v>-0.240414</v>
      </c>
      <c r="C1031" s="78" t="n">
        <f aca="false">05_Unit_Economics!$B$15*EXP((01_Inputs!$C$20-01_Inputs!$C$21^2/2)*01_Inputs!$C$22+01_Inputs!$C$21*SQRT(01_Inputs!$C$22)*B1031)</f>
        <v>49.7525854128849</v>
      </c>
      <c r="D1031" s="78" t="n">
        <f aca="false">MAX(C1031-05_Unit_Economics!$B$21,0)</f>
        <v>11.8449799383814</v>
      </c>
      <c r="E1031" s="78" t="n">
        <f aca="false">D1031*EXP(-01_Inputs!$C$20*01_Inputs!$C$22)</f>
        <v>11.3351004282229</v>
      </c>
      <c r="F1031" s="80" t="n">
        <f aca="false">AVERAGE(E1030:E1031)</f>
        <v>15.6981538852668</v>
      </c>
    </row>
    <row r="1032" customFormat="false" ht="15" hidden="false" customHeight="false" outlineLevel="0" collapsed="false">
      <c r="A1032" s="76" t="n">
        <v>1021</v>
      </c>
      <c r="B1032" s="77" t="n">
        <v>-0.052967</v>
      </c>
      <c r="C1032" s="78" t="n">
        <f aca="false">05_Unit_Economics!$B$15*EXP((01_Inputs!$C$20-01_Inputs!$C$21^2/2)*01_Inputs!$C$22+01_Inputs!$C$21*SQRT(01_Inputs!$C$22)*B1032)</f>
        <v>53.1261290833562</v>
      </c>
      <c r="D1032" s="78" t="n">
        <f aca="false">MAX(C1032-05_Unit_Economics!$B$21,0)</f>
        <v>15.2185236088527</v>
      </c>
      <c r="E1032" s="78" t="n">
        <f aca="false">D1032*EXP(-01_Inputs!$C$20*01_Inputs!$C$22)</f>
        <v>14.5634263943886</v>
      </c>
      <c r="F1032" s="79"/>
    </row>
    <row r="1033" customFormat="false" ht="15" hidden="false" customHeight="false" outlineLevel="0" collapsed="false">
      <c r="A1033" s="76" t="n">
        <v>1022</v>
      </c>
      <c r="B1033" s="77" t="n">
        <v>0.052967</v>
      </c>
      <c r="C1033" s="78" t="n">
        <f aca="false">05_Unit_Economics!$B$15*EXP((01_Inputs!$C$20-01_Inputs!$C$21^2/2)*01_Inputs!$C$22+01_Inputs!$C$21*SQRT(01_Inputs!$C$22)*B1033)</f>
        <v>55.132852927323</v>
      </c>
      <c r="D1033" s="78" t="n">
        <f aca="false">MAX(C1033-05_Unit_Economics!$B$21,0)</f>
        <v>17.2252474528195</v>
      </c>
      <c r="E1033" s="78" t="n">
        <f aca="false">D1033*EXP(-01_Inputs!$C$20*01_Inputs!$C$22)</f>
        <v>16.4837687184281</v>
      </c>
      <c r="F1033" s="80" t="n">
        <f aca="false">AVERAGE(E1032:E1033)</f>
        <v>15.5235975564084</v>
      </c>
    </row>
    <row r="1034" customFormat="false" ht="15" hidden="false" customHeight="false" outlineLevel="0" collapsed="false">
      <c r="A1034" s="76" t="n">
        <v>1023</v>
      </c>
      <c r="B1034" s="77" t="n">
        <v>0.058832</v>
      </c>
      <c r="C1034" s="78" t="n">
        <f aca="false">05_Unit_Economics!$B$15*EXP((01_Inputs!$C$20-01_Inputs!$C$21^2/2)*01_Inputs!$C$22+01_Inputs!$C$21*SQRT(01_Inputs!$C$22)*B1034)</f>
        <v>55.2461431296192</v>
      </c>
      <c r="D1034" s="78" t="n">
        <f aca="false">MAX(C1034-05_Unit_Economics!$B$21,0)</f>
        <v>17.3385376551157</v>
      </c>
      <c r="E1034" s="78" t="n">
        <f aca="false">D1034*EXP(-01_Inputs!$C$20*01_Inputs!$C$22)</f>
        <v>16.5921822258585</v>
      </c>
      <c r="F1034" s="79"/>
    </row>
    <row r="1035" customFormat="false" ht="15" hidden="false" customHeight="false" outlineLevel="0" collapsed="false">
      <c r="A1035" s="76" t="n">
        <v>1024</v>
      </c>
      <c r="B1035" s="77" t="n">
        <v>-0.058832</v>
      </c>
      <c r="C1035" s="78" t="n">
        <f aca="false">05_Unit_Economics!$B$15*EXP((01_Inputs!$C$20-01_Inputs!$C$21^2/2)*01_Inputs!$C$22+01_Inputs!$C$21*SQRT(01_Inputs!$C$22)*B1035)</f>
        <v>53.017186276309</v>
      </c>
      <c r="D1035" s="78" t="n">
        <f aca="false">MAX(C1035-05_Unit_Economics!$B$21,0)</f>
        <v>15.1095808018056</v>
      </c>
      <c r="E1035" s="78" t="n">
        <f aca="false">D1035*EXP(-01_Inputs!$C$20*01_Inputs!$C$22)</f>
        <v>14.4591731440466</v>
      </c>
      <c r="F1035" s="80" t="n">
        <f aca="false">AVERAGE(E1034:E1035)</f>
        <v>15.5256776849525</v>
      </c>
    </row>
    <row r="1036" customFormat="false" ht="15" hidden="false" customHeight="false" outlineLevel="0" collapsed="false">
      <c r="A1036" s="76" t="n">
        <v>1025</v>
      </c>
      <c r="B1036" s="77" t="n">
        <v>-0.932595</v>
      </c>
      <c r="C1036" s="78" t="n">
        <f aca="false">05_Unit_Economics!$B$15*EXP((01_Inputs!$C$20-01_Inputs!$C$21^2/2)*01_Inputs!$C$22+01_Inputs!$C$21*SQRT(01_Inputs!$C$22)*B1036)</f>
        <v>39.0482898062586</v>
      </c>
      <c r="D1036" s="78" t="n">
        <f aca="false">MAX(C1036-05_Unit_Economics!$B$21,0)</f>
        <v>1.14068433175514</v>
      </c>
      <c r="E1036" s="78" t="n">
        <f aca="false">D1036*EXP(-01_Inputs!$C$20*01_Inputs!$C$22)</f>
        <v>1.09158238550058</v>
      </c>
      <c r="F1036" s="79"/>
    </row>
    <row r="1037" customFormat="false" ht="15" hidden="false" customHeight="false" outlineLevel="0" collapsed="false">
      <c r="A1037" s="76" t="n">
        <v>1026</v>
      </c>
      <c r="B1037" s="77" t="n">
        <v>0.932595</v>
      </c>
      <c r="C1037" s="78" t="n">
        <f aca="false">05_Unit_Economics!$B$15*EXP((01_Inputs!$C$20-01_Inputs!$C$21^2/2)*01_Inputs!$C$22+01_Inputs!$C$21*SQRT(01_Inputs!$C$22)*B1037)</f>
        <v>75.0095606205319</v>
      </c>
      <c r="D1037" s="78" t="n">
        <f aca="false">MAX(C1037-05_Unit_Economics!$B$21,0)</f>
        <v>37.1019551460284</v>
      </c>
      <c r="E1037" s="78" t="n">
        <f aca="false">D1037*EXP(-01_Inputs!$C$20*01_Inputs!$C$22)</f>
        <v>35.5048628069794</v>
      </c>
      <c r="F1037" s="80" t="n">
        <f aca="false">AVERAGE(E1036:E1037)</f>
        <v>18.29822259624</v>
      </c>
    </row>
    <row r="1038" customFormat="false" ht="15" hidden="false" customHeight="false" outlineLevel="0" collapsed="false">
      <c r="A1038" s="76" t="n">
        <v>1027</v>
      </c>
      <c r="B1038" s="77" t="n">
        <v>-2.379418</v>
      </c>
      <c r="C1038" s="78" t="n">
        <f aca="false">05_Unit_Economics!$B$15*EXP((01_Inputs!$C$20-01_Inputs!$C$21^2/2)*01_Inputs!$C$22+01_Inputs!$C$21*SQRT(01_Inputs!$C$22)*B1038)</f>
        <v>23.5331727076187</v>
      </c>
      <c r="D1038" s="78" t="n">
        <f aca="false">MAX(C1038-05_Unit_Economics!$B$21,0)</f>
        <v>0</v>
      </c>
      <c r="E1038" s="78" t="n">
        <f aca="false">D1038*EXP(-01_Inputs!$C$20*01_Inputs!$C$22)</f>
        <v>0</v>
      </c>
      <c r="F1038" s="79"/>
    </row>
    <row r="1039" customFormat="false" ht="15" hidden="false" customHeight="false" outlineLevel="0" collapsed="false">
      <c r="A1039" s="76" t="n">
        <v>1028</v>
      </c>
      <c r="B1039" s="77" t="n">
        <v>2.379418</v>
      </c>
      <c r="C1039" s="78" t="n">
        <f aca="false">05_Unit_Economics!$B$15*EXP((01_Inputs!$C$20-01_Inputs!$C$21^2/2)*01_Inputs!$C$22+01_Inputs!$C$21*SQRT(01_Inputs!$C$22)*B1039)</f>
        <v>124.462396028837</v>
      </c>
      <c r="D1039" s="78" t="n">
        <f aca="false">MAX(C1039-05_Unit_Economics!$B$21,0)</f>
        <v>86.5547905543335</v>
      </c>
      <c r="E1039" s="78" t="n">
        <f aca="false">D1039*EXP(-01_Inputs!$C$20*01_Inputs!$C$22)</f>
        <v>82.8289493592201</v>
      </c>
      <c r="F1039" s="80" t="n">
        <f aca="false">AVERAGE(E1038:E1039)</f>
        <v>41.4144746796101</v>
      </c>
    </row>
    <row r="1040" customFormat="false" ht="15" hidden="false" customHeight="false" outlineLevel="0" collapsed="false">
      <c r="A1040" s="76" t="n">
        <v>1029</v>
      </c>
      <c r="B1040" s="77" t="n">
        <v>-0.076302</v>
      </c>
      <c r="C1040" s="78" t="n">
        <f aca="false">05_Unit_Economics!$B$15*EXP((01_Inputs!$C$20-01_Inputs!$C$21^2/2)*01_Inputs!$C$22+01_Inputs!$C$21*SQRT(01_Inputs!$C$22)*B1040)</f>
        <v>52.6940017536152</v>
      </c>
      <c r="D1040" s="78" t="n">
        <f aca="false">MAX(C1040-05_Unit_Economics!$B$21,0)</f>
        <v>14.7863962791117</v>
      </c>
      <c r="E1040" s="78" t="n">
        <f aca="false">D1040*EXP(-01_Inputs!$C$20*01_Inputs!$C$22)</f>
        <v>14.1499004360607</v>
      </c>
      <c r="F1040" s="79"/>
    </row>
    <row r="1041" customFormat="false" ht="15" hidden="false" customHeight="false" outlineLevel="0" collapsed="false">
      <c r="A1041" s="76" t="n">
        <v>1030</v>
      </c>
      <c r="B1041" s="77" t="n">
        <v>0.076302</v>
      </c>
      <c r="C1041" s="78" t="n">
        <f aca="false">05_Unit_Economics!$B$15*EXP((01_Inputs!$C$20-01_Inputs!$C$21^2/2)*01_Inputs!$C$22+01_Inputs!$C$21*SQRT(01_Inputs!$C$22)*B1041)</f>
        <v>55.584980526739</v>
      </c>
      <c r="D1041" s="78" t="n">
        <f aca="false">MAX(C1041-05_Unit_Economics!$B$21,0)</f>
        <v>17.6773750522355</v>
      </c>
      <c r="E1041" s="78" t="n">
        <f aca="false">D1041*EXP(-01_Inputs!$C$20*01_Inputs!$C$22)</f>
        <v>16.9164340139721</v>
      </c>
      <c r="F1041" s="80" t="n">
        <f aca="false">AVERAGE(E1040:E1041)</f>
        <v>15.5331672250164</v>
      </c>
    </row>
    <row r="1042" customFormat="false" ht="15" hidden="false" customHeight="false" outlineLevel="0" collapsed="false">
      <c r="A1042" s="76" t="n">
        <v>1031</v>
      </c>
      <c r="B1042" s="77" t="n">
        <v>0.259622</v>
      </c>
      <c r="C1042" s="78" t="n">
        <f aca="false">05_Unit_Economics!$B$15*EXP((01_Inputs!$C$20-01_Inputs!$C$21^2/2)*01_Inputs!$C$22+01_Inputs!$C$21*SQRT(01_Inputs!$C$22)*B1042)</f>
        <v>59.2683259159842</v>
      </c>
      <c r="D1042" s="78" t="n">
        <f aca="false">MAX(C1042-05_Unit_Economics!$B$21,0)</f>
        <v>21.3607204414807</v>
      </c>
      <c r="E1042" s="78" t="n">
        <f aca="false">D1042*EXP(-01_Inputs!$C$20*01_Inputs!$C$22)</f>
        <v>20.4412259609504</v>
      </c>
      <c r="F1042" s="79"/>
    </row>
    <row r="1043" customFormat="false" ht="15" hidden="false" customHeight="false" outlineLevel="0" collapsed="false">
      <c r="A1043" s="76" t="n">
        <v>1032</v>
      </c>
      <c r="B1043" s="77" t="n">
        <v>-0.259622</v>
      </c>
      <c r="C1043" s="78" t="n">
        <f aca="false">05_Unit_Economics!$B$15*EXP((01_Inputs!$C$20-01_Inputs!$C$21^2/2)*01_Inputs!$C$22+01_Inputs!$C$21*SQRT(01_Inputs!$C$22)*B1043)</f>
        <v>49.4192305263127</v>
      </c>
      <c r="D1043" s="78" t="n">
        <f aca="false">MAX(C1043-05_Unit_Economics!$B$21,0)</f>
        <v>11.5116250518092</v>
      </c>
      <c r="E1043" s="78" t="n">
        <f aca="false">D1043*EXP(-01_Inputs!$C$20*01_Inputs!$C$22)</f>
        <v>11.0160951502747</v>
      </c>
      <c r="F1043" s="80" t="n">
        <f aca="false">AVERAGE(E1042:E1043)</f>
        <v>15.7286605556125</v>
      </c>
    </row>
    <row r="1044" customFormat="false" ht="15" hidden="false" customHeight="false" outlineLevel="0" collapsed="false">
      <c r="A1044" s="76" t="n">
        <v>1033</v>
      </c>
      <c r="B1044" s="77" t="n">
        <v>-0.413092</v>
      </c>
      <c r="C1044" s="78" t="n">
        <f aca="false">05_Unit_Economics!$B$15*EXP((01_Inputs!$C$20-01_Inputs!$C$21^2/2)*01_Inputs!$C$22+01_Inputs!$C$21*SQRT(01_Inputs!$C$22)*B1044)</f>
        <v>46.834735087536</v>
      </c>
      <c r="D1044" s="78" t="n">
        <f aca="false">MAX(C1044-05_Unit_Economics!$B$21,0)</f>
        <v>8.92712961303255</v>
      </c>
      <c r="E1044" s="78" t="n">
        <f aca="false">D1044*EXP(-01_Inputs!$C$20*01_Inputs!$C$22)</f>
        <v>8.54285201206633</v>
      </c>
      <c r="F1044" s="79"/>
    </row>
    <row r="1045" customFormat="false" ht="15" hidden="false" customHeight="false" outlineLevel="0" collapsed="false">
      <c r="A1045" s="76" t="n">
        <v>1034</v>
      </c>
      <c r="B1045" s="77" t="n">
        <v>0.413092</v>
      </c>
      <c r="C1045" s="78" t="n">
        <f aca="false">05_Unit_Economics!$B$15*EXP((01_Inputs!$C$20-01_Inputs!$C$21^2/2)*01_Inputs!$C$22+01_Inputs!$C$21*SQRT(01_Inputs!$C$22)*B1045)</f>
        <v>62.5389479811563</v>
      </c>
      <c r="D1045" s="78" t="n">
        <f aca="false">MAX(C1045-05_Unit_Economics!$B$21,0)</f>
        <v>24.6313425066529</v>
      </c>
      <c r="E1045" s="78" t="n">
        <f aca="false">D1045*EXP(-01_Inputs!$C$20*01_Inputs!$C$22)</f>
        <v>23.5710606896155</v>
      </c>
      <c r="F1045" s="80" t="n">
        <f aca="false">AVERAGE(E1044:E1045)</f>
        <v>16.0569563508409</v>
      </c>
    </row>
    <row r="1046" customFormat="false" ht="15" hidden="false" customHeight="false" outlineLevel="0" collapsed="false">
      <c r="A1046" s="76" t="n">
        <v>1035</v>
      </c>
      <c r="B1046" s="77" t="n">
        <v>-0.335495</v>
      </c>
      <c r="C1046" s="78" t="n">
        <f aca="false">05_Unit_Economics!$B$15*EXP((01_Inputs!$C$20-01_Inputs!$C$21^2/2)*01_Inputs!$C$22+01_Inputs!$C$21*SQRT(01_Inputs!$C$22)*B1046)</f>
        <v>48.1241476052553</v>
      </c>
      <c r="D1046" s="78" t="n">
        <f aca="false">MAX(C1046-05_Unit_Economics!$B$21,0)</f>
        <v>10.2165421307518</v>
      </c>
      <c r="E1046" s="78" t="n">
        <f aca="false">D1046*EXP(-01_Inputs!$C$20*01_Inputs!$C$22)</f>
        <v>9.77676042371306</v>
      </c>
      <c r="F1046" s="79"/>
    </row>
    <row r="1047" customFormat="false" ht="15" hidden="false" customHeight="false" outlineLevel="0" collapsed="false">
      <c r="A1047" s="76" t="n">
        <v>1036</v>
      </c>
      <c r="B1047" s="77" t="n">
        <v>0.335495</v>
      </c>
      <c r="C1047" s="78" t="n">
        <f aca="false">05_Unit_Economics!$B$15*EXP((01_Inputs!$C$20-01_Inputs!$C$21^2/2)*01_Inputs!$C$22+01_Inputs!$C$21*SQRT(01_Inputs!$C$22)*B1047)</f>
        <v>60.863313058054</v>
      </c>
      <c r="D1047" s="78" t="n">
        <f aca="false">MAX(C1047-05_Unit_Economics!$B$21,0)</f>
        <v>22.9557075835505</v>
      </c>
      <c r="E1047" s="78" t="n">
        <f aca="false">D1047*EXP(-01_Inputs!$C$20*01_Inputs!$C$22)</f>
        <v>21.9675552186727</v>
      </c>
      <c r="F1047" s="80" t="n">
        <f aca="false">AVERAGE(E1046:E1047)</f>
        <v>15.8721578211929</v>
      </c>
    </row>
    <row r="1048" customFormat="false" ht="15" hidden="false" customHeight="false" outlineLevel="0" collapsed="false">
      <c r="A1048" s="76" t="n">
        <v>1037</v>
      </c>
      <c r="B1048" s="77" t="n">
        <v>0.691509</v>
      </c>
      <c r="C1048" s="78" t="n">
        <f aca="false">05_Unit_Economics!$B$15*EXP((01_Inputs!$C$20-01_Inputs!$C$21^2/2)*01_Inputs!$C$22+01_Inputs!$C$21*SQRT(01_Inputs!$C$22)*B1048)</f>
        <v>68.939925494085</v>
      </c>
      <c r="D1048" s="78" t="n">
        <f aca="false">MAX(C1048-05_Unit_Economics!$B$21,0)</f>
        <v>31.0323200195815</v>
      </c>
      <c r="E1048" s="78" t="n">
        <f aca="false">D1048*EXP(-01_Inputs!$C$20*01_Inputs!$C$22)</f>
        <v>29.6965014523086</v>
      </c>
      <c r="F1048" s="79"/>
    </row>
    <row r="1049" customFormat="false" ht="15" hidden="false" customHeight="false" outlineLevel="0" collapsed="false">
      <c r="A1049" s="76" t="n">
        <v>1038</v>
      </c>
      <c r="B1049" s="77" t="n">
        <v>-0.691509</v>
      </c>
      <c r="C1049" s="78" t="n">
        <f aca="false">05_Unit_Economics!$B$15*EXP((01_Inputs!$C$20-01_Inputs!$C$21^2/2)*01_Inputs!$C$22+01_Inputs!$C$21*SQRT(01_Inputs!$C$22)*B1049)</f>
        <v>42.4861941807865</v>
      </c>
      <c r="D1049" s="78" t="n">
        <f aca="false">MAX(C1049-05_Unit_Economics!$B$21,0)</f>
        <v>4.57858870628307</v>
      </c>
      <c r="E1049" s="78" t="n">
        <f aca="false">D1049*EXP(-01_Inputs!$C$20*01_Inputs!$C$22)</f>
        <v>4.38149858211898</v>
      </c>
      <c r="F1049" s="80" t="n">
        <f aca="false">AVERAGE(E1048:E1049)</f>
        <v>17.0390000172138</v>
      </c>
    </row>
    <row r="1050" customFormat="false" ht="15" hidden="false" customHeight="false" outlineLevel="0" collapsed="false">
      <c r="A1050" s="76" t="n">
        <v>1039</v>
      </c>
      <c r="B1050" s="77" t="n">
        <v>0.166656</v>
      </c>
      <c r="C1050" s="78" t="n">
        <f aca="false">05_Unit_Economics!$B$15*EXP((01_Inputs!$C$20-01_Inputs!$C$21^2/2)*01_Inputs!$C$22+01_Inputs!$C$21*SQRT(01_Inputs!$C$22)*B1050)</f>
        <v>57.3708841782635</v>
      </c>
      <c r="D1050" s="78" t="n">
        <f aca="false">MAX(C1050-05_Unit_Economics!$B$21,0)</f>
        <v>19.46327870376</v>
      </c>
      <c r="E1050" s="78" t="n">
        <f aca="false">D1050*EXP(-01_Inputs!$C$20*01_Inputs!$C$22)</f>
        <v>18.625461580964</v>
      </c>
      <c r="F1050" s="79"/>
    </row>
    <row r="1051" customFormat="false" ht="15" hidden="false" customHeight="false" outlineLevel="0" collapsed="false">
      <c r="A1051" s="76" t="n">
        <v>1040</v>
      </c>
      <c r="B1051" s="77" t="n">
        <v>-0.166656</v>
      </c>
      <c r="C1051" s="78" t="n">
        <f aca="false">05_Unit_Economics!$B$15*EXP((01_Inputs!$C$20-01_Inputs!$C$21^2/2)*01_Inputs!$C$22+01_Inputs!$C$21*SQRT(01_Inputs!$C$22)*B1051)</f>
        <v>51.0536852151284</v>
      </c>
      <c r="D1051" s="78" t="n">
        <f aca="false">MAX(C1051-05_Unit_Economics!$B$21,0)</f>
        <v>13.1460797406249</v>
      </c>
      <c r="E1051" s="78" t="n">
        <f aca="false">D1051*EXP(-01_Inputs!$C$20*01_Inputs!$C$22)</f>
        <v>12.5801930330472</v>
      </c>
      <c r="F1051" s="80" t="n">
        <f aca="false">AVERAGE(E1050:E1051)</f>
        <v>15.6028273070056</v>
      </c>
    </row>
    <row r="1052" customFormat="false" ht="15" hidden="false" customHeight="false" outlineLevel="0" collapsed="false">
      <c r="A1052" s="76" t="n">
        <v>1041</v>
      </c>
      <c r="B1052" s="77" t="n">
        <v>-0.400102</v>
      </c>
      <c r="C1052" s="78" t="n">
        <f aca="false">05_Unit_Economics!$B$15*EXP((01_Inputs!$C$20-01_Inputs!$C$21^2/2)*01_Inputs!$C$22+01_Inputs!$C$21*SQRT(01_Inputs!$C$22)*B1052)</f>
        <v>47.0481539975229</v>
      </c>
      <c r="D1052" s="78" t="n">
        <f aca="false">MAX(C1052-05_Unit_Economics!$B$21,0)</f>
        <v>9.14054852301943</v>
      </c>
      <c r="E1052" s="78" t="n">
        <f aca="false">D1052*EXP(-01_Inputs!$C$20*01_Inputs!$C$22)</f>
        <v>8.74708408257786</v>
      </c>
      <c r="F1052" s="79"/>
    </row>
    <row r="1053" customFormat="false" ht="15" hidden="false" customHeight="false" outlineLevel="0" collapsed="false">
      <c r="A1053" s="76" t="n">
        <v>1042</v>
      </c>
      <c r="B1053" s="77" t="n">
        <v>0.400102</v>
      </c>
      <c r="C1053" s="78" t="n">
        <f aca="false">05_Unit_Economics!$B$15*EXP((01_Inputs!$C$20-01_Inputs!$C$21^2/2)*01_Inputs!$C$22+01_Inputs!$C$21*SQRT(01_Inputs!$C$22)*B1053)</f>
        <v>62.2552600364483</v>
      </c>
      <c r="D1053" s="78" t="n">
        <f aca="false">MAX(C1053-05_Unit_Economics!$B$21,0)</f>
        <v>24.3476545619448</v>
      </c>
      <c r="E1053" s="78" t="n">
        <f aca="false">D1053*EXP(-01_Inputs!$C$20*01_Inputs!$C$22)</f>
        <v>23.2995843882398</v>
      </c>
      <c r="F1053" s="80" t="n">
        <f aca="false">AVERAGE(E1052:E1053)</f>
        <v>16.0233342354088</v>
      </c>
    </row>
    <row r="1054" customFormat="false" ht="15" hidden="false" customHeight="false" outlineLevel="0" collapsed="false">
      <c r="A1054" s="76" t="n">
        <v>1043</v>
      </c>
      <c r="B1054" s="77" t="n">
        <v>0.110986</v>
      </c>
      <c r="C1054" s="78" t="n">
        <f aca="false">05_Unit_Economics!$B$15*EXP((01_Inputs!$C$20-01_Inputs!$C$21^2/2)*01_Inputs!$C$22+01_Inputs!$C$21*SQRT(01_Inputs!$C$22)*B1054)</f>
        <v>56.2638611038666</v>
      </c>
      <c r="D1054" s="78" t="n">
        <f aca="false">MAX(C1054-05_Unit_Economics!$B$21,0)</f>
        <v>18.3562556293631</v>
      </c>
      <c r="E1054" s="78" t="n">
        <f aca="false">D1054*EXP(-01_Inputs!$C$20*01_Inputs!$C$22)</f>
        <v>17.5660914689059</v>
      </c>
      <c r="F1054" s="79"/>
    </row>
    <row r="1055" customFormat="false" ht="15" hidden="false" customHeight="false" outlineLevel="0" collapsed="false">
      <c r="A1055" s="76" t="n">
        <v>1044</v>
      </c>
      <c r="B1055" s="77" t="n">
        <v>-0.110986</v>
      </c>
      <c r="C1055" s="78" t="n">
        <f aca="false">05_Unit_Economics!$B$15*EXP((01_Inputs!$C$20-01_Inputs!$C$21^2/2)*01_Inputs!$C$22+01_Inputs!$C$21*SQRT(01_Inputs!$C$22)*B1055)</f>
        <v>52.0581951520096</v>
      </c>
      <c r="D1055" s="78" t="n">
        <f aca="false">MAX(C1055-05_Unit_Economics!$B$21,0)</f>
        <v>14.1505896775062</v>
      </c>
      <c r="E1055" s="78" t="n">
        <f aca="false">D1055*EXP(-01_Inputs!$C$20*01_Inputs!$C$22)</f>
        <v>13.5414627924668</v>
      </c>
      <c r="F1055" s="80" t="n">
        <f aca="false">AVERAGE(E1054:E1055)</f>
        <v>15.5537771306864</v>
      </c>
    </row>
    <row r="1056" customFormat="false" ht="15" hidden="false" customHeight="false" outlineLevel="0" collapsed="false">
      <c r="A1056" s="76" t="n">
        <v>1045</v>
      </c>
      <c r="B1056" s="77" t="n">
        <v>0.060541</v>
      </c>
      <c r="C1056" s="78" t="n">
        <f aca="false">05_Unit_Economics!$B$15*EXP((01_Inputs!$C$20-01_Inputs!$C$21^2/2)*01_Inputs!$C$22+01_Inputs!$C$21*SQRT(01_Inputs!$C$22)*B1056)</f>
        <v>55.2791984951801</v>
      </c>
      <c r="D1056" s="78" t="n">
        <f aca="false">MAX(C1056-05_Unit_Economics!$B$21,0)</f>
        <v>17.3715930206766</v>
      </c>
      <c r="E1056" s="78" t="n">
        <f aca="false">D1056*EXP(-01_Inputs!$C$20*01_Inputs!$C$22)</f>
        <v>16.6238146887477</v>
      </c>
      <c r="F1056" s="79"/>
    </row>
    <row r="1057" customFormat="false" ht="15" hidden="false" customHeight="false" outlineLevel="0" collapsed="false">
      <c r="A1057" s="76" t="n">
        <v>1046</v>
      </c>
      <c r="B1057" s="77" t="n">
        <v>-0.060541</v>
      </c>
      <c r="C1057" s="78" t="n">
        <f aca="false">05_Unit_Economics!$B$15*EXP((01_Inputs!$C$20-01_Inputs!$C$21^2/2)*01_Inputs!$C$22+01_Inputs!$C$21*SQRT(01_Inputs!$C$22)*B1057)</f>
        <v>52.9854835287823</v>
      </c>
      <c r="D1057" s="78" t="n">
        <f aca="false">MAX(C1057-05_Unit_Economics!$B$21,0)</f>
        <v>15.0778780542788</v>
      </c>
      <c r="E1057" s="78" t="n">
        <f aca="false">D1057*EXP(-01_Inputs!$C$20*01_Inputs!$C$22)</f>
        <v>14.4288350743381</v>
      </c>
      <c r="F1057" s="80" t="n">
        <f aca="false">AVERAGE(E1056:E1057)</f>
        <v>15.5263248815429</v>
      </c>
    </row>
    <row r="1058" customFormat="false" ht="15" hidden="false" customHeight="false" outlineLevel="0" collapsed="false">
      <c r="A1058" s="76" t="n">
        <v>1047</v>
      </c>
      <c r="B1058" s="77" t="n">
        <v>0.506468</v>
      </c>
      <c r="C1058" s="78" t="n">
        <f aca="false">05_Unit_Economics!$B$15*EXP((01_Inputs!$C$20-01_Inputs!$C$21^2/2)*01_Inputs!$C$22+01_Inputs!$C$21*SQRT(01_Inputs!$C$22)*B1058)</f>
        <v>64.6165862127421</v>
      </c>
      <c r="D1058" s="78" t="n">
        <f aca="false">MAX(C1058-05_Unit_Economics!$B$21,0)</f>
        <v>26.7089807382386</v>
      </c>
      <c r="E1058" s="78" t="n">
        <f aca="false">D1058*EXP(-01_Inputs!$C$20*01_Inputs!$C$22)</f>
        <v>25.5592648175288</v>
      </c>
      <c r="F1058" s="79"/>
    </row>
    <row r="1059" customFormat="false" ht="15" hidden="false" customHeight="false" outlineLevel="0" collapsed="false">
      <c r="A1059" s="76" t="n">
        <v>1048</v>
      </c>
      <c r="B1059" s="77" t="n">
        <v>-0.506468</v>
      </c>
      <c r="C1059" s="78" t="n">
        <f aca="false">05_Unit_Economics!$B$15*EXP((01_Inputs!$C$20-01_Inputs!$C$21^2/2)*01_Inputs!$C$22+01_Inputs!$C$21*SQRT(01_Inputs!$C$22)*B1059)</f>
        <v>45.3288425313479</v>
      </c>
      <c r="D1059" s="78" t="n">
        <f aca="false">MAX(C1059-05_Unit_Economics!$B$21,0)</f>
        <v>7.42123705684445</v>
      </c>
      <c r="E1059" s="78" t="n">
        <f aca="false">D1059*EXP(-01_Inputs!$C$20*01_Inputs!$C$22)</f>
        <v>7.10178217089293</v>
      </c>
      <c r="F1059" s="80" t="n">
        <f aca="false">AVERAGE(E1058:E1059)</f>
        <v>16.3305234942109</v>
      </c>
    </row>
    <row r="1060" customFormat="false" ht="15" hidden="false" customHeight="false" outlineLevel="0" collapsed="false">
      <c r="A1060" s="76" t="n">
        <v>1049</v>
      </c>
      <c r="B1060" s="77" t="n">
        <v>1.37475</v>
      </c>
      <c r="C1060" s="78" t="n">
        <f aca="false">05_Unit_Economics!$B$15*EXP((01_Inputs!$C$20-01_Inputs!$C$21^2/2)*01_Inputs!$C$22+01_Inputs!$C$21*SQRT(01_Inputs!$C$22)*B1060)</f>
        <v>87.5639891228892</v>
      </c>
      <c r="D1060" s="78" t="n">
        <f aca="false">MAX(C1060-05_Unit_Economics!$B$21,0)</f>
        <v>49.6563836483858</v>
      </c>
      <c r="E1060" s="78" t="n">
        <f aca="false">D1060*EXP(-01_Inputs!$C$20*01_Inputs!$C$22)</f>
        <v>47.5188728461226</v>
      </c>
      <c r="F1060" s="79"/>
    </row>
    <row r="1061" customFormat="false" ht="15" hidden="false" customHeight="false" outlineLevel="0" collapsed="false">
      <c r="A1061" s="76" t="n">
        <v>1050</v>
      </c>
      <c r="B1061" s="77" t="n">
        <v>-1.37475</v>
      </c>
      <c r="C1061" s="78" t="n">
        <f aca="false">05_Unit_Economics!$B$15*EXP((01_Inputs!$C$20-01_Inputs!$C$21^2/2)*01_Inputs!$C$22+01_Inputs!$C$21*SQRT(01_Inputs!$C$22)*B1061)</f>
        <v>33.4497673151921</v>
      </c>
      <c r="D1061" s="78" t="n">
        <f aca="false">MAX(C1061-05_Unit_Economics!$B$21,0)</f>
        <v>0</v>
      </c>
      <c r="E1061" s="78" t="n">
        <f aca="false">D1061*EXP(-01_Inputs!$C$20*01_Inputs!$C$22)</f>
        <v>0</v>
      </c>
      <c r="F1061" s="80" t="n">
        <f aca="false">AVERAGE(E1060:E1061)</f>
        <v>23.7594364230613</v>
      </c>
    </row>
    <row r="1062" customFormat="false" ht="15" hidden="false" customHeight="false" outlineLevel="0" collapsed="false">
      <c r="A1062" s="76" t="n">
        <v>1051</v>
      </c>
      <c r="B1062" s="77" t="n">
        <v>-1.071173</v>
      </c>
      <c r="C1062" s="78" t="n">
        <f aca="false">05_Unit_Economics!$B$15*EXP((01_Inputs!$C$20-01_Inputs!$C$21^2/2)*01_Inputs!$C$22+01_Inputs!$C$21*SQRT(01_Inputs!$C$22)*B1062)</f>
        <v>37.1995543122002</v>
      </c>
      <c r="D1062" s="78" t="n">
        <f aca="false">MAX(C1062-05_Unit_Economics!$B$21,0)</f>
        <v>0</v>
      </c>
      <c r="E1062" s="78" t="n">
        <f aca="false">D1062*EXP(-01_Inputs!$C$20*01_Inputs!$C$22)</f>
        <v>0</v>
      </c>
      <c r="F1062" s="79"/>
    </row>
    <row r="1063" customFormat="false" ht="15" hidden="false" customHeight="false" outlineLevel="0" collapsed="false">
      <c r="A1063" s="76" t="n">
        <v>1052</v>
      </c>
      <c r="B1063" s="77" t="n">
        <v>1.071173</v>
      </c>
      <c r="C1063" s="78" t="n">
        <f aca="false">05_Unit_Economics!$B$15*EXP((01_Inputs!$C$20-01_Inputs!$C$21^2/2)*01_Inputs!$C$22+01_Inputs!$C$21*SQRT(01_Inputs!$C$22)*B1063)</f>
        <v>78.7373697213905</v>
      </c>
      <c r="D1063" s="78" t="n">
        <f aca="false">MAX(C1063-05_Unit_Economics!$B$21,0)</f>
        <v>40.8297642468871</v>
      </c>
      <c r="E1063" s="78" t="n">
        <f aca="false">D1063*EXP(-01_Inputs!$C$20*01_Inputs!$C$22)</f>
        <v>39.0722044787501</v>
      </c>
      <c r="F1063" s="80" t="n">
        <f aca="false">AVERAGE(E1062:E1063)</f>
        <v>19.536102239375</v>
      </c>
    </row>
    <row r="1064" customFormat="false" ht="15" hidden="false" customHeight="false" outlineLevel="0" collapsed="false">
      <c r="A1064" s="76" t="n">
        <v>1053</v>
      </c>
      <c r="B1064" s="77" t="n">
        <v>-0.730311</v>
      </c>
      <c r="C1064" s="78" t="n">
        <f aca="false">05_Unit_Economics!$B$15*EXP((01_Inputs!$C$20-01_Inputs!$C$21^2/2)*01_Inputs!$C$22+01_Inputs!$C$21*SQRT(01_Inputs!$C$22)*B1064)</f>
        <v>41.9131022266038</v>
      </c>
      <c r="D1064" s="78" t="n">
        <f aca="false">MAX(C1064-05_Unit_Economics!$B$21,0)</f>
        <v>4.00549675210032</v>
      </c>
      <c r="E1064" s="78" t="n">
        <f aca="false">D1064*EXP(-01_Inputs!$C$20*01_Inputs!$C$22)</f>
        <v>3.83307596856784</v>
      </c>
      <c r="F1064" s="79"/>
    </row>
    <row r="1065" customFormat="false" ht="15" hidden="false" customHeight="false" outlineLevel="0" collapsed="false">
      <c r="A1065" s="76" t="n">
        <v>1054</v>
      </c>
      <c r="B1065" s="77" t="n">
        <v>0.730311</v>
      </c>
      <c r="C1065" s="78" t="n">
        <f aca="false">05_Unit_Economics!$B$15*EXP((01_Inputs!$C$20-01_Inputs!$C$21^2/2)*01_Inputs!$C$22+01_Inputs!$C$21*SQRT(01_Inputs!$C$22)*B1065)</f>
        <v>69.8825642997027</v>
      </c>
      <c r="D1065" s="78" t="n">
        <f aca="false">MAX(C1065-05_Unit_Economics!$B$21,0)</f>
        <v>31.9749588251992</v>
      </c>
      <c r="E1065" s="78" t="n">
        <f aca="false">D1065*EXP(-01_Inputs!$C$20*01_Inputs!$C$22)</f>
        <v>30.5985633878121</v>
      </c>
      <c r="F1065" s="80" t="n">
        <f aca="false">AVERAGE(E1064:E1065)</f>
        <v>17.21581967819</v>
      </c>
    </row>
    <row r="1066" customFormat="false" ht="15" hidden="false" customHeight="false" outlineLevel="0" collapsed="false">
      <c r="A1066" s="76" t="n">
        <v>1055</v>
      </c>
      <c r="B1066" s="77" t="n">
        <v>1.612249</v>
      </c>
      <c r="C1066" s="78" t="n">
        <f aca="false">05_Unit_Economics!$B$15*EXP((01_Inputs!$C$20-01_Inputs!$C$21^2/2)*01_Inputs!$C$22+01_Inputs!$C$21*SQRT(01_Inputs!$C$22)*B1066)</f>
        <v>95.1537952866636</v>
      </c>
      <c r="D1066" s="78" t="n">
        <f aca="false">MAX(C1066-05_Unit_Economics!$B$21,0)</f>
        <v>57.2461898121602</v>
      </c>
      <c r="E1066" s="78" t="n">
        <f aca="false">D1066*EXP(-01_Inputs!$C$20*01_Inputs!$C$22)</f>
        <v>54.7819678909999</v>
      </c>
      <c r="F1066" s="79"/>
    </row>
    <row r="1067" customFormat="false" ht="15" hidden="false" customHeight="false" outlineLevel="0" collapsed="false">
      <c r="A1067" s="76" t="n">
        <v>1056</v>
      </c>
      <c r="B1067" s="77" t="n">
        <v>-1.612249</v>
      </c>
      <c r="C1067" s="78" t="n">
        <f aca="false">05_Unit_Economics!$B$15*EXP((01_Inputs!$C$20-01_Inputs!$C$21^2/2)*01_Inputs!$C$22+01_Inputs!$C$21*SQRT(01_Inputs!$C$22)*B1067)</f>
        <v>30.781694545411</v>
      </c>
      <c r="D1067" s="78" t="n">
        <f aca="false">MAX(C1067-05_Unit_Economics!$B$21,0)</f>
        <v>0</v>
      </c>
      <c r="E1067" s="78" t="n">
        <f aca="false">D1067*EXP(-01_Inputs!$C$20*01_Inputs!$C$22)</f>
        <v>0</v>
      </c>
      <c r="F1067" s="80" t="n">
        <f aca="false">AVERAGE(E1066:E1067)</f>
        <v>27.3909839454999</v>
      </c>
    </row>
    <row r="1068" customFormat="false" ht="15" hidden="false" customHeight="false" outlineLevel="0" collapsed="false">
      <c r="A1068" s="76" t="n">
        <v>1057</v>
      </c>
      <c r="B1068" s="77" t="n">
        <v>-1.888449</v>
      </c>
      <c r="C1068" s="78" t="n">
        <f aca="false">05_Unit_Economics!$B$15*EXP((01_Inputs!$C$20-01_Inputs!$C$21^2/2)*01_Inputs!$C$22+01_Inputs!$C$21*SQRT(01_Inputs!$C$22)*B1068)</f>
        <v>27.9453322018182</v>
      </c>
      <c r="D1068" s="78" t="n">
        <f aca="false">MAX(C1068-05_Unit_Economics!$B$21,0)</f>
        <v>0</v>
      </c>
      <c r="E1068" s="78" t="n">
        <f aca="false">D1068*EXP(-01_Inputs!$C$20*01_Inputs!$C$22)</f>
        <v>0</v>
      </c>
      <c r="F1068" s="79"/>
    </row>
    <row r="1069" customFormat="false" ht="15" hidden="false" customHeight="false" outlineLevel="0" collapsed="false">
      <c r="A1069" s="76" t="n">
        <v>1058</v>
      </c>
      <c r="B1069" s="77" t="n">
        <v>1.888449</v>
      </c>
      <c r="C1069" s="78" t="n">
        <f aca="false">05_Unit_Economics!$B$15*EXP((01_Inputs!$C$20-01_Inputs!$C$21^2/2)*01_Inputs!$C$22+01_Inputs!$C$21*SQRT(01_Inputs!$C$22)*B1069)</f>
        <v>104.811602889447</v>
      </c>
      <c r="D1069" s="78" t="n">
        <f aca="false">MAX(C1069-05_Unit_Economics!$B$21,0)</f>
        <v>66.9039974149438</v>
      </c>
      <c r="E1069" s="78" t="n">
        <f aca="false">D1069*EXP(-01_Inputs!$C$20*01_Inputs!$C$22)</f>
        <v>64.0240450969969</v>
      </c>
      <c r="F1069" s="80" t="n">
        <f aca="false">AVERAGE(E1068:E1069)</f>
        <v>32.0120225484985</v>
      </c>
    </row>
    <row r="1070" customFormat="false" ht="15" hidden="false" customHeight="false" outlineLevel="0" collapsed="false">
      <c r="A1070" s="76" t="n">
        <v>1059</v>
      </c>
      <c r="B1070" s="77" t="n">
        <v>0.08555</v>
      </c>
      <c r="C1070" s="78" t="n">
        <f aca="false">05_Unit_Economics!$B$15*EXP((01_Inputs!$C$20-01_Inputs!$C$21^2/2)*01_Inputs!$C$22+01_Inputs!$C$21*SQRT(01_Inputs!$C$22)*B1070)</f>
        <v>55.7651894845498</v>
      </c>
      <c r="D1070" s="78" t="n">
        <f aca="false">MAX(C1070-05_Unit_Economics!$B$21,0)</f>
        <v>17.8575840100463</v>
      </c>
      <c r="E1070" s="78" t="n">
        <f aca="false">D1070*EXP(-01_Inputs!$C$20*01_Inputs!$C$22)</f>
        <v>17.0888856893212</v>
      </c>
      <c r="F1070" s="79"/>
    </row>
    <row r="1071" customFormat="false" ht="15" hidden="false" customHeight="false" outlineLevel="0" collapsed="false">
      <c r="A1071" s="76" t="n">
        <v>1060</v>
      </c>
      <c r="B1071" s="77" t="n">
        <v>-0.08555</v>
      </c>
      <c r="C1071" s="78" t="n">
        <f aca="false">05_Unit_Economics!$B$15*EXP((01_Inputs!$C$20-01_Inputs!$C$21^2/2)*01_Inputs!$C$22+01_Inputs!$C$21*SQRT(01_Inputs!$C$22)*B1071)</f>
        <v>52.5237175453722</v>
      </c>
      <c r="D1071" s="78" t="n">
        <f aca="false">MAX(C1071-05_Unit_Economics!$B$21,0)</f>
        <v>14.6161120708687</v>
      </c>
      <c r="E1071" s="78" t="n">
        <f aca="false">D1071*EXP(-01_Inputs!$C$20*01_Inputs!$C$22)</f>
        <v>13.9869462890874</v>
      </c>
      <c r="F1071" s="80" t="n">
        <f aca="false">AVERAGE(E1070:E1071)</f>
        <v>15.5379159892043</v>
      </c>
    </row>
    <row r="1072" customFormat="false" ht="15" hidden="false" customHeight="false" outlineLevel="0" collapsed="false">
      <c r="A1072" s="76" t="n">
        <v>1061</v>
      </c>
      <c r="B1072" s="77" t="n">
        <v>-0.007761</v>
      </c>
      <c r="C1072" s="78" t="n">
        <f aca="false">05_Unit_Economics!$B$15*EXP((01_Inputs!$C$20-01_Inputs!$C$21^2/2)*01_Inputs!$C$22+01_Inputs!$C$21*SQRT(01_Inputs!$C$22)*B1072)</f>
        <v>53.9733809875711</v>
      </c>
      <c r="D1072" s="78" t="n">
        <f aca="false">MAX(C1072-05_Unit_Economics!$B$21,0)</f>
        <v>16.0657755130676</v>
      </c>
      <c r="E1072" s="78" t="n">
        <f aca="false">D1072*EXP(-01_Inputs!$C$20*01_Inputs!$C$22)</f>
        <v>15.3742074571036</v>
      </c>
      <c r="F1072" s="79"/>
    </row>
    <row r="1073" customFormat="false" ht="15" hidden="false" customHeight="false" outlineLevel="0" collapsed="false">
      <c r="A1073" s="76" t="n">
        <v>1062</v>
      </c>
      <c r="B1073" s="77" t="n">
        <v>0.007761</v>
      </c>
      <c r="C1073" s="78" t="n">
        <f aca="false">05_Unit_Economics!$B$15*EXP((01_Inputs!$C$20-01_Inputs!$C$21^2/2)*01_Inputs!$C$22+01_Inputs!$C$21*SQRT(01_Inputs!$C$22)*B1073)</f>
        <v>54.2674001101606</v>
      </c>
      <c r="D1073" s="78" t="n">
        <f aca="false">MAX(C1073-05_Unit_Economics!$B$21,0)</f>
        <v>16.3597946356571</v>
      </c>
      <c r="E1073" s="78" t="n">
        <f aca="false">D1073*EXP(-01_Inputs!$C$20*01_Inputs!$C$22)</f>
        <v>15.6555702200384</v>
      </c>
      <c r="F1073" s="80" t="n">
        <f aca="false">AVERAGE(E1072:E1073)</f>
        <v>15.514888838571</v>
      </c>
    </row>
    <row r="1074" customFormat="false" ht="15" hidden="false" customHeight="false" outlineLevel="0" collapsed="false">
      <c r="A1074" s="76" t="n">
        <v>1063</v>
      </c>
      <c r="B1074" s="77" t="n">
        <v>1.297482</v>
      </c>
      <c r="C1074" s="78" t="n">
        <f aca="false">05_Unit_Economics!$B$15*EXP((01_Inputs!$C$20-01_Inputs!$C$21^2/2)*01_Inputs!$C$22+01_Inputs!$C$21*SQRT(01_Inputs!$C$22)*B1074)</f>
        <v>85.2276601122128</v>
      </c>
      <c r="D1074" s="78" t="n">
        <f aca="false">MAX(C1074-05_Unit_Economics!$B$21,0)</f>
        <v>47.3200546377093</v>
      </c>
      <c r="E1074" s="78" t="n">
        <f aca="false">D1074*EXP(-01_Inputs!$C$20*01_Inputs!$C$22)</f>
        <v>45.2831135533967</v>
      </c>
      <c r="F1074" s="79"/>
    </row>
    <row r="1075" customFormat="false" ht="15" hidden="false" customHeight="false" outlineLevel="0" collapsed="false">
      <c r="A1075" s="76" t="n">
        <v>1064</v>
      </c>
      <c r="B1075" s="77" t="n">
        <v>-1.297482</v>
      </c>
      <c r="C1075" s="78" t="n">
        <f aca="false">05_Unit_Economics!$B$15*EXP((01_Inputs!$C$20-01_Inputs!$C$21^2/2)*01_Inputs!$C$22+01_Inputs!$C$21*SQRT(01_Inputs!$C$22)*B1075)</f>
        <v>34.3667191788941</v>
      </c>
      <c r="D1075" s="78" t="n">
        <f aca="false">MAX(C1075-05_Unit_Economics!$B$21,0)</f>
        <v>0</v>
      </c>
      <c r="E1075" s="78" t="n">
        <f aca="false">D1075*EXP(-01_Inputs!$C$20*01_Inputs!$C$22)</f>
        <v>0</v>
      </c>
      <c r="F1075" s="80" t="n">
        <f aca="false">AVERAGE(E1074:E1075)</f>
        <v>22.6415567766984</v>
      </c>
    </row>
    <row r="1076" customFormat="false" ht="15" hidden="false" customHeight="false" outlineLevel="0" collapsed="false">
      <c r="A1076" s="76" t="n">
        <v>1065</v>
      </c>
      <c r="B1076" s="77" t="n">
        <v>1.600172</v>
      </c>
      <c r="C1076" s="78" t="n">
        <f aca="false">05_Unit_Economics!$B$15*EXP((01_Inputs!$C$20-01_Inputs!$C$21^2/2)*01_Inputs!$C$22+01_Inputs!$C$21*SQRT(01_Inputs!$C$22)*B1076)</f>
        <v>94.7524338167065</v>
      </c>
      <c r="D1076" s="78" t="n">
        <f aca="false">MAX(C1076-05_Unit_Economics!$B$21,0)</f>
        <v>56.8448283422031</v>
      </c>
      <c r="E1076" s="78" t="n">
        <f aca="false">D1076*EXP(-01_Inputs!$C$20*01_Inputs!$C$22)</f>
        <v>54.3978834439472</v>
      </c>
      <c r="F1076" s="79"/>
    </row>
    <row r="1077" customFormat="false" ht="15" hidden="false" customHeight="false" outlineLevel="0" collapsed="false">
      <c r="A1077" s="76" t="n">
        <v>1066</v>
      </c>
      <c r="B1077" s="77" t="n">
        <v>-1.600172</v>
      </c>
      <c r="C1077" s="78" t="n">
        <f aca="false">05_Unit_Economics!$B$15*EXP((01_Inputs!$C$20-01_Inputs!$C$21^2/2)*01_Inputs!$C$22+01_Inputs!$C$21*SQRT(01_Inputs!$C$22)*B1077)</f>
        <v>30.91208260694</v>
      </c>
      <c r="D1077" s="78" t="n">
        <f aca="false">MAX(C1077-05_Unit_Economics!$B$21,0)</f>
        <v>0</v>
      </c>
      <c r="E1077" s="78" t="n">
        <f aca="false">D1077*EXP(-01_Inputs!$C$20*01_Inputs!$C$22)</f>
        <v>0</v>
      </c>
      <c r="F1077" s="80" t="n">
        <f aca="false">AVERAGE(E1076:E1077)</f>
        <v>27.1989417219736</v>
      </c>
    </row>
    <row r="1078" customFormat="false" ht="15" hidden="false" customHeight="false" outlineLevel="0" collapsed="false">
      <c r="A1078" s="76" t="n">
        <v>1067</v>
      </c>
      <c r="B1078" s="77" t="n">
        <v>-1.563848</v>
      </c>
      <c r="C1078" s="78" t="n">
        <f aca="false">05_Unit_Economics!$B$15*EXP((01_Inputs!$C$20-01_Inputs!$C$21^2/2)*01_Inputs!$C$22+01_Inputs!$C$21*SQRT(01_Inputs!$C$22)*B1078)</f>
        <v>31.3075890667222</v>
      </c>
      <c r="D1078" s="78" t="n">
        <f aca="false">MAX(C1078-05_Unit_Economics!$B$21,0)</f>
        <v>0</v>
      </c>
      <c r="E1078" s="78" t="n">
        <f aca="false">D1078*EXP(-01_Inputs!$C$20*01_Inputs!$C$22)</f>
        <v>0</v>
      </c>
      <c r="F1078" s="79"/>
    </row>
    <row r="1079" customFormat="false" ht="15" hidden="false" customHeight="false" outlineLevel="0" collapsed="false">
      <c r="A1079" s="76" t="n">
        <v>1068</v>
      </c>
      <c r="B1079" s="77" t="n">
        <v>1.563848</v>
      </c>
      <c r="C1079" s="78" t="n">
        <f aca="false">05_Unit_Economics!$B$15*EXP((01_Inputs!$C$20-01_Inputs!$C$21^2/2)*01_Inputs!$C$22+01_Inputs!$C$21*SQRT(01_Inputs!$C$22)*B1079)</f>
        <v>93.5554333202864</v>
      </c>
      <c r="D1079" s="78" t="n">
        <f aca="false">MAX(C1079-05_Unit_Economics!$B$21,0)</f>
        <v>55.6478278457829</v>
      </c>
      <c r="E1079" s="78" t="n">
        <f aca="false">D1079*EXP(-01_Inputs!$C$20*01_Inputs!$C$22)</f>
        <v>53.2524090818008</v>
      </c>
      <c r="F1079" s="80" t="n">
        <f aca="false">AVERAGE(E1078:E1079)</f>
        <v>26.6262045409004</v>
      </c>
    </row>
    <row r="1080" customFormat="false" ht="15" hidden="false" customHeight="false" outlineLevel="0" collapsed="false">
      <c r="A1080" s="76" t="n">
        <v>1069</v>
      </c>
      <c r="B1080" s="77" t="n">
        <v>0.554125</v>
      </c>
      <c r="C1080" s="78" t="n">
        <f aca="false">05_Unit_Economics!$B$15*EXP((01_Inputs!$C$20-01_Inputs!$C$21^2/2)*01_Inputs!$C$22+01_Inputs!$C$21*SQRT(01_Inputs!$C$22)*B1080)</f>
        <v>65.7034266637867</v>
      </c>
      <c r="D1080" s="78" t="n">
        <f aca="false">MAX(C1080-05_Unit_Economics!$B$21,0)</f>
        <v>27.7958211892832</v>
      </c>
      <c r="E1080" s="78" t="n">
        <f aca="false">D1080*EXP(-01_Inputs!$C$20*01_Inputs!$C$22)</f>
        <v>26.5993210882977</v>
      </c>
      <c r="F1080" s="79"/>
    </row>
    <row r="1081" customFormat="false" ht="15" hidden="false" customHeight="false" outlineLevel="0" collapsed="false">
      <c r="A1081" s="76" t="n">
        <v>1070</v>
      </c>
      <c r="B1081" s="77" t="n">
        <v>-0.554125</v>
      </c>
      <c r="C1081" s="78" t="n">
        <f aca="false">05_Unit_Economics!$B$15*EXP((01_Inputs!$C$20-01_Inputs!$C$21^2/2)*01_Inputs!$C$22+01_Inputs!$C$21*SQRT(01_Inputs!$C$22)*B1081)</f>
        <v>44.5790305023011</v>
      </c>
      <c r="D1081" s="78" t="n">
        <f aca="false">MAX(C1081-05_Unit_Economics!$B$21,0)</f>
        <v>6.67142502779767</v>
      </c>
      <c r="E1081" s="78" t="n">
        <f aca="false">D1081*EXP(-01_Inputs!$C$20*01_Inputs!$C$22)</f>
        <v>6.38424658233572</v>
      </c>
      <c r="F1081" s="80" t="n">
        <f aca="false">AVERAGE(E1080:E1081)</f>
        <v>16.4917838353167</v>
      </c>
    </row>
    <row r="1082" customFormat="false" ht="15" hidden="false" customHeight="false" outlineLevel="0" collapsed="false">
      <c r="A1082" s="76" t="n">
        <v>1071</v>
      </c>
      <c r="B1082" s="77" t="n">
        <v>1.246318</v>
      </c>
      <c r="C1082" s="78" t="n">
        <f aca="false">05_Unit_Economics!$B$15*EXP((01_Inputs!$C$20-01_Inputs!$C$21^2/2)*01_Inputs!$C$22+01_Inputs!$C$21*SQRT(01_Inputs!$C$22)*B1082)</f>
        <v>83.7150382949323</v>
      </c>
      <c r="D1082" s="78" t="n">
        <f aca="false">MAX(C1082-05_Unit_Economics!$B$21,0)</f>
        <v>45.8074328204288</v>
      </c>
      <c r="E1082" s="78" t="n">
        <f aca="false">D1082*EXP(-01_Inputs!$C$20*01_Inputs!$C$22)</f>
        <v>43.8356041191901</v>
      </c>
      <c r="F1082" s="79"/>
    </row>
    <row r="1083" customFormat="false" ht="15" hidden="false" customHeight="false" outlineLevel="0" collapsed="false">
      <c r="A1083" s="76" t="n">
        <v>1072</v>
      </c>
      <c r="B1083" s="77" t="n">
        <v>-1.246318</v>
      </c>
      <c r="C1083" s="78" t="n">
        <f aca="false">05_Unit_Economics!$B$15*EXP((01_Inputs!$C$20-01_Inputs!$C$21^2/2)*01_Inputs!$C$22+01_Inputs!$C$21*SQRT(01_Inputs!$C$22)*B1083)</f>
        <v>34.987681078657</v>
      </c>
      <c r="D1083" s="78" t="n">
        <f aca="false">MAX(C1083-05_Unit_Economics!$B$21,0)</f>
        <v>0</v>
      </c>
      <c r="E1083" s="78" t="n">
        <f aca="false">D1083*EXP(-01_Inputs!$C$20*01_Inputs!$C$22)</f>
        <v>0</v>
      </c>
      <c r="F1083" s="80" t="n">
        <f aca="false">AVERAGE(E1082:E1083)</f>
        <v>21.9178020595951</v>
      </c>
    </row>
    <row r="1084" customFormat="false" ht="15" hidden="false" customHeight="false" outlineLevel="0" collapsed="false">
      <c r="A1084" s="76" t="n">
        <v>1073</v>
      </c>
      <c r="B1084" s="77" t="n">
        <v>0.183296</v>
      </c>
      <c r="C1084" s="78" t="n">
        <f aca="false">05_Unit_Economics!$B$15*EXP((01_Inputs!$C$20-01_Inputs!$C$21^2/2)*01_Inputs!$C$22+01_Inputs!$C$21*SQRT(01_Inputs!$C$22)*B1084)</f>
        <v>57.705987080173</v>
      </c>
      <c r="D1084" s="78" t="n">
        <f aca="false">MAX(C1084-05_Unit_Economics!$B$21,0)</f>
        <v>19.7983816056695</v>
      </c>
      <c r="E1084" s="78" t="n">
        <f aca="false">D1084*EXP(-01_Inputs!$C$20*01_Inputs!$C$22)</f>
        <v>18.946139629107</v>
      </c>
      <c r="F1084" s="79"/>
    </row>
    <row r="1085" customFormat="false" ht="15" hidden="false" customHeight="false" outlineLevel="0" collapsed="false">
      <c r="A1085" s="76" t="n">
        <v>1074</v>
      </c>
      <c r="B1085" s="77" t="n">
        <v>-0.183296</v>
      </c>
      <c r="C1085" s="78" t="n">
        <f aca="false">05_Unit_Economics!$B$15*EXP((01_Inputs!$C$20-01_Inputs!$C$21^2/2)*01_Inputs!$C$22+01_Inputs!$C$21*SQRT(01_Inputs!$C$22)*B1085)</f>
        <v>50.7572127183492</v>
      </c>
      <c r="D1085" s="78" t="n">
        <f aca="false">MAX(C1085-05_Unit_Economics!$B$21,0)</f>
        <v>12.8496072438458</v>
      </c>
      <c r="E1085" s="78" t="n">
        <f aca="false">D1085*EXP(-01_Inputs!$C$20*01_Inputs!$C$22)</f>
        <v>12.2964825039725</v>
      </c>
      <c r="F1085" s="80" t="n">
        <f aca="false">AVERAGE(E1084:E1085)</f>
        <v>15.6213110665398</v>
      </c>
    </row>
    <row r="1086" customFormat="false" ht="15" hidden="false" customHeight="false" outlineLevel="0" collapsed="false">
      <c r="A1086" s="76" t="n">
        <v>1075</v>
      </c>
      <c r="B1086" s="77" t="n">
        <v>1.801532</v>
      </c>
      <c r="C1086" s="78" t="n">
        <f aca="false">05_Unit_Economics!$B$15*EXP((01_Inputs!$C$20-01_Inputs!$C$21^2/2)*01_Inputs!$C$22+01_Inputs!$C$21*SQRT(01_Inputs!$C$22)*B1086)</f>
        <v>101.671144410613</v>
      </c>
      <c r="D1086" s="78" t="n">
        <f aca="false">MAX(C1086-05_Unit_Economics!$B$21,0)</f>
        <v>63.7635389361091</v>
      </c>
      <c r="E1086" s="78" t="n">
        <f aca="false">D1086*EXP(-01_Inputs!$C$20*01_Inputs!$C$22)</f>
        <v>61.0187709273963</v>
      </c>
      <c r="F1086" s="79"/>
    </row>
    <row r="1087" customFormat="false" ht="15" hidden="false" customHeight="false" outlineLevel="0" collapsed="false">
      <c r="A1087" s="76" t="n">
        <v>1076</v>
      </c>
      <c r="B1087" s="77" t="n">
        <v>-1.801532</v>
      </c>
      <c r="C1087" s="78" t="n">
        <f aca="false">05_Unit_Economics!$B$15*EXP((01_Inputs!$C$20-01_Inputs!$C$21^2/2)*01_Inputs!$C$22+01_Inputs!$C$21*SQRT(01_Inputs!$C$22)*B1087)</f>
        <v>28.8085186640716</v>
      </c>
      <c r="D1087" s="78" t="n">
        <f aca="false">MAX(C1087-05_Unit_Economics!$B$21,0)</f>
        <v>0</v>
      </c>
      <c r="E1087" s="78" t="n">
        <f aca="false">D1087*EXP(-01_Inputs!$C$20*01_Inputs!$C$22)</f>
        <v>0</v>
      </c>
      <c r="F1087" s="80" t="n">
        <f aca="false">AVERAGE(E1086:E1087)</f>
        <v>30.5093854636982</v>
      </c>
    </row>
    <row r="1088" customFormat="false" ht="15" hidden="false" customHeight="false" outlineLevel="0" collapsed="false">
      <c r="A1088" s="76" t="n">
        <v>1077</v>
      </c>
      <c r="B1088" s="77" t="n">
        <v>-0.619031</v>
      </c>
      <c r="C1088" s="78" t="n">
        <f aca="false">05_Unit_Economics!$B$15*EXP((01_Inputs!$C$20-01_Inputs!$C$21^2/2)*01_Inputs!$C$22+01_Inputs!$C$21*SQRT(01_Inputs!$C$22)*B1088)</f>
        <v>43.5777404720117</v>
      </c>
      <c r="D1088" s="78" t="n">
        <f aca="false">MAX(C1088-05_Unit_Economics!$B$21,0)</f>
        <v>5.67013499750819</v>
      </c>
      <c r="E1088" s="78" t="n">
        <f aca="false">D1088*EXP(-01_Inputs!$C$20*01_Inputs!$C$22)</f>
        <v>5.42605812527189</v>
      </c>
      <c r="F1088" s="79"/>
    </row>
    <row r="1089" customFormat="false" ht="15" hidden="false" customHeight="false" outlineLevel="0" collapsed="false">
      <c r="A1089" s="76" t="n">
        <v>1078</v>
      </c>
      <c r="B1089" s="77" t="n">
        <v>0.619031</v>
      </c>
      <c r="C1089" s="78" t="n">
        <f aca="false">05_Unit_Economics!$B$15*EXP((01_Inputs!$C$20-01_Inputs!$C$21^2/2)*01_Inputs!$C$22+01_Inputs!$C$21*SQRT(01_Inputs!$C$22)*B1089)</f>
        <v>67.2131007625748</v>
      </c>
      <c r="D1089" s="78" t="n">
        <f aca="false">MAX(C1089-05_Unit_Economics!$B$21,0)</f>
        <v>29.3054952880713</v>
      </c>
      <c r="E1089" s="78" t="n">
        <f aca="false">D1089*EXP(-01_Inputs!$C$20*01_Inputs!$C$22)</f>
        <v>28.0440096916276</v>
      </c>
      <c r="F1089" s="80" t="n">
        <f aca="false">AVERAGE(E1088:E1089)</f>
        <v>16.7350339084497</v>
      </c>
    </row>
    <row r="1090" customFormat="false" ht="15" hidden="false" customHeight="false" outlineLevel="0" collapsed="false">
      <c r="A1090" s="76" t="n">
        <v>1079</v>
      </c>
      <c r="B1090" s="77" t="n">
        <v>0.921661</v>
      </c>
      <c r="C1090" s="78" t="n">
        <f aca="false">05_Unit_Economics!$B$15*EXP((01_Inputs!$C$20-01_Inputs!$C$21^2/2)*01_Inputs!$C$22+01_Inputs!$C$21*SQRT(01_Inputs!$C$22)*B1090)</f>
        <v>74.7230550966478</v>
      </c>
      <c r="D1090" s="78" t="n">
        <f aca="false">MAX(C1090-05_Unit_Economics!$B$21,0)</f>
        <v>36.8154496221443</v>
      </c>
      <c r="E1090" s="78" t="n">
        <f aca="false">D1090*EXP(-01_Inputs!$C$20*01_Inputs!$C$22)</f>
        <v>35.2306902120606</v>
      </c>
      <c r="F1090" s="79"/>
    </row>
    <row r="1091" customFormat="false" ht="15" hidden="false" customHeight="false" outlineLevel="0" collapsed="false">
      <c r="A1091" s="76" t="n">
        <v>1080</v>
      </c>
      <c r="B1091" s="77" t="n">
        <v>-0.921661</v>
      </c>
      <c r="C1091" s="78" t="n">
        <f aca="false">05_Unit_Economics!$B$15*EXP((01_Inputs!$C$20-01_Inputs!$C$21^2/2)*01_Inputs!$C$22+01_Inputs!$C$21*SQRT(01_Inputs!$C$22)*B1091)</f>
        <v>39.1980100059112</v>
      </c>
      <c r="D1091" s="78" t="n">
        <f aca="false">MAX(C1091-05_Unit_Economics!$B$21,0)</f>
        <v>1.29040453140771</v>
      </c>
      <c r="E1091" s="78" t="n">
        <f aca="false">D1091*EXP(-01_Inputs!$C$20*01_Inputs!$C$22)</f>
        <v>1.23485772307176</v>
      </c>
      <c r="F1091" s="80" t="n">
        <f aca="false">AVERAGE(E1090:E1091)</f>
        <v>18.2327739675662</v>
      </c>
    </row>
    <row r="1092" customFormat="false" ht="15" hidden="false" customHeight="false" outlineLevel="0" collapsed="false">
      <c r="A1092" s="76" t="n">
        <v>1081</v>
      </c>
      <c r="B1092" s="77" t="n">
        <v>-0.147036</v>
      </c>
      <c r="C1092" s="78" t="n">
        <f aca="false">05_Unit_Economics!$B$15*EXP((01_Inputs!$C$20-01_Inputs!$C$21^2/2)*01_Inputs!$C$22+01_Inputs!$C$21*SQRT(01_Inputs!$C$22)*B1092)</f>
        <v>51.4054773674399</v>
      </c>
      <c r="D1092" s="78" t="n">
        <f aca="false">MAX(C1092-05_Unit_Economics!$B$21,0)</f>
        <v>13.4978718929364</v>
      </c>
      <c r="E1092" s="78" t="n">
        <f aca="false">D1092*EXP(-01_Inputs!$C$20*01_Inputs!$C$22)</f>
        <v>12.9168419254097</v>
      </c>
      <c r="F1092" s="79"/>
    </row>
    <row r="1093" customFormat="false" ht="15" hidden="false" customHeight="false" outlineLevel="0" collapsed="false">
      <c r="A1093" s="76" t="n">
        <v>1082</v>
      </c>
      <c r="B1093" s="77" t="n">
        <v>0.147036</v>
      </c>
      <c r="C1093" s="78" t="n">
        <f aca="false">05_Unit_Economics!$B$15*EXP((01_Inputs!$C$20-01_Inputs!$C$21^2/2)*01_Inputs!$C$22+01_Inputs!$C$21*SQRT(01_Inputs!$C$22)*B1093)</f>
        <v>56.978267907417</v>
      </c>
      <c r="D1093" s="78" t="n">
        <f aca="false">MAX(C1093-05_Unit_Economics!$B$21,0)</f>
        <v>19.0706624329135</v>
      </c>
      <c r="E1093" s="78" t="n">
        <f aca="false">D1093*EXP(-01_Inputs!$C$20*01_Inputs!$C$22)</f>
        <v>18.2497458868091</v>
      </c>
      <c r="F1093" s="80" t="n">
        <f aca="false">AVERAGE(E1092:E1093)</f>
        <v>15.5832939061094</v>
      </c>
    </row>
    <row r="1094" customFormat="false" ht="15" hidden="false" customHeight="false" outlineLevel="0" collapsed="false">
      <c r="A1094" s="76" t="n">
        <v>1083</v>
      </c>
      <c r="B1094" s="77" t="n">
        <v>-0.286218</v>
      </c>
      <c r="C1094" s="78" t="n">
        <f aca="false">05_Unit_Economics!$B$15*EXP((01_Inputs!$C$20-01_Inputs!$C$21^2/2)*01_Inputs!$C$22+01_Inputs!$C$21*SQRT(01_Inputs!$C$22)*B1094)</f>
        <v>48.9613411379551</v>
      </c>
      <c r="D1094" s="78" t="n">
        <f aca="false">MAX(C1094-05_Unit_Economics!$B$21,0)</f>
        <v>11.0537356634517</v>
      </c>
      <c r="E1094" s="78" t="n">
        <f aca="false">D1094*EXP(-01_Inputs!$C$20*01_Inputs!$C$22)</f>
        <v>10.577916088001</v>
      </c>
      <c r="F1094" s="79"/>
    </row>
    <row r="1095" customFormat="false" ht="15" hidden="false" customHeight="false" outlineLevel="0" collapsed="false">
      <c r="A1095" s="76" t="n">
        <v>1084</v>
      </c>
      <c r="B1095" s="77" t="n">
        <v>0.286218</v>
      </c>
      <c r="C1095" s="78" t="n">
        <f aca="false">05_Unit_Economics!$B$15*EXP((01_Inputs!$C$20-01_Inputs!$C$21^2/2)*01_Inputs!$C$22+01_Inputs!$C$21*SQRT(01_Inputs!$C$22)*B1095)</f>
        <v>59.8226068419535</v>
      </c>
      <c r="D1095" s="78" t="n">
        <f aca="false">MAX(C1095-05_Unit_Economics!$B$21,0)</f>
        <v>21.91500136745</v>
      </c>
      <c r="E1095" s="78" t="n">
        <f aca="false">D1095*EXP(-01_Inputs!$C$20*01_Inputs!$C$22)</f>
        <v>20.9716472866085</v>
      </c>
      <c r="F1095" s="80" t="n">
        <f aca="false">AVERAGE(E1094:E1095)</f>
        <v>15.7747816873048</v>
      </c>
    </row>
    <row r="1096" customFormat="false" ht="15" hidden="false" customHeight="false" outlineLevel="0" collapsed="false">
      <c r="A1096" s="76" t="n">
        <v>1085</v>
      </c>
      <c r="B1096" s="77" t="n">
        <v>-0.428162</v>
      </c>
      <c r="C1096" s="78" t="n">
        <f aca="false">05_Unit_Economics!$B$15*EXP((01_Inputs!$C$20-01_Inputs!$C$21^2/2)*01_Inputs!$C$22+01_Inputs!$C$21*SQRT(01_Inputs!$C$22)*B1096)</f>
        <v>46.5883556127833</v>
      </c>
      <c r="D1096" s="78" t="n">
        <f aca="false">MAX(C1096-05_Unit_Economics!$B$21,0)</f>
        <v>8.68075013827981</v>
      </c>
      <c r="E1096" s="78" t="n">
        <f aca="false">D1096*EXP(-01_Inputs!$C$20*01_Inputs!$C$22)</f>
        <v>8.30707819866156</v>
      </c>
      <c r="F1096" s="79"/>
    </row>
    <row r="1097" customFormat="false" ht="15" hidden="false" customHeight="false" outlineLevel="0" collapsed="false">
      <c r="A1097" s="76" t="n">
        <v>1086</v>
      </c>
      <c r="B1097" s="77" t="n">
        <v>0.428162</v>
      </c>
      <c r="C1097" s="78" t="n">
        <f aca="false">05_Unit_Economics!$B$15*EXP((01_Inputs!$C$20-01_Inputs!$C$21^2/2)*01_Inputs!$C$22+01_Inputs!$C$21*SQRT(01_Inputs!$C$22)*B1097)</f>
        <v>62.8696811214983</v>
      </c>
      <c r="D1097" s="78" t="n">
        <f aca="false">MAX(C1097-05_Unit_Economics!$B$21,0)</f>
        <v>24.9620756469949</v>
      </c>
      <c r="E1097" s="78" t="n">
        <f aca="false">D1097*EXP(-01_Inputs!$C$20*01_Inputs!$C$22)</f>
        <v>23.8875570771333</v>
      </c>
      <c r="F1097" s="80" t="n">
        <f aca="false">AVERAGE(E1096:E1097)</f>
        <v>16.0973176378974</v>
      </c>
    </row>
    <row r="1098" customFormat="false" ht="15" hidden="false" customHeight="false" outlineLevel="0" collapsed="false">
      <c r="A1098" s="76" t="n">
        <v>1087</v>
      </c>
      <c r="B1098" s="77" t="n">
        <v>1.227026</v>
      </c>
      <c r="C1098" s="78" t="n">
        <f aca="false">05_Unit_Economics!$B$15*EXP((01_Inputs!$C$20-01_Inputs!$C$21^2/2)*01_Inputs!$C$22+01_Inputs!$C$21*SQRT(01_Inputs!$C$22)*B1098)</f>
        <v>83.1516817019383</v>
      </c>
      <c r="D1098" s="78" t="n">
        <f aca="false">MAX(C1098-05_Unit_Economics!$B$21,0)</f>
        <v>45.2440762274349</v>
      </c>
      <c r="E1098" s="78" t="n">
        <f aca="false">D1098*EXP(-01_Inputs!$C$20*01_Inputs!$C$22)</f>
        <v>43.296497798056</v>
      </c>
      <c r="F1098" s="79"/>
    </row>
    <row r="1099" customFormat="false" ht="15" hidden="false" customHeight="false" outlineLevel="0" collapsed="false">
      <c r="A1099" s="76" t="n">
        <v>1088</v>
      </c>
      <c r="B1099" s="77" t="n">
        <v>-1.227026</v>
      </c>
      <c r="C1099" s="78" t="n">
        <f aca="false">05_Unit_Economics!$B$15*EXP((01_Inputs!$C$20-01_Inputs!$C$21^2/2)*01_Inputs!$C$22+01_Inputs!$C$21*SQRT(01_Inputs!$C$22)*B1099)</f>
        <v>35.2247242797781</v>
      </c>
      <c r="D1099" s="78" t="n">
        <f aca="false">MAX(C1099-05_Unit_Economics!$B$21,0)</f>
        <v>0</v>
      </c>
      <c r="E1099" s="78" t="n">
        <f aca="false">D1099*EXP(-01_Inputs!$C$20*01_Inputs!$C$22)</f>
        <v>0</v>
      </c>
      <c r="F1099" s="80" t="n">
        <f aca="false">AVERAGE(E1098:E1099)</f>
        <v>21.648248899028</v>
      </c>
    </row>
    <row r="1100" customFormat="false" ht="15" hidden="false" customHeight="false" outlineLevel="0" collapsed="false">
      <c r="A1100" s="76" t="n">
        <v>1089</v>
      </c>
      <c r="B1100" s="77" t="n">
        <v>3.176297</v>
      </c>
      <c r="C1100" s="78" t="n">
        <f aca="false">05_Unit_Economics!$B$15*EXP((01_Inputs!$C$20-01_Inputs!$C$21^2/2)*01_Inputs!$C$22+01_Inputs!$C$21*SQRT(01_Inputs!$C$22)*B1100)</f>
        <v>164.500116819234</v>
      </c>
      <c r="D1100" s="78" t="n">
        <f aca="false">MAX(C1100-05_Unit_Economics!$B$21,0)</f>
        <v>126.592511344731</v>
      </c>
      <c r="E1100" s="78" t="n">
        <f aca="false">D1100*EXP(-01_Inputs!$C$20*01_Inputs!$C$22)</f>
        <v>121.143204717792</v>
      </c>
      <c r="F1100" s="79"/>
    </row>
    <row r="1101" customFormat="false" ht="15" hidden="false" customHeight="false" outlineLevel="0" collapsed="false">
      <c r="A1101" s="76" t="n">
        <v>1090</v>
      </c>
      <c r="B1101" s="77" t="n">
        <v>-3.176297</v>
      </c>
      <c r="C1101" s="78" t="n">
        <f aca="false">05_Unit_Economics!$B$15*EXP((01_Inputs!$C$20-01_Inputs!$C$21^2/2)*01_Inputs!$C$22+01_Inputs!$C$21*SQRT(01_Inputs!$C$22)*B1101)</f>
        <v>17.8054284579583</v>
      </c>
      <c r="D1101" s="78" t="n">
        <f aca="false">MAX(C1101-05_Unit_Economics!$B$21,0)</f>
        <v>0</v>
      </c>
      <c r="E1101" s="78" t="n">
        <f aca="false">D1101*EXP(-01_Inputs!$C$20*01_Inputs!$C$22)</f>
        <v>0</v>
      </c>
      <c r="F1101" s="80" t="n">
        <f aca="false">AVERAGE(E1100:E1101)</f>
        <v>60.5716023588959</v>
      </c>
    </row>
    <row r="1102" customFormat="false" ht="15" hidden="false" customHeight="false" outlineLevel="0" collapsed="false">
      <c r="A1102" s="76" t="n">
        <v>1091</v>
      </c>
      <c r="B1102" s="77" t="n">
        <v>-0.763827</v>
      </c>
      <c r="C1102" s="78" t="n">
        <f aca="false">05_Unit_Economics!$B$15*EXP((01_Inputs!$C$20-01_Inputs!$C$21^2/2)*01_Inputs!$C$22+01_Inputs!$C$21*SQRT(01_Inputs!$C$22)*B1102)</f>
        <v>41.4243089141413</v>
      </c>
      <c r="D1102" s="78" t="n">
        <f aca="false">MAX(C1102-05_Unit_Economics!$B$21,0)</f>
        <v>3.5167034396378</v>
      </c>
      <c r="E1102" s="78" t="n">
        <f aca="false">D1102*EXP(-01_Inputs!$C$20*01_Inputs!$C$22)</f>
        <v>3.36532327382047</v>
      </c>
      <c r="F1102" s="79"/>
    </row>
    <row r="1103" customFormat="false" ht="15" hidden="false" customHeight="false" outlineLevel="0" collapsed="false">
      <c r="A1103" s="76" t="n">
        <v>1092</v>
      </c>
      <c r="B1103" s="77" t="n">
        <v>0.763827</v>
      </c>
      <c r="C1103" s="78" t="n">
        <f aca="false">05_Unit_Economics!$B$15*EXP((01_Inputs!$C$20-01_Inputs!$C$21^2/2)*01_Inputs!$C$22+01_Inputs!$C$21*SQRT(01_Inputs!$C$22)*B1103)</f>
        <v>70.7071557288132</v>
      </c>
      <c r="D1103" s="78" t="n">
        <f aca="false">MAX(C1103-05_Unit_Economics!$B$21,0)</f>
        <v>32.7995502543097</v>
      </c>
      <c r="E1103" s="78" t="n">
        <f aca="false">D1103*EXP(-01_Inputs!$C$20*01_Inputs!$C$22)</f>
        <v>31.3876594191978</v>
      </c>
      <c r="F1103" s="80" t="n">
        <f aca="false">AVERAGE(E1102:E1103)</f>
        <v>17.3764913465091</v>
      </c>
    </row>
    <row r="1104" customFormat="false" ht="15" hidden="false" customHeight="false" outlineLevel="0" collapsed="false">
      <c r="A1104" s="76" t="n">
        <v>1093</v>
      </c>
      <c r="B1104" s="77" t="n">
        <v>0.288802</v>
      </c>
      <c r="C1104" s="78" t="n">
        <f aca="false">05_Unit_Economics!$B$15*EXP((01_Inputs!$C$20-01_Inputs!$C$21^2/2)*01_Inputs!$C$22+01_Inputs!$C$21*SQRT(01_Inputs!$C$22)*B1104)</f>
        <v>59.8767348805909</v>
      </c>
      <c r="D1104" s="78" t="n">
        <f aca="false">MAX(C1104-05_Unit_Economics!$B$21,0)</f>
        <v>21.9691294060875</v>
      </c>
      <c r="E1104" s="78" t="n">
        <f aca="false">D1104*EXP(-01_Inputs!$C$20*01_Inputs!$C$22)</f>
        <v>21.0234453273929</v>
      </c>
      <c r="F1104" s="79"/>
    </row>
    <row r="1105" customFormat="false" ht="15" hidden="false" customHeight="false" outlineLevel="0" collapsed="false">
      <c r="A1105" s="76" t="n">
        <v>1094</v>
      </c>
      <c r="B1105" s="77" t="n">
        <v>-0.288802</v>
      </c>
      <c r="C1105" s="78" t="n">
        <f aca="false">05_Unit_Economics!$B$15*EXP((01_Inputs!$C$20-01_Inputs!$C$21^2/2)*01_Inputs!$C$22+01_Inputs!$C$21*SQRT(01_Inputs!$C$22)*B1105)</f>
        <v>48.9170805186989</v>
      </c>
      <c r="D1105" s="78" t="n">
        <f aca="false">MAX(C1105-05_Unit_Economics!$B$21,0)</f>
        <v>11.0094750441954</v>
      </c>
      <c r="E1105" s="78" t="n">
        <f aca="false">D1105*EXP(-01_Inputs!$C$20*01_Inputs!$C$22)</f>
        <v>10.5355607132435</v>
      </c>
      <c r="F1105" s="80" t="n">
        <f aca="false">AVERAGE(E1104:E1105)</f>
        <v>15.7795030203182</v>
      </c>
    </row>
    <row r="1106" customFormat="false" ht="15" hidden="false" customHeight="false" outlineLevel="0" collapsed="false">
      <c r="A1106" s="76" t="n">
        <v>1095</v>
      </c>
      <c r="B1106" s="77" t="n">
        <v>-0.616604</v>
      </c>
      <c r="C1106" s="78" t="n">
        <f aca="false">05_Unit_Economics!$B$15*EXP((01_Inputs!$C$20-01_Inputs!$C$21^2/2)*01_Inputs!$C$22+01_Inputs!$C$21*SQRT(01_Inputs!$C$22)*B1106)</f>
        <v>43.614773310201</v>
      </c>
      <c r="D1106" s="78" t="n">
        <f aca="false">MAX(C1106-05_Unit_Economics!$B$21,0)</f>
        <v>5.70716783569754</v>
      </c>
      <c r="E1106" s="78" t="n">
        <f aca="false">D1106*EXP(-01_Inputs!$C$20*01_Inputs!$C$22)</f>
        <v>5.46149684633364</v>
      </c>
      <c r="F1106" s="79"/>
    </row>
    <row r="1107" customFormat="false" ht="15" hidden="false" customHeight="false" outlineLevel="0" collapsed="false">
      <c r="A1107" s="76" t="n">
        <v>1096</v>
      </c>
      <c r="B1107" s="77" t="n">
        <v>0.616604</v>
      </c>
      <c r="C1107" s="78" t="n">
        <f aca="false">05_Unit_Economics!$B$15*EXP((01_Inputs!$C$20-01_Inputs!$C$21^2/2)*01_Inputs!$C$22+01_Inputs!$C$21*SQRT(01_Inputs!$C$22)*B1107)</f>
        <v>67.156030836588</v>
      </c>
      <c r="D1107" s="78" t="n">
        <f aca="false">MAX(C1107-05_Unit_Economics!$B$21,0)</f>
        <v>29.2484253620845</v>
      </c>
      <c r="E1107" s="78" t="n">
        <f aca="false">D1107*EXP(-01_Inputs!$C$20*01_Inputs!$C$22)</f>
        <v>27.9893964001018</v>
      </c>
      <c r="F1107" s="80" t="n">
        <f aca="false">AVERAGE(E1106:E1107)</f>
        <v>16.7254466232177</v>
      </c>
    </row>
    <row r="1108" customFormat="false" ht="15" hidden="false" customHeight="false" outlineLevel="0" collapsed="false">
      <c r="A1108" s="76" t="n">
        <v>1097</v>
      </c>
      <c r="B1108" s="77" t="n">
        <v>0.996339</v>
      </c>
      <c r="C1108" s="78" t="n">
        <f aca="false">05_Unit_Economics!$B$15*EXP((01_Inputs!$C$20-01_Inputs!$C$21^2/2)*01_Inputs!$C$22+01_Inputs!$C$21*SQRT(01_Inputs!$C$22)*B1108)</f>
        <v>76.7018616834045</v>
      </c>
      <c r="D1108" s="78" t="n">
        <f aca="false">MAX(C1108-05_Unit_Economics!$B$21,0)</f>
        <v>38.794256208901</v>
      </c>
      <c r="E1108" s="78" t="n">
        <f aca="false">D1108*EXP(-01_Inputs!$C$20*01_Inputs!$C$22)</f>
        <v>37.1243170063311</v>
      </c>
      <c r="F1108" s="79"/>
    </row>
    <row r="1109" customFormat="false" ht="15" hidden="false" customHeight="false" outlineLevel="0" collapsed="false">
      <c r="A1109" s="76" t="n">
        <v>1098</v>
      </c>
      <c r="B1109" s="77" t="n">
        <v>-0.996339</v>
      </c>
      <c r="C1109" s="78" t="n">
        <f aca="false">05_Unit_Economics!$B$15*EXP((01_Inputs!$C$20-01_Inputs!$C$21^2/2)*01_Inputs!$C$22+01_Inputs!$C$21*SQRT(01_Inputs!$C$22)*B1109)</f>
        <v>38.1867531904298</v>
      </c>
      <c r="D1109" s="78" t="n">
        <f aca="false">MAX(C1109-05_Unit_Economics!$B$21,0)</f>
        <v>0.279147715926356</v>
      </c>
      <c r="E1109" s="78" t="n">
        <f aca="false">D1109*EXP(-01_Inputs!$C$20*01_Inputs!$C$22)</f>
        <v>0.267131511475289</v>
      </c>
      <c r="F1109" s="80" t="n">
        <f aca="false">AVERAGE(E1108:E1109)</f>
        <v>18.6957242589032</v>
      </c>
    </row>
    <row r="1110" customFormat="false" ht="15" hidden="false" customHeight="false" outlineLevel="0" collapsed="false">
      <c r="A1110" s="76" t="n">
        <v>1099</v>
      </c>
      <c r="B1110" s="77" t="n">
        <v>-1.580145</v>
      </c>
      <c r="C1110" s="78" t="n">
        <f aca="false">05_Unit_Economics!$B$15*EXP((01_Inputs!$C$20-01_Inputs!$C$21^2/2)*01_Inputs!$C$22+01_Inputs!$C$21*SQRT(01_Inputs!$C$22)*B1110)</f>
        <v>31.1295204740286</v>
      </c>
      <c r="D1110" s="78" t="n">
        <f aca="false">MAX(C1110-05_Unit_Economics!$B$21,0)</f>
        <v>0</v>
      </c>
      <c r="E1110" s="78" t="n">
        <f aca="false">D1110*EXP(-01_Inputs!$C$20*01_Inputs!$C$22)</f>
        <v>0</v>
      </c>
      <c r="F1110" s="79"/>
    </row>
    <row r="1111" customFormat="false" ht="15" hidden="false" customHeight="false" outlineLevel="0" collapsed="false">
      <c r="A1111" s="76" t="n">
        <v>1100</v>
      </c>
      <c r="B1111" s="77" t="n">
        <v>1.580145</v>
      </c>
      <c r="C1111" s="78" t="n">
        <f aca="false">05_Unit_Economics!$B$15*EXP((01_Inputs!$C$20-01_Inputs!$C$21^2/2)*01_Inputs!$C$22+01_Inputs!$C$21*SQRT(01_Inputs!$C$22)*B1111)</f>
        <v>94.090593647092</v>
      </c>
      <c r="D1111" s="78" t="n">
        <f aca="false">MAX(C1111-05_Unit_Economics!$B$21,0)</f>
        <v>56.1829881725885</v>
      </c>
      <c r="E1111" s="78" t="n">
        <f aca="false">D1111*EXP(-01_Inputs!$C$20*01_Inputs!$C$22)</f>
        <v>53.76453287442</v>
      </c>
      <c r="F1111" s="80" t="n">
        <f aca="false">AVERAGE(E1110:E1111)</f>
        <v>26.88226643721</v>
      </c>
    </row>
    <row r="1112" customFormat="false" ht="15" hidden="false" customHeight="false" outlineLevel="0" collapsed="false">
      <c r="A1112" s="76" t="n">
        <v>1101</v>
      </c>
      <c r="B1112" s="77" t="n">
        <v>0.644856</v>
      </c>
      <c r="C1112" s="78" t="n">
        <f aca="false">05_Unit_Economics!$B$15*EXP((01_Inputs!$C$20-01_Inputs!$C$21^2/2)*01_Inputs!$C$22+01_Inputs!$C$21*SQRT(01_Inputs!$C$22)*B1112)</f>
        <v>67.8233770897604</v>
      </c>
      <c r="D1112" s="78" t="n">
        <f aca="false">MAX(C1112-05_Unit_Economics!$B$21,0)</f>
        <v>29.915771615257</v>
      </c>
      <c r="E1112" s="78" t="n">
        <f aca="false">D1112*EXP(-01_Inputs!$C$20*01_Inputs!$C$22)</f>
        <v>28.62801603808</v>
      </c>
      <c r="F1112" s="79"/>
    </row>
    <row r="1113" customFormat="false" ht="15" hidden="false" customHeight="false" outlineLevel="0" collapsed="false">
      <c r="A1113" s="76" t="n">
        <v>1102</v>
      </c>
      <c r="B1113" s="77" t="n">
        <v>-0.644856</v>
      </c>
      <c r="C1113" s="78" t="n">
        <f aca="false">05_Unit_Economics!$B$15*EXP((01_Inputs!$C$20-01_Inputs!$C$21^2/2)*01_Inputs!$C$22+01_Inputs!$C$21*SQRT(01_Inputs!$C$22)*B1113)</f>
        <v>43.1856269479813</v>
      </c>
      <c r="D1113" s="78" t="n">
        <f aca="false">MAX(C1113-05_Unit_Economics!$B$21,0)</f>
        <v>5.27802147347778</v>
      </c>
      <c r="E1113" s="78" t="n">
        <f aca="false">D1113*EXP(-01_Inputs!$C$20*01_Inputs!$C$22)</f>
        <v>5.05082353667228</v>
      </c>
      <c r="F1113" s="80" t="n">
        <f aca="false">AVERAGE(E1112:E1113)</f>
        <v>16.8394197873761</v>
      </c>
    </row>
    <row r="1114" customFormat="false" ht="15" hidden="false" customHeight="false" outlineLevel="0" collapsed="false">
      <c r="A1114" s="76" t="n">
        <v>1103</v>
      </c>
      <c r="B1114" s="77" t="n">
        <v>-1.645258</v>
      </c>
      <c r="C1114" s="78" t="n">
        <f aca="false">05_Unit_Economics!$B$15*EXP((01_Inputs!$C$20-01_Inputs!$C$21^2/2)*01_Inputs!$C$22+01_Inputs!$C$21*SQRT(01_Inputs!$C$22)*B1114)</f>
        <v>30.4281154202392</v>
      </c>
      <c r="D1114" s="78" t="n">
        <f aca="false">MAX(C1114-05_Unit_Economics!$B$21,0)</f>
        <v>0</v>
      </c>
      <c r="E1114" s="78" t="n">
        <f aca="false">D1114*EXP(-01_Inputs!$C$20*01_Inputs!$C$22)</f>
        <v>0</v>
      </c>
      <c r="F1114" s="79"/>
    </row>
    <row r="1115" customFormat="false" ht="15" hidden="false" customHeight="false" outlineLevel="0" collapsed="false">
      <c r="A1115" s="76" t="n">
        <v>1104</v>
      </c>
      <c r="B1115" s="77" t="n">
        <v>1.645258</v>
      </c>
      <c r="C1115" s="78" t="n">
        <f aca="false">05_Unit_Economics!$B$15*EXP((01_Inputs!$C$20-01_Inputs!$C$21^2/2)*01_Inputs!$C$22+01_Inputs!$C$21*SQRT(01_Inputs!$C$22)*B1115)</f>
        <v>96.2594962224455</v>
      </c>
      <c r="D1115" s="78" t="n">
        <f aca="false">MAX(C1115-05_Unit_Economics!$B$21,0)</f>
        <v>58.3518907479421</v>
      </c>
      <c r="E1115" s="78" t="n">
        <f aca="false">D1115*EXP(-01_Inputs!$C$20*01_Inputs!$C$22)</f>
        <v>55.840072777278</v>
      </c>
      <c r="F1115" s="80" t="n">
        <f aca="false">AVERAGE(E1114:E1115)</f>
        <v>27.920036388639</v>
      </c>
    </row>
    <row r="1116" customFormat="false" ht="15" hidden="false" customHeight="false" outlineLevel="0" collapsed="false">
      <c r="A1116" s="76" t="n">
        <v>1105</v>
      </c>
      <c r="B1116" s="77" t="n">
        <v>1.196072</v>
      </c>
      <c r="C1116" s="78" t="n">
        <f aca="false">05_Unit_Economics!$B$15*EXP((01_Inputs!$C$20-01_Inputs!$C$21^2/2)*01_Inputs!$C$22+01_Inputs!$C$21*SQRT(01_Inputs!$C$22)*B1116)</f>
        <v>82.255687019752</v>
      </c>
      <c r="D1116" s="78" t="n">
        <f aca="false">MAX(C1116-05_Unit_Economics!$B$21,0)</f>
        <v>44.3480815452485</v>
      </c>
      <c r="E1116" s="78" t="n">
        <f aca="false">D1116*EXP(-01_Inputs!$C$20*01_Inputs!$C$22)</f>
        <v>42.4390721410629</v>
      </c>
      <c r="F1116" s="79"/>
    </row>
    <row r="1117" customFormat="false" ht="15" hidden="false" customHeight="false" outlineLevel="0" collapsed="false">
      <c r="A1117" s="76" t="n">
        <v>1106</v>
      </c>
      <c r="B1117" s="77" t="n">
        <v>-1.196072</v>
      </c>
      <c r="C1117" s="78" t="n">
        <f aca="false">05_Unit_Economics!$B$15*EXP((01_Inputs!$C$20-01_Inputs!$C$21^2/2)*01_Inputs!$C$22+01_Inputs!$C$21*SQRT(01_Inputs!$C$22)*B1117)</f>
        <v>35.6084201284139</v>
      </c>
      <c r="D1117" s="78" t="n">
        <f aca="false">MAX(C1117-05_Unit_Economics!$B$21,0)</f>
        <v>0</v>
      </c>
      <c r="E1117" s="78" t="n">
        <f aca="false">D1117*EXP(-01_Inputs!$C$20*01_Inputs!$C$22)</f>
        <v>0</v>
      </c>
      <c r="F1117" s="80" t="n">
        <f aca="false">AVERAGE(E1116:E1117)</f>
        <v>21.2195360705315</v>
      </c>
    </row>
    <row r="1118" customFormat="false" ht="15" hidden="false" customHeight="false" outlineLevel="0" collapsed="false">
      <c r="A1118" s="76" t="n">
        <v>1107</v>
      </c>
      <c r="B1118" s="77" t="n">
        <v>-0.200353</v>
      </c>
      <c r="C1118" s="78" t="n">
        <f aca="false">05_Unit_Economics!$B$15*EXP((01_Inputs!$C$20-01_Inputs!$C$21^2/2)*01_Inputs!$C$22+01_Inputs!$C$21*SQRT(01_Inputs!$C$22)*B1118)</f>
        <v>50.4550974002426</v>
      </c>
      <c r="D1118" s="78" t="n">
        <f aca="false">MAX(C1118-05_Unit_Economics!$B$21,0)</f>
        <v>12.5474919257391</v>
      </c>
      <c r="E1118" s="78" t="n">
        <f aca="false">D1118*EXP(-01_Inputs!$C$20*01_Inputs!$C$22)</f>
        <v>12.0073720546971</v>
      </c>
      <c r="F1118" s="79"/>
    </row>
    <row r="1119" customFormat="false" ht="15" hidden="false" customHeight="false" outlineLevel="0" collapsed="false">
      <c r="A1119" s="76" t="n">
        <v>1108</v>
      </c>
      <c r="B1119" s="77" t="n">
        <v>0.200353</v>
      </c>
      <c r="C1119" s="78" t="n">
        <f aca="false">05_Unit_Economics!$B$15*EXP((01_Inputs!$C$20-01_Inputs!$C$21^2/2)*01_Inputs!$C$22+01_Inputs!$C$21*SQRT(01_Inputs!$C$22)*B1119)</f>
        <v>58.0515193165908</v>
      </c>
      <c r="D1119" s="78" t="n">
        <f aca="false">MAX(C1119-05_Unit_Economics!$B$21,0)</f>
        <v>20.1439138420873</v>
      </c>
      <c r="E1119" s="78" t="n">
        <f aca="false">D1119*EXP(-01_Inputs!$C$20*01_Inputs!$C$22)</f>
        <v>19.2767980701816</v>
      </c>
      <c r="F1119" s="80" t="n">
        <f aca="false">AVERAGE(E1118:E1119)</f>
        <v>15.6420850624393</v>
      </c>
    </row>
    <row r="1120" customFormat="false" ht="15" hidden="false" customHeight="false" outlineLevel="0" collapsed="false">
      <c r="A1120" s="76" t="n">
        <v>1109</v>
      </c>
      <c r="B1120" s="77" t="n">
        <v>-0.969585</v>
      </c>
      <c r="C1120" s="78" t="n">
        <f aca="false">05_Unit_Economics!$B$15*EXP((01_Inputs!$C$20-01_Inputs!$C$21^2/2)*01_Inputs!$C$22+01_Inputs!$C$21*SQRT(01_Inputs!$C$22)*B1120)</f>
        <v>38.5460095237786</v>
      </c>
      <c r="D1120" s="78" t="n">
        <f aca="false">MAX(C1120-05_Unit_Economics!$B$21,0)</f>
        <v>0.638404049275167</v>
      </c>
      <c r="E1120" s="78" t="n">
        <f aca="false">D1120*EXP(-01_Inputs!$C$20*01_Inputs!$C$22)</f>
        <v>0.610923281420689</v>
      </c>
      <c r="F1120" s="79"/>
    </row>
    <row r="1121" customFormat="false" ht="15" hidden="false" customHeight="false" outlineLevel="0" collapsed="false">
      <c r="A1121" s="76" t="n">
        <v>1110</v>
      </c>
      <c r="B1121" s="77" t="n">
        <v>0.969585</v>
      </c>
      <c r="C1121" s="78" t="n">
        <f aca="false">05_Unit_Economics!$B$15*EXP((01_Inputs!$C$20-01_Inputs!$C$21^2/2)*01_Inputs!$C$22+01_Inputs!$C$21*SQRT(01_Inputs!$C$22)*B1121)</f>
        <v>75.9869853595036</v>
      </c>
      <c r="D1121" s="78" t="n">
        <f aca="false">MAX(C1121-05_Unit_Economics!$B$21,0)</f>
        <v>38.0793798850001</v>
      </c>
      <c r="E1121" s="78" t="n">
        <f aca="false">D1121*EXP(-01_Inputs!$C$20*01_Inputs!$C$22)</f>
        <v>36.4402132790704</v>
      </c>
      <c r="F1121" s="80" t="n">
        <f aca="false">AVERAGE(E1120:E1121)</f>
        <v>18.5255682802455</v>
      </c>
    </row>
    <row r="1122" customFormat="false" ht="15" hidden="false" customHeight="false" outlineLevel="0" collapsed="false">
      <c r="A1122" s="76" t="n">
        <v>1111</v>
      </c>
      <c r="B1122" s="77" t="n">
        <v>0.905565</v>
      </c>
      <c r="C1122" s="78" t="n">
        <f aca="false">05_Unit_Economics!$B$15*EXP((01_Inputs!$C$20-01_Inputs!$C$21^2/2)*01_Inputs!$C$22+01_Inputs!$C$21*SQRT(01_Inputs!$C$22)*B1122)</f>
        <v>74.3032788294631</v>
      </c>
      <c r="D1122" s="78" t="n">
        <f aca="false">MAX(C1122-05_Unit_Economics!$B$21,0)</f>
        <v>36.3956733549596</v>
      </c>
      <c r="E1122" s="78" t="n">
        <f aca="false">D1122*EXP(-01_Inputs!$C$20*01_Inputs!$C$22)</f>
        <v>34.8289836519249</v>
      </c>
      <c r="F1122" s="79"/>
    </row>
    <row r="1123" customFormat="false" ht="15" hidden="false" customHeight="false" outlineLevel="0" collapsed="false">
      <c r="A1123" s="76" t="n">
        <v>1112</v>
      </c>
      <c r="B1123" s="77" t="n">
        <v>-0.905565</v>
      </c>
      <c r="C1123" s="78" t="n">
        <f aca="false">05_Unit_Economics!$B$15*EXP((01_Inputs!$C$20-01_Inputs!$C$21^2/2)*01_Inputs!$C$22+01_Inputs!$C$21*SQRT(01_Inputs!$C$22)*B1123)</f>
        <v>39.4194591072236</v>
      </c>
      <c r="D1123" s="78" t="n">
        <f aca="false">MAX(C1123-05_Unit_Economics!$B$21,0)</f>
        <v>1.5118536327201</v>
      </c>
      <c r="E1123" s="78" t="n">
        <f aca="false">D1123*EXP(-01_Inputs!$C$20*01_Inputs!$C$22)</f>
        <v>1.44677431695151</v>
      </c>
      <c r="F1123" s="80" t="n">
        <f aca="false">AVERAGE(E1122:E1123)</f>
        <v>18.1378789844382</v>
      </c>
    </row>
    <row r="1124" customFormat="false" ht="15" hidden="false" customHeight="false" outlineLevel="0" collapsed="false">
      <c r="A1124" s="76" t="n">
        <v>1113</v>
      </c>
      <c r="B1124" s="77" t="n">
        <v>1.050135</v>
      </c>
      <c r="C1124" s="78" t="n">
        <f aca="false">05_Unit_Economics!$B$15*EXP((01_Inputs!$C$20-01_Inputs!$C$21^2/2)*01_Inputs!$C$22+01_Inputs!$C$21*SQRT(01_Inputs!$C$22)*B1124)</f>
        <v>78.1597321162795</v>
      </c>
      <c r="D1124" s="78" t="n">
        <f aca="false">MAX(C1124-05_Unit_Economics!$B$21,0)</f>
        <v>40.252126641776</v>
      </c>
      <c r="E1124" s="78" t="n">
        <f aca="false">D1124*EXP(-01_Inputs!$C$20*01_Inputs!$C$22)</f>
        <v>38.5194318865538</v>
      </c>
      <c r="F1124" s="79"/>
    </row>
    <row r="1125" customFormat="false" ht="15" hidden="false" customHeight="false" outlineLevel="0" collapsed="false">
      <c r="A1125" s="76" t="n">
        <v>1114</v>
      </c>
      <c r="B1125" s="77" t="n">
        <v>-1.050135</v>
      </c>
      <c r="C1125" s="78" t="n">
        <f aca="false">05_Unit_Economics!$B$15*EXP((01_Inputs!$C$20-01_Inputs!$C$21^2/2)*01_Inputs!$C$22+01_Inputs!$C$21*SQRT(01_Inputs!$C$22)*B1125)</f>
        <v>37.4744767163882</v>
      </c>
      <c r="D1125" s="78" t="n">
        <f aca="false">MAX(C1125-05_Unit_Economics!$B$21,0)</f>
        <v>0</v>
      </c>
      <c r="E1125" s="78" t="n">
        <f aca="false">D1125*EXP(-01_Inputs!$C$20*01_Inputs!$C$22)</f>
        <v>0</v>
      </c>
      <c r="F1125" s="80" t="n">
        <f aca="false">AVERAGE(E1124:E1125)</f>
        <v>19.2597159432769</v>
      </c>
    </row>
    <row r="1126" customFormat="false" ht="15" hidden="false" customHeight="false" outlineLevel="0" collapsed="false">
      <c r="A1126" s="76" t="n">
        <v>1115</v>
      </c>
      <c r="B1126" s="77" t="n">
        <v>-0.254691</v>
      </c>
      <c r="C1126" s="78" t="n">
        <f aca="false">05_Unit_Economics!$B$15*EXP((01_Inputs!$C$20-01_Inputs!$C$21^2/2)*01_Inputs!$C$22+01_Inputs!$C$21*SQRT(01_Inputs!$C$22)*B1126)</f>
        <v>49.5045943467028</v>
      </c>
      <c r="D1126" s="78" t="n">
        <f aca="false">MAX(C1126-05_Unit_Economics!$B$21,0)</f>
        <v>11.5969888721993</v>
      </c>
      <c r="E1126" s="78" t="n">
        <f aca="false">D1126*EXP(-01_Inputs!$C$20*01_Inputs!$C$22)</f>
        <v>11.097784396022</v>
      </c>
      <c r="F1126" s="79"/>
    </row>
    <row r="1127" customFormat="false" ht="15" hidden="false" customHeight="false" outlineLevel="0" collapsed="false">
      <c r="A1127" s="76" t="n">
        <v>1116</v>
      </c>
      <c r="B1127" s="77" t="n">
        <v>0.254691</v>
      </c>
      <c r="C1127" s="78" t="n">
        <f aca="false">05_Unit_Economics!$B$15*EXP((01_Inputs!$C$20-01_Inputs!$C$21^2/2)*01_Inputs!$C$22+01_Inputs!$C$21*SQRT(01_Inputs!$C$22)*B1127)</f>
        <v>59.1661258920251</v>
      </c>
      <c r="D1127" s="78" t="n">
        <f aca="false">MAX(C1127-05_Unit_Economics!$B$21,0)</f>
        <v>21.2585204175217</v>
      </c>
      <c r="E1127" s="78" t="n">
        <f aca="false">D1127*EXP(-01_Inputs!$C$20*01_Inputs!$C$22)</f>
        <v>20.3434252435689</v>
      </c>
      <c r="F1127" s="80" t="n">
        <f aca="false">AVERAGE(E1126:E1127)</f>
        <v>15.7206048197955</v>
      </c>
    </row>
    <row r="1128" customFormat="false" ht="15" hidden="false" customHeight="false" outlineLevel="0" collapsed="false">
      <c r="A1128" s="76" t="n">
        <v>1117</v>
      </c>
      <c r="B1128" s="77" t="n">
        <v>-0.111129</v>
      </c>
      <c r="C1128" s="78" t="n">
        <f aca="false">05_Unit_Economics!$B$15*EXP((01_Inputs!$C$20-01_Inputs!$C$21^2/2)*01_Inputs!$C$22+01_Inputs!$C$21*SQRT(01_Inputs!$C$22)*B1128)</f>
        <v>52.0555897045442</v>
      </c>
      <c r="D1128" s="78" t="n">
        <f aca="false">MAX(C1128-05_Unit_Economics!$B$21,0)</f>
        <v>14.1479842300407</v>
      </c>
      <c r="E1128" s="78" t="n">
        <f aca="false">D1128*EXP(-01_Inputs!$C$20*01_Inputs!$C$22)</f>
        <v>13.5389694992037</v>
      </c>
      <c r="F1128" s="79"/>
    </row>
    <row r="1129" customFormat="false" ht="15" hidden="false" customHeight="false" outlineLevel="0" collapsed="false">
      <c r="A1129" s="76" t="n">
        <v>1118</v>
      </c>
      <c r="B1129" s="77" t="n">
        <v>0.111129</v>
      </c>
      <c r="C1129" s="78" t="n">
        <f aca="false">05_Unit_Economics!$B$15*EXP((01_Inputs!$C$20-01_Inputs!$C$21^2/2)*01_Inputs!$C$22+01_Inputs!$C$21*SQRT(01_Inputs!$C$22)*B1129)</f>
        <v>56.2666771805866</v>
      </c>
      <c r="D1129" s="78" t="n">
        <f aca="false">MAX(C1129-05_Unit_Economics!$B$21,0)</f>
        <v>18.3590717060831</v>
      </c>
      <c r="E1129" s="78" t="n">
        <f aca="false">D1129*EXP(-01_Inputs!$C$20*01_Inputs!$C$22)</f>
        <v>17.5687863246677</v>
      </c>
      <c r="F1129" s="80" t="n">
        <f aca="false">AVERAGE(E1128:E1129)</f>
        <v>15.5538779119357</v>
      </c>
    </row>
    <row r="1130" customFormat="false" ht="15" hidden="false" customHeight="false" outlineLevel="0" collapsed="false">
      <c r="A1130" s="76" t="n">
        <v>1119</v>
      </c>
      <c r="B1130" s="77" t="n">
        <v>1.732945</v>
      </c>
      <c r="C1130" s="78" t="n">
        <f aca="false">05_Unit_Economics!$B$15*EXP((01_Inputs!$C$20-01_Inputs!$C$21^2/2)*01_Inputs!$C$22+01_Inputs!$C$21*SQRT(01_Inputs!$C$22)*B1130)</f>
        <v>99.2595444168226</v>
      </c>
      <c r="D1130" s="78" t="n">
        <f aca="false">MAX(C1130-05_Unit_Economics!$B$21,0)</f>
        <v>61.3519389423192</v>
      </c>
      <c r="E1130" s="78" t="n">
        <f aca="false">D1130*EXP(-01_Inputs!$C$20*01_Inputs!$C$22)</f>
        <v>58.7109807694971</v>
      </c>
      <c r="F1130" s="79"/>
    </row>
    <row r="1131" customFormat="false" ht="15" hidden="false" customHeight="false" outlineLevel="0" collapsed="false">
      <c r="A1131" s="76" t="n">
        <v>1120</v>
      </c>
      <c r="B1131" s="77" t="n">
        <v>-1.732945</v>
      </c>
      <c r="C1131" s="78" t="n">
        <f aca="false">05_Unit_Economics!$B$15*EXP((01_Inputs!$C$20-01_Inputs!$C$21^2/2)*01_Inputs!$C$22+01_Inputs!$C$21*SQRT(01_Inputs!$C$22)*B1131)</f>
        <v>29.5084475609808</v>
      </c>
      <c r="D1131" s="78" t="n">
        <f aca="false">MAX(C1131-05_Unit_Economics!$B$21,0)</f>
        <v>0</v>
      </c>
      <c r="E1131" s="78" t="n">
        <f aca="false">D1131*EXP(-01_Inputs!$C$20*01_Inputs!$C$22)</f>
        <v>0</v>
      </c>
      <c r="F1131" s="80" t="n">
        <f aca="false">AVERAGE(E1130:E1131)</f>
        <v>29.3554903847485</v>
      </c>
    </row>
    <row r="1132" customFormat="false" ht="15" hidden="false" customHeight="false" outlineLevel="0" collapsed="false">
      <c r="A1132" s="76" t="n">
        <v>1121</v>
      </c>
      <c r="B1132" s="77" t="n">
        <v>-0.828128</v>
      </c>
      <c r="C1132" s="78" t="n">
        <f aca="false">05_Unit_Economics!$B$15*EXP((01_Inputs!$C$20-01_Inputs!$C$21^2/2)*01_Inputs!$C$22+01_Inputs!$C$21*SQRT(01_Inputs!$C$22)*B1132)</f>
        <v>40.5024526019795</v>
      </c>
      <c r="D1132" s="78" t="n">
        <f aca="false">MAX(C1132-05_Unit_Economics!$B$21,0)</f>
        <v>2.59484712747605</v>
      </c>
      <c r="E1132" s="78" t="n">
        <f aca="false">D1132*EXP(-01_Inputs!$C$20*01_Inputs!$C$22)</f>
        <v>2.48314922767577</v>
      </c>
      <c r="F1132" s="79"/>
    </row>
    <row r="1133" customFormat="false" ht="15" hidden="false" customHeight="false" outlineLevel="0" collapsed="false">
      <c r="A1133" s="76" t="n">
        <v>1122</v>
      </c>
      <c r="B1133" s="77" t="n">
        <v>0.828128</v>
      </c>
      <c r="C1133" s="78" t="n">
        <f aca="false">05_Unit_Economics!$B$15*EXP((01_Inputs!$C$20-01_Inputs!$C$21^2/2)*01_Inputs!$C$22+01_Inputs!$C$21*SQRT(01_Inputs!$C$22)*B1133)</f>
        <v>72.3164863652603</v>
      </c>
      <c r="D1133" s="78" t="n">
        <f aca="false">MAX(C1133-05_Unit_Economics!$B$21,0)</f>
        <v>34.4088808907568</v>
      </c>
      <c r="E1133" s="78" t="n">
        <f aca="false">D1133*EXP(-01_Inputs!$C$20*01_Inputs!$C$22)</f>
        <v>32.9277147406284</v>
      </c>
      <c r="F1133" s="80" t="n">
        <f aca="false">AVERAGE(E1132:E1133)</f>
        <v>17.7054319841521</v>
      </c>
    </row>
    <row r="1134" customFormat="false" ht="15" hidden="false" customHeight="false" outlineLevel="0" collapsed="false">
      <c r="A1134" s="76" t="n">
        <v>1123</v>
      </c>
      <c r="B1134" s="77" t="n">
        <v>1.876821</v>
      </c>
      <c r="C1134" s="78" t="n">
        <f aca="false">05_Unit_Economics!$B$15*EXP((01_Inputs!$C$20-01_Inputs!$C$21^2/2)*01_Inputs!$C$22+01_Inputs!$C$21*SQRT(01_Inputs!$C$22)*B1134)</f>
        <v>104.385907463206</v>
      </c>
      <c r="D1134" s="78" t="n">
        <f aca="false">MAX(C1134-05_Unit_Economics!$B$21,0)</f>
        <v>66.4783019887028</v>
      </c>
      <c r="E1134" s="78" t="n">
        <f aca="false">D1134*EXP(-01_Inputs!$C$20*01_Inputs!$C$22)</f>
        <v>63.6166741741774</v>
      </c>
      <c r="F1134" s="79"/>
    </row>
    <row r="1135" customFormat="false" ht="15" hidden="false" customHeight="false" outlineLevel="0" collapsed="false">
      <c r="A1135" s="76" t="n">
        <v>1124</v>
      </c>
      <c r="B1135" s="77" t="n">
        <v>-1.876821</v>
      </c>
      <c r="C1135" s="78" t="n">
        <f aca="false">05_Unit_Economics!$B$15*EXP((01_Inputs!$C$20-01_Inputs!$C$21^2/2)*01_Inputs!$C$22+01_Inputs!$C$21*SQRT(01_Inputs!$C$22)*B1135)</f>
        <v>28.0592958621647</v>
      </c>
      <c r="D1135" s="78" t="n">
        <f aca="false">MAX(C1135-05_Unit_Economics!$B$21,0)</f>
        <v>0</v>
      </c>
      <c r="E1135" s="78" t="n">
        <f aca="false">D1135*EXP(-01_Inputs!$C$20*01_Inputs!$C$22)</f>
        <v>0</v>
      </c>
      <c r="F1135" s="80" t="n">
        <f aca="false">AVERAGE(E1134:E1135)</f>
        <v>31.8083370870887</v>
      </c>
    </row>
    <row r="1136" customFormat="false" ht="15" hidden="false" customHeight="false" outlineLevel="0" collapsed="false">
      <c r="A1136" s="76" t="n">
        <v>1125</v>
      </c>
      <c r="B1136" s="77" t="n">
        <v>-0.584319</v>
      </c>
      <c r="C1136" s="78" t="n">
        <f aca="false">05_Unit_Economics!$B$15*EXP((01_Inputs!$C$20-01_Inputs!$C$21^2/2)*01_Inputs!$C$22+01_Inputs!$C$21*SQRT(01_Inputs!$C$22)*B1136)</f>
        <v>44.1104043245075</v>
      </c>
      <c r="D1136" s="78" t="n">
        <f aca="false">MAX(C1136-05_Unit_Economics!$B$21,0)</f>
        <v>6.20279885000399</v>
      </c>
      <c r="E1136" s="78" t="n">
        <f aca="false">D1136*EXP(-01_Inputs!$C$20*01_Inputs!$C$22)</f>
        <v>5.93579290692059</v>
      </c>
      <c r="F1136" s="79"/>
    </row>
    <row r="1137" customFormat="false" ht="15" hidden="false" customHeight="false" outlineLevel="0" collapsed="false">
      <c r="A1137" s="76" t="n">
        <v>1126</v>
      </c>
      <c r="B1137" s="77" t="n">
        <v>0.584319</v>
      </c>
      <c r="C1137" s="78" t="n">
        <f aca="false">05_Unit_Economics!$B$15*EXP((01_Inputs!$C$20-01_Inputs!$C$21^2/2)*01_Inputs!$C$22+01_Inputs!$C$21*SQRT(01_Inputs!$C$22)*B1137)</f>
        <v>66.401455760933</v>
      </c>
      <c r="D1137" s="78" t="n">
        <f aca="false">MAX(C1137-05_Unit_Economics!$B$21,0)</f>
        <v>28.4938502864296</v>
      </c>
      <c r="E1137" s="78" t="n">
        <f aca="false">D1137*EXP(-01_Inputs!$C$20*01_Inputs!$C$22)</f>
        <v>27.2673027952433</v>
      </c>
      <c r="F1137" s="80" t="n">
        <f aca="false">AVERAGE(E1136:E1137)</f>
        <v>16.6015478510819</v>
      </c>
    </row>
    <row r="1138" customFormat="false" ht="15" hidden="false" customHeight="false" outlineLevel="0" collapsed="false">
      <c r="A1138" s="76" t="n">
        <v>1127</v>
      </c>
      <c r="B1138" s="77" t="n">
        <v>2.11548</v>
      </c>
      <c r="C1138" s="78" t="n">
        <f aca="false">05_Unit_Economics!$B$15*EXP((01_Inputs!$C$20-01_Inputs!$C$21^2/2)*01_Inputs!$C$22+01_Inputs!$C$21*SQRT(01_Inputs!$C$22)*B1138)</f>
        <v>113.479854792429</v>
      </c>
      <c r="D1138" s="78" t="n">
        <f aca="false">MAX(C1138-05_Unit_Economics!$B$21,0)</f>
        <v>75.5722493179256</v>
      </c>
      <c r="E1138" s="78" t="n">
        <f aca="false">D1138*EXP(-01_Inputs!$C$20*01_Inputs!$C$22)</f>
        <v>72.3191630599287</v>
      </c>
      <c r="F1138" s="79"/>
    </row>
    <row r="1139" customFormat="false" ht="15" hidden="false" customHeight="false" outlineLevel="0" collapsed="false">
      <c r="A1139" s="76" t="n">
        <v>1128</v>
      </c>
      <c r="B1139" s="77" t="n">
        <v>-2.11548</v>
      </c>
      <c r="C1139" s="78" t="n">
        <f aca="false">05_Unit_Economics!$B$15*EXP((01_Inputs!$C$20-01_Inputs!$C$21^2/2)*01_Inputs!$C$22+01_Inputs!$C$21*SQRT(01_Inputs!$C$22)*B1139)</f>
        <v>25.8107050516429</v>
      </c>
      <c r="D1139" s="78" t="n">
        <f aca="false">MAX(C1139-05_Unit_Economics!$B$21,0)</f>
        <v>0</v>
      </c>
      <c r="E1139" s="78" t="n">
        <f aca="false">D1139*EXP(-01_Inputs!$C$20*01_Inputs!$C$22)</f>
        <v>0</v>
      </c>
      <c r="F1139" s="80" t="n">
        <f aca="false">AVERAGE(E1138:E1139)</f>
        <v>36.1595815299643</v>
      </c>
    </row>
    <row r="1140" customFormat="false" ht="15" hidden="false" customHeight="false" outlineLevel="0" collapsed="false">
      <c r="A1140" s="76" t="n">
        <v>1129</v>
      </c>
      <c r="B1140" s="77" t="n">
        <v>-0.98072</v>
      </c>
      <c r="C1140" s="78" t="n">
        <f aca="false">05_Unit_Economics!$B$15*EXP((01_Inputs!$C$20-01_Inputs!$C$21^2/2)*01_Inputs!$C$22+01_Inputs!$C$21*SQRT(01_Inputs!$C$22)*B1140)</f>
        <v>38.396078437395</v>
      </c>
      <c r="D1140" s="78" t="n">
        <f aca="false">MAX(C1140-05_Unit_Economics!$B$21,0)</f>
        <v>0.488472962891521</v>
      </c>
      <c r="E1140" s="78" t="n">
        <f aca="false">D1140*EXP(-01_Inputs!$C$20*01_Inputs!$C$22)</f>
        <v>0.467446134957626</v>
      </c>
      <c r="F1140" s="79"/>
    </row>
    <row r="1141" customFormat="false" ht="15" hidden="false" customHeight="false" outlineLevel="0" collapsed="false">
      <c r="A1141" s="76" t="n">
        <v>1130</v>
      </c>
      <c r="B1141" s="77" t="n">
        <v>0.98072</v>
      </c>
      <c r="C1141" s="78" t="n">
        <f aca="false">05_Unit_Economics!$B$15*EXP((01_Inputs!$C$20-01_Inputs!$C$21^2/2)*01_Inputs!$C$22+01_Inputs!$C$21*SQRT(01_Inputs!$C$22)*B1141)</f>
        <v>76.2837034549347</v>
      </c>
      <c r="D1141" s="78" t="n">
        <f aca="false">MAX(C1141-05_Unit_Economics!$B$21,0)</f>
        <v>38.3760979804312</v>
      </c>
      <c r="E1141" s="78" t="n">
        <f aca="false">D1141*EXP(-01_Inputs!$C$20*01_Inputs!$C$22)</f>
        <v>36.7241588347471</v>
      </c>
      <c r="F1141" s="80" t="n">
        <f aca="false">AVERAGE(E1140:E1141)</f>
        <v>18.5958024848523</v>
      </c>
    </row>
    <row r="1142" customFormat="false" ht="15" hidden="false" customHeight="false" outlineLevel="0" collapsed="false">
      <c r="A1142" s="76" t="n">
        <v>1131</v>
      </c>
      <c r="B1142" s="77" t="n">
        <v>0.198442</v>
      </c>
      <c r="C1142" s="78" t="n">
        <f aca="false">05_Unit_Economics!$B$15*EXP((01_Inputs!$C$20-01_Inputs!$C$21^2/2)*01_Inputs!$C$22+01_Inputs!$C$21*SQRT(01_Inputs!$C$22)*B1142)</f>
        <v>58.0127045399746</v>
      </c>
      <c r="D1142" s="78" t="n">
        <f aca="false">MAX(C1142-05_Unit_Economics!$B$21,0)</f>
        <v>20.1050990654711</v>
      </c>
      <c r="E1142" s="78" t="n">
        <f aca="false">D1142*EXP(-01_Inputs!$C$20*01_Inputs!$C$22)</f>
        <v>19.2396541160902</v>
      </c>
      <c r="F1142" s="79"/>
    </row>
    <row r="1143" customFormat="false" ht="15" hidden="false" customHeight="false" outlineLevel="0" collapsed="false">
      <c r="A1143" s="76" t="n">
        <v>1132</v>
      </c>
      <c r="B1143" s="77" t="n">
        <v>-0.198442</v>
      </c>
      <c r="C1143" s="78" t="n">
        <f aca="false">05_Unit_Economics!$B$15*EXP((01_Inputs!$C$20-01_Inputs!$C$21^2/2)*01_Inputs!$C$22+01_Inputs!$C$21*SQRT(01_Inputs!$C$22)*B1143)</f>
        <v>50.4888555804596</v>
      </c>
      <c r="D1143" s="78" t="n">
        <f aca="false">MAX(C1143-05_Unit_Economics!$B$21,0)</f>
        <v>12.5812501059562</v>
      </c>
      <c r="E1143" s="78" t="n">
        <f aca="false">D1143*EXP(-01_Inputs!$C$20*01_Inputs!$C$22)</f>
        <v>12.0396770788529</v>
      </c>
      <c r="F1143" s="80" t="n">
        <f aca="false">AVERAGE(E1142:E1143)</f>
        <v>15.6396655974716</v>
      </c>
    </row>
    <row r="1144" customFormat="false" ht="15" hidden="false" customHeight="false" outlineLevel="0" collapsed="false">
      <c r="A1144" s="76" t="n">
        <v>1133</v>
      </c>
      <c r="B1144" s="77" t="n">
        <v>-1.352377</v>
      </c>
      <c r="C1144" s="78" t="n">
        <f aca="false">05_Unit_Economics!$B$15*EXP((01_Inputs!$C$20-01_Inputs!$C$21^2/2)*01_Inputs!$C$22+01_Inputs!$C$21*SQRT(01_Inputs!$C$22)*B1144)</f>
        <v>33.7127256009835</v>
      </c>
      <c r="D1144" s="78" t="n">
        <f aca="false">MAX(C1144-05_Unit_Economics!$B$21,0)</f>
        <v>0</v>
      </c>
      <c r="E1144" s="78" t="n">
        <f aca="false">D1144*EXP(-01_Inputs!$C$20*01_Inputs!$C$22)</f>
        <v>0</v>
      </c>
      <c r="F1144" s="79"/>
    </row>
    <row r="1145" customFormat="false" ht="15" hidden="false" customHeight="false" outlineLevel="0" collapsed="false">
      <c r="A1145" s="76" t="n">
        <v>1134</v>
      </c>
      <c r="B1145" s="77" t="n">
        <v>1.352377</v>
      </c>
      <c r="C1145" s="78" t="n">
        <f aca="false">05_Unit_Economics!$B$15*EXP((01_Inputs!$C$20-01_Inputs!$C$21^2/2)*01_Inputs!$C$22+01_Inputs!$C$21*SQRT(01_Inputs!$C$22)*B1145)</f>
        <v>86.8809925372871</v>
      </c>
      <c r="D1145" s="78" t="n">
        <f aca="false">MAX(C1145-05_Unit_Economics!$B$21,0)</f>
        <v>48.9733870627837</v>
      </c>
      <c r="E1145" s="78" t="n">
        <f aca="false">D1145*EXP(-01_Inputs!$C$20*01_Inputs!$C$22)</f>
        <v>46.8652765605901</v>
      </c>
      <c r="F1145" s="80" t="n">
        <f aca="false">AVERAGE(E1144:E1145)</f>
        <v>23.4326382802951</v>
      </c>
    </row>
    <row r="1146" customFormat="false" ht="15" hidden="false" customHeight="false" outlineLevel="0" collapsed="false">
      <c r="A1146" s="76" t="n">
        <v>1135</v>
      </c>
      <c r="B1146" s="77" t="n">
        <v>-1.489784</v>
      </c>
      <c r="C1146" s="78" t="n">
        <f aca="false">05_Unit_Economics!$B$15*EXP((01_Inputs!$C$20-01_Inputs!$C$21^2/2)*01_Inputs!$C$22+01_Inputs!$C$21*SQRT(01_Inputs!$C$22)*B1146)</f>
        <v>32.1297672904733</v>
      </c>
      <c r="D1146" s="78" t="n">
        <f aca="false">MAX(C1146-05_Unit_Economics!$B$21,0)</f>
        <v>0</v>
      </c>
      <c r="E1146" s="78" t="n">
        <f aca="false">D1146*EXP(-01_Inputs!$C$20*01_Inputs!$C$22)</f>
        <v>0</v>
      </c>
      <c r="F1146" s="79"/>
    </row>
    <row r="1147" customFormat="false" ht="15" hidden="false" customHeight="false" outlineLevel="0" collapsed="false">
      <c r="A1147" s="76" t="n">
        <v>1136</v>
      </c>
      <c r="B1147" s="77" t="n">
        <v>1.489784</v>
      </c>
      <c r="C1147" s="78" t="n">
        <f aca="false">05_Unit_Economics!$B$15*EXP((01_Inputs!$C$20-01_Inputs!$C$21^2/2)*01_Inputs!$C$22+01_Inputs!$C$21*SQRT(01_Inputs!$C$22)*B1147)</f>
        <v>91.1614153588695</v>
      </c>
      <c r="D1147" s="78" t="n">
        <f aca="false">MAX(C1147-05_Unit_Economics!$B$21,0)</f>
        <v>53.253809884366</v>
      </c>
      <c r="E1147" s="78" t="n">
        <f aca="false">D1147*EXP(-01_Inputs!$C$20*01_Inputs!$C$22)</f>
        <v>50.9614441193613</v>
      </c>
      <c r="F1147" s="80" t="n">
        <f aca="false">AVERAGE(E1146:E1147)</f>
        <v>25.4807220596807</v>
      </c>
    </row>
    <row r="1148" customFormat="false" ht="15" hidden="false" customHeight="false" outlineLevel="0" collapsed="false">
      <c r="A1148" s="76" t="n">
        <v>1137</v>
      </c>
      <c r="B1148" s="77" t="n">
        <v>-1.725534</v>
      </c>
      <c r="C1148" s="78" t="n">
        <f aca="false">05_Unit_Economics!$B$15*EXP((01_Inputs!$C$20-01_Inputs!$C$21^2/2)*01_Inputs!$C$22+01_Inputs!$C$21*SQRT(01_Inputs!$C$22)*B1148)</f>
        <v>29.5850874008414</v>
      </c>
      <c r="D1148" s="78" t="n">
        <f aca="false">MAX(C1148-05_Unit_Economics!$B$21,0)</f>
        <v>0</v>
      </c>
      <c r="E1148" s="78" t="n">
        <f aca="false">D1148*EXP(-01_Inputs!$C$20*01_Inputs!$C$22)</f>
        <v>0</v>
      </c>
      <c r="F1148" s="79"/>
    </row>
    <row r="1149" customFormat="false" ht="15" hidden="false" customHeight="false" outlineLevel="0" collapsed="false">
      <c r="A1149" s="76" t="n">
        <v>1138</v>
      </c>
      <c r="B1149" s="77" t="n">
        <v>1.725534</v>
      </c>
      <c r="C1149" s="78" t="n">
        <f aca="false">05_Unit_Economics!$B$15*EXP((01_Inputs!$C$20-01_Inputs!$C$21^2/2)*01_Inputs!$C$22+01_Inputs!$C$21*SQRT(01_Inputs!$C$22)*B1149)</f>
        <v>99.0024136709955</v>
      </c>
      <c r="D1149" s="78" t="n">
        <f aca="false">MAX(C1149-05_Unit_Economics!$B$21,0)</f>
        <v>61.094808196492</v>
      </c>
      <c r="E1149" s="78" t="n">
        <f aca="false">D1149*EXP(-01_Inputs!$C$20*01_Inputs!$C$22)</f>
        <v>58.4649184846897</v>
      </c>
      <c r="F1149" s="80" t="n">
        <f aca="false">AVERAGE(E1148:E1149)</f>
        <v>29.2324592423449</v>
      </c>
    </row>
    <row r="1150" customFormat="false" ht="15" hidden="false" customHeight="false" outlineLevel="0" collapsed="false">
      <c r="A1150" s="76" t="n">
        <v>1139</v>
      </c>
      <c r="B1150" s="77" t="n">
        <v>-0.363625</v>
      </c>
      <c r="C1150" s="78" t="n">
        <f aca="false">05_Unit_Economics!$B$15*EXP((01_Inputs!$C$20-01_Inputs!$C$21^2/2)*01_Inputs!$C$22+01_Inputs!$C$21*SQRT(01_Inputs!$C$22)*B1150)</f>
        <v>47.6526661041053</v>
      </c>
      <c r="D1150" s="78" t="n">
        <f aca="false">MAX(C1150-05_Unit_Economics!$B$21,0)</f>
        <v>9.74506062960179</v>
      </c>
      <c r="E1150" s="78" t="n">
        <f aca="false">D1150*EXP(-01_Inputs!$C$20*01_Inputs!$C$22)</f>
        <v>9.32557433531221</v>
      </c>
      <c r="F1150" s="79"/>
    </row>
    <row r="1151" customFormat="false" ht="15" hidden="false" customHeight="false" outlineLevel="0" collapsed="false">
      <c r="A1151" s="76" t="n">
        <v>1140</v>
      </c>
      <c r="B1151" s="77" t="n">
        <v>0.363625</v>
      </c>
      <c r="C1151" s="78" t="n">
        <f aca="false">05_Unit_Economics!$B$15*EXP((01_Inputs!$C$20-01_Inputs!$C$21^2/2)*01_Inputs!$C$22+01_Inputs!$C$21*SQRT(01_Inputs!$C$22)*B1151)</f>
        <v>61.4655023698311</v>
      </c>
      <c r="D1151" s="78" t="n">
        <f aca="false">MAX(C1151-05_Unit_Economics!$B$21,0)</f>
        <v>23.5578968953276</v>
      </c>
      <c r="E1151" s="78" t="n">
        <f aca="false">D1151*EXP(-01_Inputs!$C$20*01_Inputs!$C$22)</f>
        <v>22.5438226637258</v>
      </c>
      <c r="F1151" s="80" t="n">
        <f aca="false">AVERAGE(E1150:E1151)</f>
        <v>15.934698499519</v>
      </c>
    </row>
    <row r="1152" customFormat="false" ht="15" hidden="false" customHeight="false" outlineLevel="0" collapsed="false">
      <c r="A1152" s="76" t="n">
        <v>1141</v>
      </c>
      <c r="B1152" s="77" t="n">
        <v>0.478955</v>
      </c>
      <c r="C1152" s="78" t="n">
        <f aca="false">05_Unit_Economics!$B$15*EXP((01_Inputs!$C$20-01_Inputs!$C$21^2/2)*01_Inputs!$C$22+01_Inputs!$C$21*SQRT(01_Inputs!$C$22)*B1152)</f>
        <v>63.99734386266</v>
      </c>
      <c r="D1152" s="78" t="n">
        <f aca="false">MAX(C1152-05_Unit_Economics!$B$21,0)</f>
        <v>26.0897383881565</v>
      </c>
      <c r="E1152" s="78" t="n">
        <f aca="false">D1152*EXP(-01_Inputs!$C$20*01_Inputs!$C$22)</f>
        <v>24.9666783999828</v>
      </c>
      <c r="F1152" s="79"/>
    </row>
    <row r="1153" customFormat="false" ht="15" hidden="false" customHeight="false" outlineLevel="0" collapsed="false">
      <c r="A1153" s="76" t="n">
        <v>1142</v>
      </c>
      <c r="B1153" s="77" t="n">
        <v>-0.478955</v>
      </c>
      <c r="C1153" s="78" t="n">
        <f aca="false">05_Unit_Economics!$B$15*EXP((01_Inputs!$C$20-01_Inputs!$C$21^2/2)*01_Inputs!$C$22+01_Inputs!$C$21*SQRT(01_Inputs!$C$22)*B1153)</f>
        <v>45.7674472808802</v>
      </c>
      <c r="D1153" s="78" t="n">
        <f aca="false">MAX(C1153-05_Unit_Economics!$B$21,0)</f>
        <v>7.85984180637674</v>
      </c>
      <c r="E1153" s="78" t="n">
        <f aca="false">D1153*EXP(-01_Inputs!$C$20*01_Inputs!$C$22)</f>
        <v>7.52150672172432</v>
      </c>
      <c r="F1153" s="80" t="n">
        <f aca="false">AVERAGE(E1152:E1153)</f>
        <v>16.2440925608536</v>
      </c>
    </row>
    <row r="1154" customFormat="false" ht="15" hidden="false" customHeight="false" outlineLevel="0" collapsed="false">
      <c r="A1154" s="76" t="n">
        <v>1143</v>
      </c>
      <c r="B1154" s="77" t="n">
        <v>0.830457</v>
      </c>
      <c r="C1154" s="78" t="n">
        <f aca="false">05_Unit_Economics!$B$15*EXP((01_Inputs!$C$20-01_Inputs!$C$21^2/2)*01_Inputs!$C$22+01_Inputs!$C$21*SQRT(01_Inputs!$C$22)*B1154)</f>
        <v>72.3754591817011</v>
      </c>
      <c r="D1154" s="78" t="n">
        <f aca="false">MAX(C1154-05_Unit_Economics!$B$21,0)</f>
        <v>34.4678537071976</v>
      </c>
      <c r="E1154" s="78" t="n">
        <f aca="false">D1154*EXP(-01_Inputs!$C$20*01_Inputs!$C$22)</f>
        <v>32.9841490107048</v>
      </c>
      <c r="F1154" s="79"/>
    </row>
    <row r="1155" customFormat="false" ht="15" hidden="false" customHeight="false" outlineLevel="0" collapsed="false">
      <c r="A1155" s="76" t="n">
        <v>1144</v>
      </c>
      <c r="B1155" s="77" t="n">
        <v>-0.830457</v>
      </c>
      <c r="C1155" s="78" t="n">
        <f aca="false">05_Unit_Economics!$B$15*EXP((01_Inputs!$C$20-01_Inputs!$C$21^2/2)*01_Inputs!$C$22+01_Inputs!$C$21*SQRT(01_Inputs!$C$22)*B1155)</f>
        <v>40.4694504804081</v>
      </c>
      <c r="D1155" s="78" t="n">
        <f aca="false">MAX(C1155-05_Unit_Economics!$B$21,0)</f>
        <v>2.56184500590466</v>
      </c>
      <c r="E1155" s="78" t="n">
        <f aca="false">D1155*EXP(-01_Inputs!$C$20*01_Inputs!$C$22)</f>
        <v>2.45156771683302</v>
      </c>
      <c r="F1155" s="80" t="n">
        <f aca="false">AVERAGE(E1154:E1155)</f>
        <v>17.7178583637689</v>
      </c>
    </row>
    <row r="1156" customFormat="false" ht="15" hidden="false" customHeight="false" outlineLevel="0" collapsed="false">
      <c r="A1156" s="76" t="n">
        <v>1145</v>
      </c>
      <c r="B1156" s="77" t="n">
        <v>0.003738</v>
      </c>
      <c r="C1156" s="78" t="n">
        <f aca="false">05_Unit_Economics!$B$15*EXP((01_Inputs!$C$20-01_Inputs!$C$21^2/2)*01_Inputs!$C$22+01_Inputs!$C$21*SQRT(01_Inputs!$C$22)*B1156)</f>
        <v>54.1910426675995</v>
      </c>
      <c r="D1156" s="78" t="n">
        <f aca="false">MAX(C1156-05_Unit_Economics!$B$21,0)</f>
        <v>16.2834371930961</v>
      </c>
      <c r="E1156" s="78" t="n">
        <f aca="false">D1156*EXP(-01_Inputs!$C$20*01_Inputs!$C$22)</f>
        <v>15.5824996631971</v>
      </c>
      <c r="F1156" s="79"/>
    </row>
    <row r="1157" customFormat="false" ht="15" hidden="false" customHeight="false" outlineLevel="0" collapsed="false">
      <c r="A1157" s="76" t="n">
        <v>1146</v>
      </c>
      <c r="B1157" s="77" t="n">
        <v>-0.003738</v>
      </c>
      <c r="C1157" s="78" t="n">
        <f aca="false">05_Unit_Economics!$B$15*EXP((01_Inputs!$C$20-01_Inputs!$C$21^2/2)*01_Inputs!$C$22+01_Inputs!$C$21*SQRT(01_Inputs!$C$22)*B1157)</f>
        <v>54.0494317357337</v>
      </c>
      <c r="D1157" s="78" t="n">
        <f aca="false">MAX(C1157-05_Unit_Economics!$B$21,0)</f>
        <v>16.1418262612302</v>
      </c>
      <c r="E1157" s="78" t="n">
        <f aca="false">D1157*EXP(-01_Inputs!$C$20*01_Inputs!$C$22)</f>
        <v>15.4469845215266</v>
      </c>
      <c r="F1157" s="80" t="n">
        <f aca="false">AVERAGE(E1156:E1157)</f>
        <v>15.5147420923618</v>
      </c>
    </row>
    <row r="1158" customFormat="false" ht="15" hidden="false" customHeight="false" outlineLevel="0" collapsed="false">
      <c r="A1158" s="76" t="n">
        <v>1147</v>
      </c>
      <c r="B1158" s="77" t="n">
        <v>-0.736977</v>
      </c>
      <c r="C1158" s="78" t="n">
        <f aca="false">05_Unit_Economics!$B$15*EXP((01_Inputs!$C$20-01_Inputs!$C$21^2/2)*01_Inputs!$C$22+01_Inputs!$C$21*SQRT(01_Inputs!$C$22)*B1158)</f>
        <v>41.8154287530954</v>
      </c>
      <c r="D1158" s="78" t="n">
        <f aca="false">MAX(C1158-05_Unit_Economics!$B$21,0)</f>
        <v>3.90782327859191</v>
      </c>
      <c r="E1158" s="78" t="n">
        <f aca="false">D1158*EXP(-01_Inputs!$C$20*01_Inputs!$C$22)</f>
        <v>3.73960695155382</v>
      </c>
      <c r="F1158" s="79"/>
    </row>
    <row r="1159" customFormat="false" ht="15" hidden="false" customHeight="false" outlineLevel="0" collapsed="false">
      <c r="A1159" s="76" t="n">
        <v>1148</v>
      </c>
      <c r="B1159" s="77" t="n">
        <v>0.736977</v>
      </c>
      <c r="C1159" s="78" t="n">
        <f aca="false">05_Unit_Economics!$B$15*EXP((01_Inputs!$C$20-01_Inputs!$C$21^2/2)*01_Inputs!$C$22+01_Inputs!$C$21*SQRT(01_Inputs!$C$22)*B1159)</f>
        <v>70.0457976562977</v>
      </c>
      <c r="D1159" s="78" t="n">
        <f aca="false">MAX(C1159-05_Unit_Economics!$B$21,0)</f>
        <v>32.1381921817942</v>
      </c>
      <c r="E1159" s="78" t="n">
        <f aca="false">D1159*EXP(-01_Inputs!$C$20*01_Inputs!$C$22)</f>
        <v>30.7547701943973</v>
      </c>
      <c r="F1159" s="80" t="n">
        <f aca="false">AVERAGE(E1158:E1159)</f>
        <v>17.2471885729756</v>
      </c>
    </row>
    <row r="1160" customFormat="false" ht="15" hidden="false" customHeight="false" outlineLevel="0" collapsed="false">
      <c r="A1160" s="76" t="n">
        <v>1149</v>
      </c>
      <c r="B1160" s="77" t="n">
        <v>0.344475</v>
      </c>
      <c r="C1160" s="78" t="n">
        <f aca="false">05_Unit_Economics!$B$15*EXP((01_Inputs!$C$20-01_Inputs!$C$21^2/2)*01_Inputs!$C$22+01_Inputs!$C$21*SQRT(01_Inputs!$C$22)*B1160)</f>
        <v>61.0549073837571</v>
      </c>
      <c r="D1160" s="78" t="n">
        <f aca="false">MAX(C1160-05_Unit_Economics!$B$21,0)</f>
        <v>23.1473019092536</v>
      </c>
      <c r="E1160" s="78" t="n">
        <f aca="false">D1160*EXP(-01_Inputs!$C$20*01_Inputs!$C$22)</f>
        <v>22.1509021668837</v>
      </c>
      <c r="F1160" s="79"/>
    </row>
    <row r="1161" customFormat="false" ht="15" hidden="false" customHeight="false" outlineLevel="0" collapsed="false">
      <c r="A1161" s="76" t="n">
        <v>1150</v>
      </c>
      <c r="B1161" s="77" t="n">
        <v>-0.344475</v>
      </c>
      <c r="C1161" s="78" t="n">
        <f aca="false">05_Unit_Economics!$B$15*EXP((01_Inputs!$C$20-01_Inputs!$C$21^2/2)*01_Inputs!$C$22+01_Inputs!$C$21*SQRT(01_Inputs!$C$22)*B1161)</f>
        <v>47.9731308564703</v>
      </c>
      <c r="D1161" s="78" t="n">
        <f aca="false">MAX(C1161-05_Unit_Economics!$B$21,0)</f>
        <v>10.0655253819668</v>
      </c>
      <c r="E1161" s="78" t="n">
        <f aca="false">D1161*EXP(-01_Inputs!$C$20*01_Inputs!$C$22)</f>
        <v>9.63224434831853</v>
      </c>
      <c r="F1161" s="80" t="n">
        <f aca="false">AVERAGE(E1160:E1161)</f>
        <v>15.8915732576011</v>
      </c>
    </row>
    <row r="1162" customFormat="false" ht="15" hidden="false" customHeight="false" outlineLevel="0" collapsed="false">
      <c r="A1162" s="76" t="n">
        <v>1151</v>
      </c>
      <c r="B1162" s="77" t="n">
        <v>0.404564</v>
      </c>
      <c r="C1162" s="78" t="n">
        <f aca="false">05_Unit_Economics!$B$15*EXP((01_Inputs!$C$20-01_Inputs!$C$21^2/2)*01_Inputs!$C$22+01_Inputs!$C$21*SQRT(01_Inputs!$C$22)*B1162)</f>
        <v>62.352560032974</v>
      </c>
      <c r="D1162" s="78" t="n">
        <f aca="false">MAX(C1162-05_Unit_Economics!$B$21,0)</f>
        <v>24.4449545584706</v>
      </c>
      <c r="E1162" s="78" t="n">
        <f aca="false">D1162*EXP(-01_Inputs!$C$20*01_Inputs!$C$22)</f>
        <v>23.3926960049772</v>
      </c>
      <c r="F1162" s="79"/>
    </row>
    <row r="1163" customFormat="false" ht="15" hidden="false" customHeight="false" outlineLevel="0" collapsed="false">
      <c r="A1163" s="76" t="n">
        <v>1152</v>
      </c>
      <c r="B1163" s="77" t="n">
        <v>-0.404564</v>
      </c>
      <c r="C1163" s="78" t="n">
        <f aca="false">05_Unit_Economics!$B$15*EXP((01_Inputs!$C$20-01_Inputs!$C$21^2/2)*01_Inputs!$C$22+01_Inputs!$C$21*SQRT(01_Inputs!$C$22)*B1163)</f>
        <v>46.9747362386036</v>
      </c>
      <c r="D1163" s="78" t="n">
        <f aca="false">MAX(C1163-05_Unit_Economics!$B$21,0)</f>
        <v>9.06713076410014</v>
      </c>
      <c r="E1163" s="78" t="n">
        <f aca="false">D1163*EXP(-01_Inputs!$C$20*01_Inputs!$C$22)</f>
        <v>8.67682666763124</v>
      </c>
      <c r="F1163" s="80" t="n">
        <f aca="false">AVERAGE(E1162:E1163)</f>
        <v>16.0347613363042</v>
      </c>
    </row>
    <row r="1164" customFormat="false" ht="15" hidden="false" customHeight="false" outlineLevel="0" collapsed="false">
      <c r="A1164" s="76" t="n">
        <v>1153</v>
      </c>
      <c r="B1164" s="77" t="n">
        <v>0.312172</v>
      </c>
      <c r="C1164" s="78" t="n">
        <f aca="false">05_Unit_Economics!$B$15*EXP((01_Inputs!$C$20-01_Inputs!$C$21^2/2)*01_Inputs!$C$22+01_Inputs!$C$21*SQRT(01_Inputs!$C$22)*B1164)</f>
        <v>60.3685051090497</v>
      </c>
      <c r="D1164" s="78" t="n">
        <f aca="false">MAX(C1164-05_Unit_Economics!$B$21,0)</f>
        <v>22.4608996345462</v>
      </c>
      <c r="E1164" s="78" t="n">
        <f aca="false">D1164*EXP(-01_Inputs!$C$20*01_Inputs!$C$22)</f>
        <v>21.4940467936839</v>
      </c>
      <c r="F1164" s="79"/>
    </row>
    <row r="1165" customFormat="false" ht="15" hidden="false" customHeight="false" outlineLevel="0" collapsed="false">
      <c r="A1165" s="76" t="n">
        <v>1154</v>
      </c>
      <c r="B1165" s="77" t="n">
        <v>-0.312172</v>
      </c>
      <c r="C1165" s="78" t="n">
        <f aca="false">05_Unit_Economics!$B$15*EXP((01_Inputs!$C$20-01_Inputs!$C$21^2/2)*01_Inputs!$C$22+01_Inputs!$C$21*SQRT(01_Inputs!$C$22)*B1165)</f>
        <v>48.5185951856803</v>
      </c>
      <c r="D1165" s="78" t="n">
        <f aca="false">MAX(C1165-05_Unit_Economics!$B$21,0)</f>
        <v>10.6109897111768</v>
      </c>
      <c r="E1165" s="78" t="n">
        <f aca="false">D1165*EXP(-01_Inputs!$C$20*01_Inputs!$C$22)</f>
        <v>10.1542285968164</v>
      </c>
      <c r="F1165" s="80" t="n">
        <f aca="false">AVERAGE(E1164:E1165)</f>
        <v>15.8241376952502</v>
      </c>
    </row>
    <row r="1166" customFormat="false" ht="15" hidden="false" customHeight="false" outlineLevel="0" collapsed="false">
      <c r="A1166" s="76" t="n">
        <v>1155</v>
      </c>
      <c r="B1166" s="77" t="n">
        <v>0.33409</v>
      </c>
      <c r="C1166" s="78" t="n">
        <f aca="false">05_Unit_Economics!$B$15*EXP((01_Inputs!$C$20-01_Inputs!$C$21^2/2)*01_Inputs!$C$22+01_Inputs!$C$21*SQRT(01_Inputs!$C$22)*B1166)</f>
        <v>60.8333908815758</v>
      </c>
      <c r="D1166" s="78" t="n">
        <f aca="false">MAX(C1166-05_Unit_Economics!$B$21,0)</f>
        <v>22.9257854070724</v>
      </c>
      <c r="E1166" s="78" t="n">
        <f aca="false">D1166*EXP(-01_Inputs!$C$20*01_Inputs!$C$22)</f>
        <v>21.9389210734757</v>
      </c>
      <c r="F1166" s="79"/>
    </row>
    <row r="1167" customFormat="false" ht="15" hidden="false" customHeight="false" outlineLevel="0" collapsed="false">
      <c r="A1167" s="76" t="n">
        <v>1156</v>
      </c>
      <c r="B1167" s="77" t="n">
        <v>-0.33409</v>
      </c>
      <c r="C1167" s="78" t="n">
        <f aca="false">05_Unit_Economics!$B$15*EXP((01_Inputs!$C$20-01_Inputs!$C$21^2/2)*01_Inputs!$C$22+01_Inputs!$C$21*SQRT(01_Inputs!$C$22)*B1167)</f>
        <v>48.1478184744381</v>
      </c>
      <c r="D1167" s="78" t="n">
        <f aca="false">MAX(C1167-05_Unit_Economics!$B$21,0)</f>
        <v>10.2402129999347</v>
      </c>
      <c r="E1167" s="78" t="n">
        <f aca="false">D1167*EXP(-01_Inputs!$C$20*01_Inputs!$C$22)</f>
        <v>9.79941235565441</v>
      </c>
      <c r="F1167" s="80" t="n">
        <f aca="false">AVERAGE(E1166:E1167)</f>
        <v>15.8691667145651</v>
      </c>
    </row>
    <row r="1168" customFormat="false" ht="15" hidden="false" customHeight="false" outlineLevel="0" collapsed="false">
      <c r="A1168" s="76" t="n">
        <v>1157</v>
      </c>
      <c r="B1168" s="77" t="n">
        <v>1.506704</v>
      </c>
      <c r="C1168" s="78" t="n">
        <f aca="false">05_Unit_Economics!$B$15*EXP((01_Inputs!$C$20-01_Inputs!$C$21^2/2)*01_Inputs!$C$22+01_Inputs!$C$21*SQRT(01_Inputs!$C$22)*B1168)</f>
        <v>91.702874940026</v>
      </c>
      <c r="D1168" s="78" t="n">
        <f aca="false">MAX(C1168-05_Unit_Economics!$B$21,0)</f>
        <v>53.7952694655226</v>
      </c>
      <c r="E1168" s="78" t="n">
        <f aca="false">D1168*EXP(-01_Inputs!$C$20*01_Inputs!$C$22)</f>
        <v>51.4795960083608</v>
      </c>
      <c r="F1168" s="79"/>
    </row>
    <row r="1169" customFormat="false" ht="15" hidden="false" customHeight="false" outlineLevel="0" collapsed="false">
      <c r="A1169" s="76" t="n">
        <v>1158</v>
      </c>
      <c r="B1169" s="77" t="n">
        <v>-1.506704</v>
      </c>
      <c r="C1169" s="78" t="n">
        <f aca="false">05_Unit_Economics!$B$15*EXP((01_Inputs!$C$20-01_Inputs!$C$21^2/2)*01_Inputs!$C$22+01_Inputs!$C$21*SQRT(01_Inputs!$C$22)*B1169)</f>
        <v>31.9400570948972</v>
      </c>
      <c r="D1169" s="78" t="n">
        <f aca="false">MAX(C1169-05_Unit_Economics!$B$21,0)</f>
        <v>0</v>
      </c>
      <c r="E1169" s="78" t="n">
        <f aca="false">D1169*EXP(-01_Inputs!$C$20*01_Inputs!$C$22)</f>
        <v>0</v>
      </c>
      <c r="F1169" s="80" t="n">
        <f aca="false">AVERAGE(E1168:E1169)</f>
        <v>25.7397980041804</v>
      </c>
    </row>
    <row r="1170" customFormat="false" ht="15" hidden="false" customHeight="false" outlineLevel="0" collapsed="false">
      <c r="A1170" s="76" t="n">
        <v>1159</v>
      </c>
      <c r="B1170" s="77" t="n">
        <v>-0.60736</v>
      </c>
      <c r="C1170" s="78" t="n">
        <f aca="false">05_Unit_Economics!$B$15*EXP((01_Inputs!$C$20-01_Inputs!$C$21^2/2)*01_Inputs!$C$22+01_Inputs!$C$21*SQRT(01_Inputs!$C$22)*B1170)</f>
        <v>43.7561130698048</v>
      </c>
      <c r="D1170" s="78" t="n">
        <f aca="false">MAX(C1170-05_Unit_Economics!$B$21,0)</f>
        <v>5.84850759530131</v>
      </c>
      <c r="E1170" s="78" t="n">
        <f aca="false">D1170*EXP(-01_Inputs!$C$20*01_Inputs!$C$22)</f>
        <v>5.59675248863476</v>
      </c>
      <c r="F1170" s="79"/>
    </row>
    <row r="1171" customFormat="false" ht="15" hidden="false" customHeight="false" outlineLevel="0" collapsed="false">
      <c r="A1171" s="76" t="n">
        <v>1160</v>
      </c>
      <c r="B1171" s="77" t="n">
        <v>0.60736</v>
      </c>
      <c r="C1171" s="78" t="n">
        <f aca="false">05_Unit_Economics!$B$15*EXP((01_Inputs!$C$20-01_Inputs!$C$21^2/2)*01_Inputs!$C$22+01_Inputs!$C$21*SQRT(01_Inputs!$C$22)*B1171)</f>
        <v>66.9391053240488</v>
      </c>
      <c r="D1171" s="78" t="n">
        <f aca="false">MAX(C1171-05_Unit_Economics!$B$21,0)</f>
        <v>29.0314998495454</v>
      </c>
      <c r="E1171" s="78" t="n">
        <f aca="false">D1171*EXP(-01_Inputs!$C$20*01_Inputs!$C$22)</f>
        <v>27.7818086724006</v>
      </c>
      <c r="F1171" s="80" t="n">
        <f aca="false">AVERAGE(E1170:E1171)</f>
        <v>16.6892805805177</v>
      </c>
    </row>
    <row r="1172" customFormat="false" ht="15" hidden="false" customHeight="false" outlineLevel="0" collapsed="false">
      <c r="A1172" s="76" t="n">
        <v>1161</v>
      </c>
      <c r="B1172" s="77" t="n">
        <v>-1.092758</v>
      </c>
      <c r="C1172" s="78" t="n">
        <f aca="false">05_Unit_Economics!$B$15*EXP((01_Inputs!$C$20-01_Inputs!$C$21^2/2)*01_Inputs!$C$22+01_Inputs!$C$21*SQRT(01_Inputs!$C$22)*B1172)</f>
        <v>36.9195798792932</v>
      </c>
      <c r="D1172" s="78" t="n">
        <f aca="false">MAX(C1172-05_Unit_Economics!$B$21,0)</f>
        <v>0</v>
      </c>
      <c r="E1172" s="78" t="n">
        <f aca="false">D1172*EXP(-01_Inputs!$C$20*01_Inputs!$C$22)</f>
        <v>0</v>
      </c>
      <c r="F1172" s="79"/>
    </row>
    <row r="1173" customFormat="false" ht="15" hidden="false" customHeight="false" outlineLevel="0" collapsed="false">
      <c r="A1173" s="76" t="n">
        <v>1162</v>
      </c>
      <c r="B1173" s="77" t="n">
        <v>1.092758</v>
      </c>
      <c r="C1173" s="78" t="n">
        <f aca="false">05_Unit_Economics!$B$15*EXP((01_Inputs!$C$20-01_Inputs!$C$21^2/2)*01_Inputs!$C$22+01_Inputs!$C$21*SQRT(01_Inputs!$C$22)*B1173)</f>
        <v>79.334463472414</v>
      </c>
      <c r="D1173" s="78" t="n">
        <f aca="false">MAX(C1173-05_Unit_Economics!$B$21,0)</f>
        <v>41.4268579979105</v>
      </c>
      <c r="E1173" s="78" t="n">
        <f aca="false">D1173*EXP(-01_Inputs!$C$20*01_Inputs!$C$22)</f>
        <v>39.6435957067744</v>
      </c>
      <c r="F1173" s="80" t="n">
        <f aca="false">AVERAGE(E1172:E1173)</f>
        <v>19.8217978533872</v>
      </c>
    </row>
    <row r="1174" customFormat="false" ht="15" hidden="false" customHeight="false" outlineLevel="0" collapsed="false">
      <c r="A1174" s="76" t="n">
        <v>1163</v>
      </c>
      <c r="B1174" s="77" t="n">
        <v>0.685383</v>
      </c>
      <c r="C1174" s="78" t="n">
        <f aca="false">05_Unit_Economics!$B$15*EXP((01_Inputs!$C$20-01_Inputs!$C$21^2/2)*01_Inputs!$C$22+01_Inputs!$C$21*SQRT(01_Inputs!$C$22)*B1174)</f>
        <v>68.7922697507393</v>
      </c>
      <c r="D1174" s="78" t="n">
        <f aca="false">MAX(C1174-05_Unit_Economics!$B$21,0)</f>
        <v>30.8846642762358</v>
      </c>
      <c r="E1174" s="78" t="n">
        <f aca="false">D1174*EXP(-01_Inputs!$C$20*01_Inputs!$C$22)</f>
        <v>29.5552017043703</v>
      </c>
      <c r="F1174" s="79"/>
    </row>
    <row r="1175" customFormat="false" ht="15" hidden="false" customHeight="false" outlineLevel="0" collapsed="false">
      <c r="A1175" s="76" t="n">
        <v>1164</v>
      </c>
      <c r="B1175" s="77" t="n">
        <v>-0.685383</v>
      </c>
      <c r="C1175" s="78" t="n">
        <f aca="false">05_Unit_Economics!$B$15*EXP((01_Inputs!$C$20-01_Inputs!$C$21^2/2)*01_Inputs!$C$22+01_Inputs!$C$21*SQRT(01_Inputs!$C$22)*B1175)</f>
        <v>42.5773865575816</v>
      </c>
      <c r="D1175" s="78" t="n">
        <f aca="false">MAX(C1175-05_Unit_Economics!$B$21,0)</f>
        <v>4.66978108307811</v>
      </c>
      <c r="E1175" s="78" t="n">
        <f aca="false">D1175*EXP(-01_Inputs!$C$20*01_Inputs!$C$22)</f>
        <v>4.46876548798437</v>
      </c>
      <c r="F1175" s="80" t="n">
        <f aca="false">AVERAGE(E1174:E1175)</f>
        <v>17.0119835961773</v>
      </c>
    </row>
    <row r="1176" customFormat="false" ht="15" hidden="false" customHeight="false" outlineLevel="0" collapsed="false">
      <c r="A1176" s="76" t="n">
        <v>1165</v>
      </c>
      <c r="B1176" s="77" t="n">
        <v>0.288015</v>
      </c>
      <c r="C1176" s="78" t="n">
        <f aca="false">05_Unit_Economics!$B$15*EXP((01_Inputs!$C$20-01_Inputs!$C$21^2/2)*01_Inputs!$C$22+01_Inputs!$C$21*SQRT(01_Inputs!$C$22)*B1176)</f>
        <v>59.8602441052644</v>
      </c>
      <c r="D1176" s="78" t="n">
        <f aca="false">MAX(C1176-05_Unit_Economics!$B$21,0)</f>
        <v>21.9526386307609</v>
      </c>
      <c r="E1176" s="78" t="n">
        <f aca="false">D1176*EXP(-01_Inputs!$C$20*01_Inputs!$C$22)</f>
        <v>21.0076644146823</v>
      </c>
      <c r="F1176" s="79"/>
    </row>
    <row r="1177" customFormat="false" ht="15" hidden="false" customHeight="false" outlineLevel="0" collapsed="false">
      <c r="A1177" s="76" t="n">
        <v>1166</v>
      </c>
      <c r="B1177" s="77" t="n">
        <v>-0.288015</v>
      </c>
      <c r="C1177" s="78" t="n">
        <f aca="false">05_Unit_Economics!$B$15*EXP((01_Inputs!$C$20-01_Inputs!$C$21^2/2)*01_Inputs!$C$22+01_Inputs!$C$21*SQRT(01_Inputs!$C$22)*B1177)</f>
        <v>48.9305565844337</v>
      </c>
      <c r="D1177" s="78" t="n">
        <f aca="false">MAX(C1177-05_Unit_Economics!$B$21,0)</f>
        <v>11.0229511099302</v>
      </c>
      <c r="E1177" s="78" t="n">
        <f aca="false">D1177*EXP(-01_Inputs!$C$20*01_Inputs!$C$22)</f>
        <v>10.5484566876796</v>
      </c>
      <c r="F1177" s="80" t="n">
        <f aca="false">AVERAGE(E1176:E1177)</f>
        <v>15.778060551181</v>
      </c>
    </row>
    <row r="1178" customFormat="false" ht="15" hidden="false" customHeight="false" outlineLevel="0" collapsed="false">
      <c r="A1178" s="76" t="n">
        <v>1167</v>
      </c>
      <c r="B1178" s="77" t="n">
        <v>-0.201536</v>
      </c>
      <c r="C1178" s="78" t="n">
        <f aca="false">05_Unit_Economics!$B$15*EXP((01_Inputs!$C$20-01_Inputs!$C$21^2/2)*01_Inputs!$C$22+01_Inputs!$C$21*SQRT(01_Inputs!$C$22)*B1178)</f>
        <v>50.4342107915126</v>
      </c>
      <c r="D1178" s="78" t="n">
        <f aca="false">MAX(C1178-05_Unit_Economics!$B$21,0)</f>
        <v>12.5266053170091</v>
      </c>
      <c r="E1178" s="78" t="n">
        <f aca="false">D1178*EXP(-01_Inputs!$C$20*01_Inputs!$C$22)</f>
        <v>11.9873845318148</v>
      </c>
      <c r="F1178" s="79"/>
    </row>
    <row r="1179" customFormat="false" ht="15" hidden="false" customHeight="false" outlineLevel="0" collapsed="false">
      <c r="A1179" s="76" t="n">
        <v>1168</v>
      </c>
      <c r="B1179" s="77" t="n">
        <v>0.201536</v>
      </c>
      <c r="C1179" s="78" t="n">
        <f aca="false">05_Unit_Economics!$B$15*EXP((01_Inputs!$C$20-01_Inputs!$C$21^2/2)*01_Inputs!$C$22+01_Inputs!$C$21*SQRT(01_Inputs!$C$22)*B1179)</f>
        <v>58.0755605249515</v>
      </c>
      <c r="D1179" s="78" t="n">
        <f aca="false">MAX(C1179-05_Unit_Economics!$B$21,0)</f>
        <v>20.1679550504481</v>
      </c>
      <c r="E1179" s="78" t="n">
        <f aca="false">D1179*EXP(-01_Inputs!$C$20*01_Inputs!$C$22)</f>
        <v>19.2998043996648</v>
      </c>
      <c r="F1179" s="80" t="n">
        <f aca="false">AVERAGE(E1178:E1179)</f>
        <v>15.6435944657398</v>
      </c>
    </row>
    <row r="1180" customFormat="false" ht="15" hidden="false" customHeight="false" outlineLevel="0" collapsed="false">
      <c r="A1180" s="76" t="n">
        <v>1169</v>
      </c>
      <c r="B1180" s="77" t="n">
        <v>-0.906509</v>
      </c>
      <c r="C1180" s="78" t="n">
        <f aca="false">05_Unit_Economics!$B$15*EXP((01_Inputs!$C$20-01_Inputs!$C$21^2/2)*01_Inputs!$C$22+01_Inputs!$C$21*SQRT(01_Inputs!$C$22)*B1180)</f>
        <v>39.4064370692937</v>
      </c>
      <c r="D1180" s="78" t="n">
        <f aca="false">MAX(C1180-05_Unit_Economics!$B$21,0)</f>
        <v>1.4988315947902</v>
      </c>
      <c r="E1180" s="78" t="n">
        <f aca="false">D1180*EXP(-01_Inputs!$C$20*01_Inputs!$C$22)</f>
        <v>1.43431282622012</v>
      </c>
      <c r="F1180" s="79"/>
    </row>
    <row r="1181" customFormat="false" ht="15" hidden="false" customHeight="false" outlineLevel="0" collapsed="false">
      <c r="A1181" s="76" t="n">
        <v>1170</v>
      </c>
      <c r="B1181" s="77" t="n">
        <v>0.906509</v>
      </c>
      <c r="C1181" s="78" t="n">
        <f aca="false">05_Unit_Economics!$B$15*EXP((01_Inputs!$C$20-01_Inputs!$C$21^2/2)*01_Inputs!$C$22+01_Inputs!$C$21*SQRT(01_Inputs!$C$22)*B1181)</f>
        <v>74.3278326888626</v>
      </c>
      <c r="D1181" s="78" t="n">
        <f aca="false">MAX(C1181-05_Unit_Economics!$B$21,0)</f>
        <v>36.4202272143591</v>
      </c>
      <c r="E1181" s="78" t="n">
        <f aca="false">D1181*EXP(-01_Inputs!$C$20*01_Inputs!$C$22)</f>
        <v>34.8524805648485</v>
      </c>
      <c r="F1181" s="80" t="n">
        <f aca="false">AVERAGE(E1180:E1181)</f>
        <v>18.1433966955343</v>
      </c>
    </row>
    <row r="1182" customFormat="false" ht="15" hidden="false" customHeight="false" outlineLevel="0" collapsed="false">
      <c r="A1182" s="76" t="n">
        <v>1171</v>
      </c>
      <c r="B1182" s="77" t="n">
        <v>0.757462</v>
      </c>
      <c r="C1182" s="78" t="n">
        <f aca="false">05_Unit_Economics!$B$15*EXP((01_Inputs!$C$20-01_Inputs!$C$21^2/2)*01_Inputs!$C$22+01_Inputs!$C$21*SQRT(01_Inputs!$C$22)*B1182)</f>
        <v>70.5498131876339</v>
      </c>
      <c r="D1182" s="78" t="n">
        <f aca="false">MAX(C1182-05_Unit_Economics!$B$21,0)</f>
        <v>32.6422077131305</v>
      </c>
      <c r="E1182" s="78" t="n">
        <f aca="false">D1182*EXP(-01_Inputs!$C$20*01_Inputs!$C$22)</f>
        <v>31.2370898517374</v>
      </c>
      <c r="F1182" s="79"/>
    </row>
    <row r="1183" customFormat="false" ht="15" hidden="false" customHeight="false" outlineLevel="0" collapsed="false">
      <c r="A1183" s="76" t="n">
        <v>1172</v>
      </c>
      <c r="B1183" s="77" t="n">
        <v>-0.757462</v>
      </c>
      <c r="C1183" s="78" t="n">
        <f aca="false">05_Unit_Economics!$B$15*EXP((01_Inputs!$C$20-01_Inputs!$C$21^2/2)*01_Inputs!$C$22+01_Inputs!$C$21*SQRT(01_Inputs!$C$22)*B1183)</f>
        <v>41.51669478643</v>
      </c>
      <c r="D1183" s="78" t="n">
        <f aca="false">MAX(C1183-05_Unit_Economics!$B$21,0)</f>
        <v>3.60908931192652</v>
      </c>
      <c r="E1183" s="78" t="n">
        <f aca="false">D1183*EXP(-01_Inputs!$C$20*01_Inputs!$C$22)</f>
        <v>3.45373229992176</v>
      </c>
      <c r="F1183" s="80" t="n">
        <f aca="false">AVERAGE(E1182:E1183)</f>
        <v>17.3454110758296</v>
      </c>
    </row>
    <row r="1184" customFormat="false" ht="15" hidden="false" customHeight="false" outlineLevel="0" collapsed="false">
      <c r="A1184" s="76" t="n">
        <v>1173</v>
      </c>
      <c r="B1184" s="77" t="n">
        <v>0.471668</v>
      </c>
      <c r="C1184" s="78" t="n">
        <f aca="false">05_Unit_Economics!$B$15*EXP((01_Inputs!$C$20-01_Inputs!$C$21^2/2)*01_Inputs!$C$22+01_Inputs!$C$21*SQRT(01_Inputs!$C$22)*B1184)</f>
        <v>63.8343298049716</v>
      </c>
      <c r="D1184" s="78" t="n">
        <f aca="false">MAX(C1184-05_Unit_Economics!$B$21,0)</f>
        <v>25.9267243304681</v>
      </c>
      <c r="E1184" s="78" t="n">
        <f aca="false">D1184*EXP(-01_Inputs!$C$20*01_Inputs!$C$22)</f>
        <v>24.8106814523542</v>
      </c>
      <c r="F1184" s="79"/>
    </row>
    <row r="1185" customFormat="false" ht="15" hidden="false" customHeight="false" outlineLevel="0" collapsed="false">
      <c r="A1185" s="76" t="n">
        <v>1174</v>
      </c>
      <c r="B1185" s="77" t="n">
        <v>-0.471668</v>
      </c>
      <c r="C1185" s="78" t="n">
        <f aca="false">05_Unit_Economics!$B$15*EXP((01_Inputs!$C$20-01_Inputs!$C$21^2/2)*01_Inputs!$C$22+01_Inputs!$C$21*SQRT(01_Inputs!$C$22)*B1185)</f>
        <v>45.8843238473624</v>
      </c>
      <c r="D1185" s="78" t="n">
        <f aca="false">MAX(C1185-05_Unit_Economics!$B$21,0)</f>
        <v>7.97671837285892</v>
      </c>
      <c r="E1185" s="78" t="n">
        <f aca="false">D1185*EXP(-01_Inputs!$C$20*01_Inputs!$C$22)</f>
        <v>7.6333522145553</v>
      </c>
      <c r="F1185" s="80" t="n">
        <f aca="false">AVERAGE(E1184:E1185)</f>
        <v>16.2220168334547</v>
      </c>
    </row>
    <row r="1186" customFormat="false" ht="15" hidden="false" customHeight="false" outlineLevel="0" collapsed="false">
      <c r="A1186" s="76" t="n">
        <v>1175</v>
      </c>
      <c r="B1186" s="77" t="n">
        <v>-0.143063</v>
      </c>
      <c r="C1186" s="78" t="n">
        <f aca="false">05_Unit_Economics!$B$15*EXP((01_Inputs!$C$20-01_Inputs!$C$21^2/2)*01_Inputs!$C$22+01_Inputs!$C$21*SQRT(01_Inputs!$C$22)*B1186)</f>
        <v>51.4770089766065</v>
      </c>
      <c r="D1186" s="78" t="n">
        <f aca="false">MAX(C1186-05_Unit_Economics!$B$21,0)</f>
        <v>13.569403502103</v>
      </c>
      <c r="E1186" s="78" t="n">
        <f aca="false">D1186*EXP(-01_Inputs!$C$20*01_Inputs!$C$22)</f>
        <v>12.9852943818861</v>
      </c>
      <c r="F1186" s="79"/>
    </row>
    <row r="1187" customFormat="false" ht="15" hidden="false" customHeight="false" outlineLevel="0" collapsed="false">
      <c r="A1187" s="76" t="n">
        <v>1176</v>
      </c>
      <c r="B1187" s="77" t="n">
        <v>0.143063</v>
      </c>
      <c r="C1187" s="78" t="n">
        <f aca="false">05_Unit_Economics!$B$15*EXP((01_Inputs!$C$20-01_Inputs!$C$21^2/2)*01_Inputs!$C$22+01_Inputs!$C$21*SQRT(01_Inputs!$C$22)*B1187)</f>
        <v>56.8990918388775</v>
      </c>
      <c r="D1187" s="78" t="n">
        <f aca="false">MAX(C1187-05_Unit_Economics!$B$21,0)</f>
        <v>18.991486364374</v>
      </c>
      <c r="E1187" s="78" t="n">
        <f aca="false">D1187*EXP(-01_Inputs!$C$20*01_Inputs!$C$22)</f>
        <v>18.1739780346831</v>
      </c>
      <c r="F1187" s="80" t="n">
        <f aca="false">AVERAGE(E1186:E1187)</f>
        <v>15.5796362082846</v>
      </c>
    </row>
    <row r="1188" customFormat="false" ht="15" hidden="false" customHeight="false" outlineLevel="0" collapsed="false">
      <c r="A1188" s="76" t="n">
        <v>1177</v>
      </c>
      <c r="B1188" s="77" t="n">
        <v>-1.018553</v>
      </c>
      <c r="C1188" s="78" t="n">
        <f aca="false">05_Unit_Economics!$B$15*EXP((01_Inputs!$C$20-01_Inputs!$C$21^2/2)*01_Inputs!$C$22+01_Inputs!$C$21*SQRT(01_Inputs!$C$22)*B1188)</f>
        <v>37.8910061945099</v>
      </c>
      <c r="D1188" s="78" t="n">
        <f aca="false">MAX(C1188-05_Unit_Economics!$B$21,0)</f>
        <v>0</v>
      </c>
      <c r="E1188" s="78" t="n">
        <f aca="false">D1188*EXP(-01_Inputs!$C$20*01_Inputs!$C$22)</f>
        <v>0</v>
      </c>
      <c r="F1188" s="79"/>
    </row>
    <row r="1189" customFormat="false" ht="15" hidden="false" customHeight="false" outlineLevel="0" collapsed="false">
      <c r="A1189" s="76" t="n">
        <v>1178</v>
      </c>
      <c r="B1189" s="77" t="n">
        <v>1.018553</v>
      </c>
      <c r="C1189" s="78" t="n">
        <f aca="false">05_Unit_Economics!$B$15*EXP((01_Inputs!$C$20-01_Inputs!$C$21^2/2)*01_Inputs!$C$22+01_Inputs!$C$21*SQRT(01_Inputs!$C$22)*B1189)</f>
        <v>77.3005352857333</v>
      </c>
      <c r="D1189" s="78" t="n">
        <f aca="false">MAX(C1189-05_Unit_Economics!$B$21,0)</f>
        <v>39.3929298112298</v>
      </c>
      <c r="E1189" s="78" t="n">
        <f aca="false">D1189*EXP(-01_Inputs!$C$20*01_Inputs!$C$22)</f>
        <v>37.6972200793143</v>
      </c>
      <c r="F1189" s="80" t="n">
        <f aca="false">AVERAGE(E1188:E1189)</f>
        <v>18.8486100396572</v>
      </c>
    </row>
    <row r="1190" customFormat="false" ht="15" hidden="false" customHeight="false" outlineLevel="0" collapsed="false">
      <c r="A1190" s="76" t="n">
        <v>1179</v>
      </c>
      <c r="B1190" s="77" t="n">
        <v>0.727471</v>
      </c>
      <c r="C1190" s="78" t="n">
        <f aca="false">05_Unit_Economics!$B$15*EXP((01_Inputs!$C$20-01_Inputs!$C$21^2/2)*01_Inputs!$C$22+01_Inputs!$C$21*SQRT(01_Inputs!$C$22)*B1190)</f>
        <v>69.8131355425976</v>
      </c>
      <c r="D1190" s="78" t="n">
        <f aca="false">MAX(C1190-05_Unit_Economics!$B$21,0)</f>
        <v>31.9055300680941</v>
      </c>
      <c r="E1190" s="78" t="n">
        <f aca="false">D1190*EXP(-01_Inputs!$C$20*01_Inputs!$C$22)</f>
        <v>30.532123263938</v>
      </c>
      <c r="F1190" s="79"/>
    </row>
    <row r="1191" customFormat="false" ht="15" hidden="false" customHeight="false" outlineLevel="0" collapsed="false">
      <c r="A1191" s="76" t="n">
        <v>1180</v>
      </c>
      <c r="B1191" s="77" t="n">
        <v>-0.727471</v>
      </c>
      <c r="C1191" s="78" t="n">
        <f aca="false">05_Unit_Economics!$B$15*EXP((01_Inputs!$C$20-01_Inputs!$C$21^2/2)*01_Inputs!$C$22+01_Inputs!$C$21*SQRT(01_Inputs!$C$22)*B1191)</f>
        <v>41.9547845629062</v>
      </c>
      <c r="D1191" s="78" t="n">
        <f aca="false">MAX(C1191-05_Unit_Economics!$B$21,0)</f>
        <v>4.04717908840274</v>
      </c>
      <c r="E1191" s="78" t="n">
        <f aca="false">D1191*EXP(-01_Inputs!$C$20*01_Inputs!$C$22)</f>
        <v>3.87296404524916</v>
      </c>
      <c r="F1191" s="80" t="n">
        <f aca="false">AVERAGE(E1190:E1191)</f>
        <v>17.2025436545936</v>
      </c>
    </row>
    <row r="1192" customFormat="false" ht="15" hidden="false" customHeight="false" outlineLevel="0" collapsed="false">
      <c r="A1192" s="76" t="n">
        <v>1181</v>
      </c>
      <c r="B1192" s="77" t="n">
        <v>0.206764</v>
      </c>
      <c r="C1192" s="78" t="n">
        <f aca="false">05_Unit_Economics!$B$15*EXP((01_Inputs!$C$20-01_Inputs!$C$21^2/2)*01_Inputs!$C$22+01_Inputs!$C$21*SQRT(01_Inputs!$C$22)*B1192)</f>
        <v>58.1819244682948</v>
      </c>
      <c r="D1192" s="78" t="n">
        <f aca="false">MAX(C1192-05_Unit_Economics!$B$21,0)</f>
        <v>20.2743189937913</v>
      </c>
      <c r="E1192" s="78" t="n">
        <f aca="false">D1192*EXP(-01_Inputs!$C$20*01_Inputs!$C$22)</f>
        <v>19.4015897961796</v>
      </c>
      <c r="F1192" s="79"/>
    </row>
    <row r="1193" customFormat="false" ht="15" hidden="false" customHeight="false" outlineLevel="0" collapsed="false">
      <c r="A1193" s="76" t="n">
        <v>1182</v>
      </c>
      <c r="B1193" s="77" t="n">
        <v>-0.206764</v>
      </c>
      <c r="C1193" s="78" t="n">
        <f aca="false">05_Unit_Economics!$B$15*EXP((01_Inputs!$C$20-01_Inputs!$C$21^2/2)*01_Inputs!$C$22+01_Inputs!$C$21*SQRT(01_Inputs!$C$22)*B1193)</f>
        <v>50.3420106522388</v>
      </c>
      <c r="D1193" s="78" t="n">
        <f aca="false">MAX(C1193-05_Unit_Economics!$B$21,0)</f>
        <v>12.4344051777353</v>
      </c>
      <c r="E1193" s="78" t="n">
        <f aca="false">D1193*EXP(-01_Inputs!$C$20*01_Inputs!$C$22)</f>
        <v>11.8991532436572</v>
      </c>
      <c r="F1193" s="80" t="n">
        <f aca="false">AVERAGE(E1192:E1193)</f>
        <v>15.6503715199184</v>
      </c>
    </row>
    <row r="1194" customFormat="false" ht="15" hidden="false" customHeight="false" outlineLevel="0" collapsed="false">
      <c r="A1194" s="76" t="n">
        <v>1183</v>
      </c>
      <c r="B1194" s="77" t="n">
        <v>0.939844</v>
      </c>
      <c r="C1194" s="78" t="n">
        <f aca="false">05_Unit_Economics!$B$15*EXP((01_Inputs!$C$20-01_Inputs!$C$21^2/2)*01_Inputs!$C$22+01_Inputs!$C$21*SQRT(01_Inputs!$C$22)*B1194)</f>
        <v>75.2001127547165</v>
      </c>
      <c r="D1194" s="78" t="n">
        <f aca="false">MAX(C1194-05_Unit_Economics!$B$21,0)</f>
        <v>37.292507280213</v>
      </c>
      <c r="E1194" s="78" t="n">
        <f aca="false">D1194*EXP(-01_Inputs!$C$20*01_Inputs!$C$22)</f>
        <v>35.6872124258923</v>
      </c>
      <c r="F1194" s="79"/>
    </row>
    <row r="1195" customFormat="false" ht="15" hidden="false" customHeight="false" outlineLevel="0" collapsed="false">
      <c r="A1195" s="76" t="n">
        <v>1184</v>
      </c>
      <c r="B1195" s="77" t="n">
        <v>-0.939844</v>
      </c>
      <c r="C1195" s="78" t="n">
        <f aca="false">05_Unit_Economics!$B$15*EXP((01_Inputs!$C$20-01_Inputs!$C$21^2/2)*01_Inputs!$C$22+01_Inputs!$C$21*SQRT(01_Inputs!$C$22)*B1195)</f>
        <v>38.9493440110161</v>
      </c>
      <c r="D1195" s="78" t="n">
        <f aca="false">MAX(C1195-05_Unit_Economics!$B$21,0)</f>
        <v>1.04173853651263</v>
      </c>
      <c r="E1195" s="78" t="n">
        <f aca="false">D1195*EXP(-01_Inputs!$C$20*01_Inputs!$C$22)</f>
        <v>0.996895815167943</v>
      </c>
      <c r="F1195" s="80" t="n">
        <f aca="false">AVERAGE(E1194:E1195)</f>
        <v>18.3420541205301</v>
      </c>
    </row>
    <row r="1196" customFormat="false" ht="15" hidden="false" customHeight="false" outlineLevel="0" collapsed="false">
      <c r="A1196" s="76" t="n">
        <v>1185</v>
      </c>
      <c r="B1196" s="77" t="n">
        <v>1.706595</v>
      </c>
      <c r="C1196" s="78" t="n">
        <f aca="false">05_Unit_Economics!$B$15*EXP((01_Inputs!$C$20-01_Inputs!$C$21^2/2)*01_Inputs!$C$22+01_Inputs!$C$21*SQRT(01_Inputs!$C$22)*B1196)</f>
        <v>98.3483315572912</v>
      </c>
      <c r="D1196" s="78" t="n">
        <f aca="false">MAX(C1196-05_Unit_Economics!$B$21,0)</f>
        <v>60.4407260827877</v>
      </c>
      <c r="E1196" s="78" t="n">
        <f aca="false">D1196*EXP(-01_Inputs!$C$20*01_Inputs!$C$22)</f>
        <v>57.8389920174681</v>
      </c>
      <c r="F1196" s="79"/>
    </row>
    <row r="1197" customFormat="false" ht="15" hidden="false" customHeight="false" outlineLevel="0" collapsed="false">
      <c r="A1197" s="76" t="n">
        <v>1186</v>
      </c>
      <c r="B1197" s="77" t="n">
        <v>-1.706595</v>
      </c>
      <c r="C1197" s="78" t="n">
        <f aca="false">05_Unit_Economics!$B$15*EXP((01_Inputs!$C$20-01_Inputs!$C$21^2/2)*01_Inputs!$C$22+01_Inputs!$C$21*SQRT(01_Inputs!$C$22)*B1197)</f>
        <v>29.7818479985541</v>
      </c>
      <c r="D1197" s="78" t="n">
        <f aca="false">MAX(C1197-05_Unit_Economics!$B$21,0)</f>
        <v>0</v>
      </c>
      <c r="E1197" s="78" t="n">
        <f aca="false">D1197*EXP(-01_Inputs!$C$20*01_Inputs!$C$22)</f>
        <v>0</v>
      </c>
      <c r="F1197" s="80" t="n">
        <f aca="false">AVERAGE(E1196:E1197)</f>
        <v>28.919496008734</v>
      </c>
    </row>
    <row r="1198" customFormat="false" ht="15" hidden="false" customHeight="false" outlineLevel="0" collapsed="false">
      <c r="A1198" s="76" t="n">
        <v>1187</v>
      </c>
      <c r="B1198" s="77" t="n">
        <v>-0.000465</v>
      </c>
      <c r="C1198" s="78" t="n">
        <f aca="false">05_Unit_Economics!$B$15*EXP((01_Inputs!$C$20-01_Inputs!$C$21^2/2)*01_Inputs!$C$22+01_Inputs!$C$21*SQRT(01_Inputs!$C$22)*B1198)</f>
        <v>54.1113835399283</v>
      </c>
      <c r="D1198" s="78" t="n">
        <f aca="false">MAX(C1198-05_Unit_Economics!$B$21,0)</f>
        <v>16.2037780654249</v>
      </c>
      <c r="E1198" s="78" t="n">
        <f aca="false">D1198*EXP(-01_Inputs!$C$20*01_Inputs!$C$22)</f>
        <v>15.5062695457233</v>
      </c>
      <c r="F1198" s="79"/>
    </row>
    <row r="1199" customFormat="false" ht="15" hidden="false" customHeight="false" outlineLevel="0" collapsed="false">
      <c r="A1199" s="76" t="n">
        <v>1188</v>
      </c>
      <c r="B1199" s="77" t="n">
        <v>0.000465</v>
      </c>
      <c r="C1199" s="78" t="n">
        <f aca="false">05_Unit_Economics!$B$15*EXP((01_Inputs!$C$20-01_Inputs!$C$21^2/2)*01_Inputs!$C$22+01_Inputs!$C$21*SQRT(01_Inputs!$C$22)*B1199)</f>
        <v>54.1289996621389</v>
      </c>
      <c r="D1199" s="78" t="n">
        <f aca="false">MAX(C1199-05_Unit_Economics!$B$21,0)</f>
        <v>16.2213941876355</v>
      </c>
      <c r="E1199" s="78" t="n">
        <f aca="false">D1199*EXP(-01_Inputs!$C$20*01_Inputs!$C$22)</f>
        <v>15.523127363588</v>
      </c>
      <c r="F1199" s="80" t="n">
        <f aca="false">AVERAGE(E1198:E1199)</f>
        <v>15.5146984546557</v>
      </c>
    </row>
    <row r="1200" customFormat="false" ht="15" hidden="false" customHeight="false" outlineLevel="0" collapsed="false">
      <c r="A1200" s="76" t="n">
        <v>1189</v>
      </c>
      <c r="B1200" s="77" t="n">
        <v>-0.617498</v>
      </c>
      <c r="C1200" s="78" t="n">
        <f aca="false">05_Unit_Economics!$B$15*EXP((01_Inputs!$C$20-01_Inputs!$C$21^2/2)*01_Inputs!$C$22+01_Inputs!$C$21*SQRT(01_Inputs!$C$22)*B1200)</f>
        <v>43.6011283824925</v>
      </c>
      <c r="D1200" s="78" t="n">
        <f aca="false">MAX(C1200-05_Unit_Economics!$B$21,0)</f>
        <v>5.69352290798904</v>
      </c>
      <c r="E1200" s="78" t="n">
        <f aca="false">D1200*EXP(-01_Inputs!$C$20*01_Inputs!$C$22)</f>
        <v>5.44843927876356</v>
      </c>
      <c r="F1200" s="79"/>
    </row>
    <row r="1201" customFormat="false" ht="15" hidden="false" customHeight="false" outlineLevel="0" collapsed="false">
      <c r="A1201" s="76" t="n">
        <v>1190</v>
      </c>
      <c r="B1201" s="77" t="n">
        <v>0.617498</v>
      </c>
      <c r="C1201" s="78" t="n">
        <f aca="false">05_Unit_Economics!$B$15*EXP((01_Inputs!$C$20-01_Inputs!$C$21^2/2)*01_Inputs!$C$22+01_Inputs!$C$21*SQRT(01_Inputs!$C$22)*B1201)</f>
        <v>67.1770472464826</v>
      </c>
      <c r="D1201" s="78" t="n">
        <f aca="false">MAX(C1201-05_Unit_Economics!$B$21,0)</f>
        <v>29.2694417719791</v>
      </c>
      <c r="E1201" s="78" t="n">
        <f aca="false">D1201*EXP(-01_Inputs!$C$20*01_Inputs!$C$22)</f>
        <v>28.0095081367223</v>
      </c>
      <c r="F1201" s="80" t="n">
        <f aca="false">AVERAGE(E1200:E1201)</f>
        <v>16.7289737077429</v>
      </c>
    </row>
    <row r="1202" customFormat="false" ht="15" hidden="false" customHeight="false" outlineLevel="0" collapsed="false">
      <c r="A1202" s="76" t="n">
        <v>1191</v>
      </c>
      <c r="B1202" s="77" t="n">
        <v>-1.214568</v>
      </c>
      <c r="C1202" s="78" t="n">
        <f aca="false">05_Unit_Economics!$B$15*EXP((01_Inputs!$C$20-01_Inputs!$C$21^2/2)*01_Inputs!$C$22+01_Inputs!$C$21*SQRT(01_Inputs!$C$22)*B1202)</f>
        <v>35.3786499823033</v>
      </c>
      <c r="D1202" s="78" t="n">
        <f aca="false">MAX(C1202-05_Unit_Economics!$B$21,0)</f>
        <v>0</v>
      </c>
      <c r="E1202" s="78" t="n">
        <f aca="false">D1202*EXP(-01_Inputs!$C$20*01_Inputs!$C$22)</f>
        <v>0</v>
      </c>
      <c r="F1202" s="79"/>
    </row>
    <row r="1203" customFormat="false" ht="15" hidden="false" customHeight="false" outlineLevel="0" collapsed="false">
      <c r="A1203" s="76" t="n">
        <v>1192</v>
      </c>
      <c r="B1203" s="77" t="n">
        <v>1.214568</v>
      </c>
      <c r="C1203" s="78" t="n">
        <f aca="false">05_Unit_Economics!$B$15*EXP((01_Inputs!$C$20-01_Inputs!$C$21^2/2)*01_Inputs!$C$22+01_Inputs!$C$21*SQRT(01_Inputs!$C$22)*B1203)</f>
        <v>82.7899047254703</v>
      </c>
      <c r="D1203" s="78" t="n">
        <f aca="false">MAX(C1203-05_Unit_Economics!$B$21,0)</f>
        <v>44.8822992509668</v>
      </c>
      <c r="E1203" s="78" t="n">
        <f aca="false">D1203*EXP(-01_Inputs!$C$20*01_Inputs!$C$22)</f>
        <v>42.9502938887023</v>
      </c>
      <c r="F1203" s="80" t="n">
        <f aca="false">AVERAGE(E1202:E1203)</f>
        <v>21.4751469443511</v>
      </c>
    </row>
    <row r="1204" customFormat="false" ht="15" hidden="false" customHeight="false" outlineLevel="0" collapsed="false">
      <c r="A1204" s="76" t="n">
        <v>1193</v>
      </c>
      <c r="B1204" s="77" t="n">
        <v>0.176036</v>
      </c>
      <c r="C1204" s="78" t="n">
        <f aca="false">05_Unit_Economics!$B$15*EXP((01_Inputs!$C$20-01_Inputs!$C$21^2/2)*01_Inputs!$C$22+01_Inputs!$C$21*SQRT(01_Inputs!$C$22)*B1204)</f>
        <v>57.5595423038861</v>
      </c>
      <c r="D1204" s="78" t="n">
        <f aca="false">MAX(C1204-05_Unit_Economics!$B$21,0)</f>
        <v>19.6519368293827</v>
      </c>
      <c r="E1204" s="78" t="n">
        <f aca="false">D1204*EXP(-01_Inputs!$C$20*01_Inputs!$C$22)</f>
        <v>18.805998720888</v>
      </c>
      <c r="F1204" s="79"/>
    </row>
    <row r="1205" customFormat="false" ht="15" hidden="false" customHeight="false" outlineLevel="0" collapsed="false">
      <c r="A1205" s="76" t="n">
        <v>1194</v>
      </c>
      <c r="B1205" s="77" t="n">
        <v>-0.176036</v>
      </c>
      <c r="C1205" s="78" t="n">
        <f aca="false">05_Unit_Economics!$B$15*EXP((01_Inputs!$C$20-01_Inputs!$C$21^2/2)*01_Inputs!$C$22+01_Inputs!$C$21*SQRT(01_Inputs!$C$22)*B1205)</f>
        <v>50.886350796311</v>
      </c>
      <c r="D1205" s="78" t="n">
        <f aca="false">MAX(C1205-05_Unit_Economics!$B$21,0)</f>
        <v>12.9787453218075</v>
      </c>
      <c r="E1205" s="78" t="n">
        <f aca="false">D1205*EXP(-01_Inputs!$C$20*01_Inputs!$C$22)</f>
        <v>12.4200616987385</v>
      </c>
      <c r="F1205" s="80" t="n">
        <f aca="false">AVERAGE(E1204:E1205)</f>
        <v>15.6130302098133</v>
      </c>
    </row>
    <row r="1206" customFormat="false" ht="15" hidden="false" customHeight="false" outlineLevel="0" collapsed="false">
      <c r="A1206" s="76" t="n">
        <v>1195</v>
      </c>
      <c r="B1206" s="77" t="n">
        <v>1.252998</v>
      </c>
      <c r="C1206" s="78" t="n">
        <f aca="false">05_Unit_Economics!$B$15*EXP((01_Inputs!$C$20-01_Inputs!$C$21^2/2)*01_Inputs!$C$22+01_Inputs!$C$21*SQRT(01_Inputs!$C$22)*B1206)</f>
        <v>83.9109930362972</v>
      </c>
      <c r="D1206" s="78" t="n">
        <f aca="false">MAX(C1206-05_Unit_Economics!$B$21,0)</f>
        <v>46.0033875617937</v>
      </c>
      <c r="E1206" s="78" t="n">
        <f aca="false">D1206*EXP(-01_Inputs!$C$20*01_Inputs!$C$22)</f>
        <v>44.0231237844248</v>
      </c>
      <c r="F1206" s="79"/>
    </row>
    <row r="1207" customFormat="false" ht="15" hidden="false" customHeight="false" outlineLevel="0" collapsed="false">
      <c r="A1207" s="76" t="n">
        <v>1196</v>
      </c>
      <c r="B1207" s="77" t="n">
        <v>-1.252998</v>
      </c>
      <c r="C1207" s="78" t="n">
        <f aca="false">05_Unit_Economics!$B$15*EXP((01_Inputs!$C$20-01_Inputs!$C$21^2/2)*01_Inputs!$C$22+01_Inputs!$C$21*SQRT(01_Inputs!$C$22)*B1207)</f>
        <v>34.9059754314153</v>
      </c>
      <c r="D1207" s="78" t="n">
        <f aca="false">MAX(C1207-05_Unit_Economics!$B$21,0)</f>
        <v>0</v>
      </c>
      <c r="E1207" s="78" t="n">
        <f aca="false">D1207*EXP(-01_Inputs!$C$20*01_Inputs!$C$22)</f>
        <v>0</v>
      </c>
      <c r="F1207" s="80" t="n">
        <f aca="false">AVERAGE(E1206:E1207)</f>
        <v>22.0115618922124</v>
      </c>
    </row>
    <row r="1208" customFormat="false" ht="15" hidden="false" customHeight="false" outlineLevel="0" collapsed="false">
      <c r="A1208" s="76" t="n">
        <v>1197</v>
      </c>
      <c r="B1208" s="77" t="n">
        <v>0.855987</v>
      </c>
      <c r="C1208" s="78" t="n">
        <f aca="false">05_Unit_Economics!$B$15*EXP((01_Inputs!$C$20-01_Inputs!$C$21^2/2)*01_Inputs!$C$22+01_Inputs!$C$21*SQRT(01_Inputs!$C$22)*B1208)</f>
        <v>73.0250680650781</v>
      </c>
      <c r="D1208" s="78" t="n">
        <f aca="false">MAX(C1208-05_Unit_Economics!$B$21,0)</f>
        <v>35.1174625905747</v>
      </c>
      <c r="E1208" s="78" t="n">
        <f aca="false">D1208*EXP(-01_Inputs!$C$20*01_Inputs!$C$22)</f>
        <v>33.6057948024621</v>
      </c>
      <c r="F1208" s="79"/>
    </row>
    <row r="1209" customFormat="false" ht="15" hidden="false" customHeight="false" outlineLevel="0" collapsed="false">
      <c r="A1209" s="76" t="n">
        <v>1198</v>
      </c>
      <c r="B1209" s="77" t="n">
        <v>-0.855987</v>
      </c>
      <c r="C1209" s="78" t="n">
        <f aca="false">05_Unit_Economics!$B$15*EXP((01_Inputs!$C$20-01_Inputs!$C$21^2/2)*01_Inputs!$C$22+01_Inputs!$C$21*SQRT(01_Inputs!$C$22)*B1209)</f>
        <v>40.1094465087031</v>
      </c>
      <c r="D1209" s="78" t="n">
        <f aca="false">MAX(C1209-05_Unit_Economics!$B$21,0)</f>
        <v>2.2018410341996</v>
      </c>
      <c r="E1209" s="78" t="n">
        <f aca="false">D1209*EXP(-01_Inputs!$C$20*01_Inputs!$C$22)</f>
        <v>2.10706049140386</v>
      </c>
      <c r="F1209" s="80" t="n">
        <f aca="false">AVERAGE(E1208:E1209)</f>
        <v>17.856427646933</v>
      </c>
    </row>
    <row r="1210" customFormat="false" ht="15" hidden="false" customHeight="false" outlineLevel="0" collapsed="false">
      <c r="A1210" s="76" t="n">
        <v>1199</v>
      </c>
      <c r="B1210" s="77" t="n">
        <v>-1.021502</v>
      </c>
      <c r="C1210" s="78" t="n">
        <f aca="false">05_Unit_Economics!$B$15*EXP((01_Inputs!$C$20-01_Inputs!$C$21^2/2)*01_Inputs!$C$22+01_Inputs!$C$21*SQRT(01_Inputs!$C$22)*B1210)</f>
        <v>37.8519171688054</v>
      </c>
      <c r="D1210" s="78" t="n">
        <f aca="false">MAX(C1210-05_Unit_Economics!$B$21,0)</f>
        <v>0</v>
      </c>
      <c r="E1210" s="78" t="n">
        <f aca="false">D1210*EXP(-01_Inputs!$C$20*01_Inputs!$C$22)</f>
        <v>0</v>
      </c>
      <c r="F1210" s="79"/>
    </row>
    <row r="1211" customFormat="false" ht="15" hidden="false" customHeight="false" outlineLevel="0" collapsed="false">
      <c r="A1211" s="76" t="n">
        <v>1200</v>
      </c>
      <c r="B1211" s="77" t="n">
        <v>1.021502</v>
      </c>
      <c r="C1211" s="78" t="n">
        <f aca="false">05_Unit_Economics!$B$15*EXP((01_Inputs!$C$20-01_Inputs!$C$21^2/2)*01_Inputs!$C$22+01_Inputs!$C$21*SQRT(01_Inputs!$C$22)*B1211)</f>
        <v>77.3803622228282</v>
      </c>
      <c r="D1211" s="78" t="n">
        <f aca="false">MAX(C1211-05_Unit_Economics!$B$21,0)</f>
        <v>39.4727567483247</v>
      </c>
      <c r="E1211" s="78" t="n">
        <f aca="false">D1211*EXP(-01_Inputs!$C$20*01_Inputs!$C$22)</f>
        <v>37.7736107826802</v>
      </c>
      <c r="F1211" s="80" t="n">
        <f aca="false">AVERAGE(E1210:E1211)</f>
        <v>18.8868053913401</v>
      </c>
    </row>
    <row r="1212" customFormat="false" ht="15" hidden="false" customHeight="false" outlineLevel="0" collapsed="false">
      <c r="A1212" s="76" t="n">
        <v>1201</v>
      </c>
      <c r="B1212" s="77" t="n">
        <v>0.265482</v>
      </c>
      <c r="C1212" s="78" t="n">
        <f aca="false">05_Unit_Economics!$B$15*EXP((01_Inputs!$C$20-01_Inputs!$C$21^2/2)*01_Inputs!$C$22+01_Inputs!$C$21*SQRT(01_Inputs!$C$22)*B1212)</f>
        <v>59.3900099968064</v>
      </c>
      <c r="D1212" s="78" t="n">
        <f aca="false">MAX(C1212-05_Unit_Economics!$B$21,0)</f>
        <v>21.4824045223029</v>
      </c>
      <c r="E1212" s="78" t="n">
        <f aca="false">D1212*EXP(-01_Inputs!$C$20*01_Inputs!$C$22)</f>
        <v>20.5576720236546</v>
      </c>
      <c r="F1212" s="79"/>
    </row>
    <row r="1213" customFormat="false" ht="15" hidden="false" customHeight="false" outlineLevel="0" collapsed="false">
      <c r="A1213" s="76" t="n">
        <v>1202</v>
      </c>
      <c r="B1213" s="77" t="n">
        <v>-0.265482</v>
      </c>
      <c r="C1213" s="78" t="n">
        <f aca="false">05_Unit_Economics!$B$15*EXP((01_Inputs!$C$20-01_Inputs!$C$21^2/2)*01_Inputs!$C$22+01_Inputs!$C$21*SQRT(01_Inputs!$C$22)*B1213)</f>
        <v>49.3179755569692</v>
      </c>
      <c r="D1213" s="78" t="n">
        <f aca="false">MAX(C1213-05_Unit_Economics!$B$21,0)</f>
        <v>11.4103700824657</v>
      </c>
      <c r="E1213" s="78" t="n">
        <f aca="false">D1213*EXP(-01_Inputs!$C$20*01_Inputs!$C$22)</f>
        <v>10.9191988066476</v>
      </c>
      <c r="F1213" s="80" t="n">
        <f aca="false">AVERAGE(E1212:E1213)</f>
        <v>15.7384354151511</v>
      </c>
    </row>
    <row r="1214" customFormat="false" ht="15" hidden="false" customHeight="false" outlineLevel="0" collapsed="false">
      <c r="A1214" s="76" t="n">
        <v>1203</v>
      </c>
      <c r="B1214" s="77" t="n">
        <v>1.041605</v>
      </c>
      <c r="C1214" s="78" t="n">
        <f aca="false">05_Unit_Economics!$B$15*EXP((01_Inputs!$C$20-01_Inputs!$C$21^2/2)*01_Inputs!$C$22+01_Inputs!$C$21*SQRT(01_Inputs!$C$22)*B1214)</f>
        <v>77.9267342167241</v>
      </c>
      <c r="D1214" s="78" t="n">
        <f aca="false">MAX(C1214-05_Unit_Economics!$B$21,0)</f>
        <v>40.0191287422207</v>
      </c>
      <c r="E1214" s="78" t="n">
        <f aca="false">D1214*EXP(-01_Inputs!$C$20*01_Inputs!$C$22)</f>
        <v>38.2964636244914</v>
      </c>
      <c r="F1214" s="79"/>
    </row>
    <row r="1215" customFormat="false" ht="15" hidden="false" customHeight="false" outlineLevel="0" collapsed="false">
      <c r="A1215" s="76" t="n">
        <v>1204</v>
      </c>
      <c r="B1215" s="77" t="n">
        <v>-1.041605</v>
      </c>
      <c r="C1215" s="78" t="n">
        <f aca="false">05_Unit_Economics!$B$15*EXP((01_Inputs!$C$20-01_Inputs!$C$21^2/2)*01_Inputs!$C$22+01_Inputs!$C$21*SQRT(01_Inputs!$C$22)*B1215)</f>
        <v>37.5865239418958</v>
      </c>
      <c r="D1215" s="78" t="n">
        <f aca="false">MAX(C1215-05_Unit_Economics!$B$21,0)</f>
        <v>0</v>
      </c>
      <c r="E1215" s="78" t="n">
        <f aca="false">D1215*EXP(-01_Inputs!$C$20*01_Inputs!$C$22)</f>
        <v>0</v>
      </c>
      <c r="F1215" s="80" t="n">
        <f aca="false">AVERAGE(E1214:E1215)</f>
        <v>19.1482318122457</v>
      </c>
    </row>
    <row r="1216" customFormat="false" ht="15" hidden="false" customHeight="false" outlineLevel="0" collapsed="false">
      <c r="A1216" s="76" t="n">
        <v>1205</v>
      </c>
      <c r="B1216" s="77" t="n">
        <v>0.312621</v>
      </c>
      <c r="C1216" s="78" t="n">
        <f aca="false">05_Unit_Economics!$B$15*EXP((01_Inputs!$C$20-01_Inputs!$C$21^2/2)*01_Inputs!$C$22+01_Inputs!$C$21*SQRT(01_Inputs!$C$22)*B1216)</f>
        <v>60.3779927651006</v>
      </c>
      <c r="D1216" s="78" t="n">
        <f aca="false">MAX(C1216-05_Unit_Economics!$B$21,0)</f>
        <v>22.4703872905971</v>
      </c>
      <c r="E1216" s="78" t="n">
        <f aca="false">D1216*EXP(-01_Inputs!$C$20*01_Inputs!$C$22)</f>
        <v>21.503126043689</v>
      </c>
      <c r="F1216" s="79"/>
    </row>
    <row r="1217" customFormat="false" ht="15" hidden="false" customHeight="false" outlineLevel="0" collapsed="false">
      <c r="A1217" s="76" t="n">
        <v>1206</v>
      </c>
      <c r="B1217" s="77" t="n">
        <v>-0.312621</v>
      </c>
      <c r="C1217" s="78" t="n">
        <f aca="false">05_Unit_Economics!$B$15*EXP((01_Inputs!$C$20-01_Inputs!$C$21^2/2)*01_Inputs!$C$22+01_Inputs!$C$21*SQRT(01_Inputs!$C$22)*B1217)</f>
        <v>48.5109710875261</v>
      </c>
      <c r="D1217" s="78" t="n">
        <f aca="false">MAX(C1217-05_Unit_Economics!$B$21,0)</f>
        <v>10.6033656130226</v>
      </c>
      <c r="E1217" s="78" t="n">
        <f aca="false">D1217*EXP(-01_Inputs!$C$20*01_Inputs!$C$22)</f>
        <v>10.1469326859156</v>
      </c>
      <c r="F1217" s="80" t="n">
        <f aca="false">AVERAGE(E1216:E1217)</f>
        <v>15.8250293648023</v>
      </c>
    </row>
    <row r="1218" customFormat="false" ht="15" hidden="false" customHeight="false" outlineLevel="0" collapsed="false">
      <c r="A1218" s="76" t="n">
        <v>1207</v>
      </c>
      <c r="B1218" s="77" t="n">
        <v>-1.22934</v>
      </c>
      <c r="C1218" s="78" t="n">
        <f aca="false">05_Unit_Economics!$B$15*EXP((01_Inputs!$C$20-01_Inputs!$C$21^2/2)*01_Inputs!$C$22+01_Inputs!$C$21*SQRT(01_Inputs!$C$22)*B1218)</f>
        <v>35.1962073250835</v>
      </c>
      <c r="D1218" s="78" t="n">
        <f aca="false">MAX(C1218-05_Unit_Economics!$B$21,0)</f>
        <v>0</v>
      </c>
      <c r="E1218" s="78" t="n">
        <f aca="false">D1218*EXP(-01_Inputs!$C$20*01_Inputs!$C$22)</f>
        <v>0</v>
      </c>
      <c r="F1218" s="79"/>
    </row>
    <row r="1219" customFormat="false" ht="15" hidden="false" customHeight="false" outlineLevel="0" collapsed="false">
      <c r="A1219" s="76" t="n">
        <v>1208</v>
      </c>
      <c r="B1219" s="77" t="n">
        <v>1.22934</v>
      </c>
      <c r="C1219" s="78" t="n">
        <f aca="false">05_Unit_Economics!$B$15*EXP((01_Inputs!$C$20-01_Inputs!$C$21^2/2)*01_Inputs!$C$22+01_Inputs!$C$21*SQRT(01_Inputs!$C$22)*B1219)</f>
        <v>83.2190535274869</v>
      </c>
      <c r="D1219" s="78" t="n">
        <f aca="false">MAX(C1219-05_Unit_Economics!$B$21,0)</f>
        <v>45.3114480529834</v>
      </c>
      <c r="E1219" s="78" t="n">
        <f aca="false">D1219*EXP(-01_Inputs!$C$20*01_Inputs!$C$22)</f>
        <v>43.3609695331368</v>
      </c>
      <c r="F1219" s="80" t="n">
        <f aca="false">AVERAGE(E1218:E1219)</f>
        <v>21.6804847665684</v>
      </c>
    </row>
    <row r="1220" customFormat="false" ht="15" hidden="false" customHeight="false" outlineLevel="0" collapsed="false">
      <c r="A1220" s="76" t="n">
        <v>1209</v>
      </c>
      <c r="B1220" s="77" t="n">
        <v>-0.426498</v>
      </c>
      <c r="C1220" s="78" t="n">
        <f aca="false">05_Unit_Economics!$B$15*EXP((01_Inputs!$C$20-01_Inputs!$C$21^2/2)*01_Inputs!$C$22+01_Inputs!$C$21*SQRT(01_Inputs!$C$22)*B1220)</f>
        <v>46.6154965737728</v>
      </c>
      <c r="D1220" s="78" t="n">
        <f aca="false">MAX(C1220-05_Unit_Economics!$B$21,0)</f>
        <v>8.70789109926937</v>
      </c>
      <c r="E1220" s="78" t="n">
        <f aca="false">D1220*EXP(-01_Inputs!$C$20*01_Inputs!$C$22)</f>
        <v>8.33305084869014</v>
      </c>
      <c r="F1220" s="79"/>
    </row>
    <row r="1221" customFormat="false" ht="15" hidden="false" customHeight="false" outlineLevel="0" collapsed="false">
      <c r="A1221" s="76" t="n">
        <v>1210</v>
      </c>
      <c r="B1221" s="77" t="n">
        <v>0.426498</v>
      </c>
      <c r="C1221" s="78" t="n">
        <f aca="false">05_Unit_Economics!$B$15*EXP((01_Inputs!$C$20-01_Inputs!$C$21^2/2)*01_Inputs!$C$22+01_Inputs!$C$21*SQRT(01_Inputs!$C$22)*B1221)</f>
        <v>62.8330764795196</v>
      </c>
      <c r="D1221" s="78" t="n">
        <f aca="false">MAX(C1221-05_Unit_Economics!$B$21,0)</f>
        <v>24.9254710050161</v>
      </c>
      <c r="E1221" s="78" t="n">
        <f aca="false">D1221*EXP(-01_Inputs!$C$20*01_Inputs!$C$22)</f>
        <v>23.8525281201298</v>
      </c>
      <c r="F1221" s="80" t="n">
        <f aca="false">AVERAGE(E1220:E1221)</f>
        <v>16.09278948441</v>
      </c>
    </row>
    <row r="1222" customFormat="false" ht="15" hidden="false" customHeight="false" outlineLevel="0" collapsed="false">
      <c r="A1222" s="76" t="n">
        <v>1211</v>
      </c>
      <c r="B1222" s="77" t="n">
        <v>2.060841</v>
      </c>
      <c r="C1222" s="78" t="n">
        <f aca="false">05_Unit_Economics!$B$15*EXP((01_Inputs!$C$20-01_Inputs!$C$21^2/2)*01_Inputs!$C$22+01_Inputs!$C$21*SQRT(01_Inputs!$C$22)*B1222)</f>
        <v>111.330324706874</v>
      </c>
      <c r="D1222" s="78" t="n">
        <f aca="false">MAX(C1222-05_Unit_Economics!$B$21,0)</f>
        <v>73.4227192323706</v>
      </c>
      <c r="E1222" s="78" t="n">
        <f aca="false">D1222*EXP(-01_Inputs!$C$20*01_Inputs!$C$22)</f>
        <v>70.2621617378495</v>
      </c>
      <c r="F1222" s="79"/>
    </row>
    <row r="1223" customFormat="false" ht="15" hidden="false" customHeight="false" outlineLevel="0" collapsed="false">
      <c r="A1223" s="76" t="n">
        <v>1212</v>
      </c>
      <c r="B1223" s="77" t="n">
        <v>-2.060841</v>
      </c>
      <c r="C1223" s="78" t="n">
        <f aca="false">05_Unit_Economics!$B$15*EXP((01_Inputs!$C$20-01_Inputs!$C$21^2/2)*01_Inputs!$C$22+01_Inputs!$C$21*SQRT(01_Inputs!$C$22)*B1223)</f>
        <v>26.3090498394082</v>
      </c>
      <c r="D1223" s="78" t="n">
        <f aca="false">MAX(C1223-05_Unit_Economics!$B$21,0)</f>
        <v>0</v>
      </c>
      <c r="E1223" s="78" t="n">
        <f aca="false">D1223*EXP(-01_Inputs!$C$20*01_Inputs!$C$22)</f>
        <v>0</v>
      </c>
      <c r="F1223" s="80" t="n">
        <f aca="false">AVERAGE(E1222:E1223)</f>
        <v>35.1310808689247</v>
      </c>
    </row>
    <row r="1224" customFormat="false" ht="15" hidden="false" customHeight="false" outlineLevel="0" collapsed="false">
      <c r="A1224" s="76" t="n">
        <v>1213</v>
      </c>
      <c r="B1224" s="77" t="n">
        <v>-1.298818</v>
      </c>
      <c r="C1224" s="78" t="n">
        <f aca="false">05_Unit_Economics!$B$15*EXP((01_Inputs!$C$20-01_Inputs!$C$21^2/2)*01_Inputs!$C$22+01_Inputs!$C$21*SQRT(01_Inputs!$C$22)*B1224)</f>
        <v>34.350653057558</v>
      </c>
      <c r="D1224" s="78" t="n">
        <f aca="false">MAX(C1224-05_Unit_Economics!$B$21,0)</f>
        <v>0</v>
      </c>
      <c r="E1224" s="78" t="n">
        <f aca="false">D1224*EXP(-01_Inputs!$C$20*01_Inputs!$C$22)</f>
        <v>0</v>
      </c>
      <c r="F1224" s="79"/>
    </row>
    <row r="1225" customFormat="false" ht="15" hidden="false" customHeight="false" outlineLevel="0" collapsed="false">
      <c r="A1225" s="76" t="n">
        <v>1214</v>
      </c>
      <c r="B1225" s="77" t="n">
        <v>1.298818</v>
      </c>
      <c r="C1225" s="78" t="n">
        <f aca="false">05_Unit_Economics!$B$15*EXP((01_Inputs!$C$20-01_Inputs!$C$21^2/2)*01_Inputs!$C$22+01_Inputs!$C$21*SQRT(01_Inputs!$C$22)*B1225)</f>
        <v>85.2675218850375</v>
      </c>
      <c r="D1225" s="78" t="n">
        <f aca="false">MAX(C1225-05_Unit_Economics!$B$21,0)</f>
        <v>47.359916410534</v>
      </c>
      <c r="E1225" s="78" t="n">
        <f aca="false">D1225*EXP(-01_Inputs!$C$20*01_Inputs!$C$22)</f>
        <v>45.3212594346532</v>
      </c>
      <c r="F1225" s="80" t="n">
        <f aca="false">AVERAGE(E1224:E1225)</f>
        <v>22.6606297173266</v>
      </c>
    </row>
    <row r="1226" customFormat="false" ht="15" hidden="false" customHeight="false" outlineLevel="0" collapsed="false">
      <c r="A1226" s="76" t="n">
        <v>1215</v>
      </c>
      <c r="B1226" s="77" t="n">
        <v>-0.387797</v>
      </c>
      <c r="C1226" s="78" t="n">
        <f aca="false">05_Unit_Economics!$B$15*EXP((01_Inputs!$C$20-01_Inputs!$C$21^2/2)*01_Inputs!$C$22+01_Inputs!$C$21*SQRT(01_Inputs!$C$22)*B1226)</f>
        <v>47.2512155886385</v>
      </c>
      <c r="D1226" s="78" t="n">
        <f aca="false">MAX(C1226-05_Unit_Economics!$B$21,0)</f>
        <v>9.34361011413498</v>
      </c>
      <c r="E1226" s="78" t="n">
        <f aca="false">D1226*EXP(-01_Inputs!$C$20*01_Inputs!$C$22)</f>
        <v>8.94140467580666</v>
      </c>
      <c r="F1226" s="79"/>
    </row>
    <row r="1227" customFormat="false" ht="15" hidden="false" customHeight="false" outlineLevel="0" collapsed="false">
      <c r="A1227" s="76" t="n">
        <v>1216</v>
      </c>
      <c r="B1227" s="77" t="n">
        <v>0.387797</v>
      </c>
      <c r="C1227" s="78" t="n">
        <f aca="false">05_Unit_Economics!$B$15*EXP((01_Inputs!$C$20-01_Inputs!$C$21^2/2)*01_Inputs!$C$22+01_Inputs!$C$21*SQRT(01_Inputs!$C$22)*B1227)</f>
        <v>61.9877187255883</v>
      </c>
      <c r="D1227" s="78" t="n">
        <f aca="false">MAX(C1227-05_Unit_Economics!$B$21,0)</f>
        <v>24.0801132510848</v>
      </c>
      <c r="E1227" s="78" t="n">
        <f aca="false">D1227*EXP(-01_Inputs!$C$20*01_Inputs!$C$22)</f>
        <v>23.0435596720247</v>
      </c>
      <c r="F1227" s="80" t="n">
        <f aca="false">AVERAGE(E1226:E1227)</f>
        <v>15.9924821739157</v>
      </c>
    </row>
    <row r="1228" customFormat="false" ht="15" hidden="false" customHeight="false" outlineLevel="0" collapsed="false">
      <c r="A1228" s="76" t="n">
        <v>1217</v>
      </c>
      <c r="B1228" s="77" t="n">
        <v>-0.629055</v>
      </c>
      <c r="C1228" s="78" t="n">
        <f aca="false">05_Unit_Economics!$B$15*EXP((01_Inputs!$C$20-01_Inputs!$C$21^2/2)*01_Inputs!$C$22+01_Inputs!$C$21*SQRT(01_Inputs!$C$22)*B1228)</f>
        <v>43.4251202103512</v>
      </c>
      <c r="D1228" s="78" t="n">
        <f aca="false">MAX(C1228-05_Unit_Economics!$B$21,0)</f>
        <v>5.51751473584774</v>
      </c>
      <c r="E1228" s="78" t="n">
        <f aca="false">D1228*EXP(-01_Inputs!$C$20*01_Inputs!$C$22)</f>
        <v>5.28000756188535</v>
      </c>
      <c r="F1228" s="79"/>
    </row>
    <row r="1229" customFormat="false" ht="15" hidden="false" customHeight="false" outlineLevel="0" collapsed="false">
      <c r="A1229" s="76" t="n">
        <v>1218</v>
      </c>
      <c r="B1229" s="77" t="n">
        <v>0.629055</v>
      </c>
      <c r="C1229" s="78" t="n">
        <f aca="false">05_Unit_Economics!$B$15*EXP((01_Inputs!$C$20-01_Inputs!$C$21^2/2)*01_Inputs!$C$22+01_Inputs!$C$21*SQRT(01_Inputs!$C$22)*B1229)</f>
        <v>67.4493253481534</v>
      </c>
      <c r="D1229" s="78" t="n">
        <f aca="false">MAX(C1229-05_Unit_Economics!$B$21,0)</f>
        <v>29.54171987365</v>
      </c>
      <c r="E1229" s="78" t="n">
        <f aca="false">D1229*EXP(-01_Inputs!$C$20*01_Inputs!$C$22)</f>
        <v>28.2700657436495</v>
      </c>
      <c r="F1229" s="80" t="n">
        <f aca="false">AVERAGE(E1228:E1229)</f>
        <v>16.7750366527674</v>
      </c>
    </row>
    <row r="1230" customFormat="false" ht="15" hidden="false" customHeight="false" outlineLevel="0" collapsed="false">
      <c r="A1230" s="76" t="n">
        <v>1219</v>
      </c>
      <c r="B1230" s="77" t="n">
        <v>-1.142118</v>
      </c>
      <c r="C1230" s="78" t="n">
        <f aca="false">05_Unit_Economics!$B$15*EXP((01_Inputs!$C$20-01_Inputs!$C$21^2/2)*01_Inputs!$C$22+01_Inputs!$C$21*SQRT(01_Inputs!$C$22)*B1230)</f>
        <v>36.2872351385675</v>
      </c>
      <c r="D1230" s="78" t="n">
        <f aca="false">MAX(C1230-05_Unit_Economics!$B$21,0)</f>
        <v>0</v>
      </c>
      <c r="E1230" s="78" t="n">
        <f aca="false">D1230*EXP(-01_Inputs!$C$20*01_Inputs!$C$22)</f>
        <v>0</v>
      </c>
      <c r="F1230" s="79"/>
    </row>
    <row r="1231" customFormat="false" ht="15" hidden="false" customHeight="false" outlineLevel="0" collapsed="false">
      <c r="A1231" s="76" t="n">
        <v>1220</v>
      </c>
      <c r="B1231" s="77" t="n">
        <v>1.142118</v>
      </c>
      <c r="C1231" s="78" t="n">
        <f aca="false">05_Unit_Economics!$B$15*EXP((01_Inputs!$C$20-01_Inputs!$C$21^2/2)*01_Inputs!$C$22+01_Inputs!$C$21*SQRT(01_Inputs!$C$22)*B1231)</f>
        <v>80.7169532251742</v>
      </c>
      <c r="D1231" s="78" t="n">
        <f aca="false">MAX(C1231-05_Unit_Economics!$B$21,0)</f>
        <v>42.8093477506707</v>
      </c>
      <c r="E1231" s="78" t="n">
        <f aca="false">D1231*EXP(-01_Inputs!$C$20*01_Inputs!$C$22)</f>
        <v>40.9665747468442</v>
      </c>
      <c r="F1231" s="80" t="n">
        <f aca="false">AVERAGE(E1230:E1231)</f>
        <v>20.4832873734221</v>
      </c>
    </row>
    <row r="1232" customFormat="false" ht="15" hidden="false" customHeight="false" outlineLevel="0" collapsed="false">
      <c r="A1232" s="76" t="n">
        <v>1221</v>
      </c>
      <c r="B1232" s="77" t="n">
        <v>-1.218041</v>
      </c>
      <c r="C1232" s="78" t="n">
        <f aca="false">05_Unit_Economics!$B$15*EXP((01_Inputs!$C$20-01_Inputs!$C$21^2/2)*01_Inputs!$C$22+01_Inputs!$C$21*SQRT(01_Inputs!$C$22)*B1232)</f>
        <v>35.3356715908012</v>
      </c>
      <c r="D1232" s="78" t="n">
        <f aca="false">MAX(C1232-05_Unit_Economics!$B$21,0)</f>
        <v>0</v>
      </c>
      <c r="E1232" s="78" t="n">
        <f aca="false">D1232*EXP(-01_Inputs!$C$20*01_Inputs!$C$22)</f>
        <v>0</v>
      </c>
      <c r="F1232" s="79"/>
    </row>
    <row r="1233" customFormat="false" ht="15" hidden="false" customHeight="false" outlineLevel="0" collapsed="false">
      <c r="A1233" s="76" t="n">
        <v>1222</v>
      </c>
      <c r="B1233" s="77" t="n">
        <v>1.218041</v>
      </c>
      <c r="C1233" s="78" t="n">
        <f aca="false">05_Unit_Economics!$B$15*EXP((01_Inputs!$C$20-01_Inputs!$C$21^2/2)*01_Inputs!$C$22+01_Inputs!$C$21*SQRT(01_Inputs!$C$22)*B1233)</f>
        <v>82.8906011825498</v>
      </c>
      <c r="D1233" s="78" t="n">
        <f aca="false">MAX(C1233-05_Unit_Economics!$B$21,0)</f>
        <v>44.9829957080463</v>
      </c>
      <c r="E1233" s="78" t="n">
        <f aca="false">D1233*EXP(-01_Inputs!$C$20*01_Inputs!$C$22)</f>
        <v>43.046655761808</v>
      </c>
      <c r="F1233" s="80" t="n">
        <f aca="false">AVERAGE(E1232:E1233)</f>
        <v>21.523327880904</v>
      </c>
    </row>
    <row r="1234" customFormat="false" ht="15" hidden="false" customHeight="false" outlineLevel="0" collapsed="false">
      <c r="A1234" s="76" t="n">
        <v>1223</v>
      </c>
      <c r="B1234" s="77" t="n">
        <v>0.618961</v>
      </c>
      <c r="C1234" s="78" t="n">
        <f aca="false">05_Unit_Economics!$B$15*EXP((01_Inputs!$C$20-01_Inputs!$C$21^2/2)*01_Inputs!$C$22+01_Inputs!$C$21*SQRT(01_Inputs!$C$22)*B1234)</f>
        <v>67.2114540617782</v>
      </c>
      <c r="D1234" s="78" t="n">
        <f aca="false">MAX(C1234-05_Unit_Economics!$B$21,0)</f>
        <v>29.3038485872748</v>
      </c>
      <c r="E1234" s="78" t="n">
        <f aca="false">D1234*EXP(-01_Inputs!$C$20*01_Inputs!$C$22)</f>
        <v>28.0424338747835</v>
      </c>
      <c r="F1234" s="79"/>
    </row>
    <row r="1235" customFormat="false" ht="15" hidden="false" customHeight="false" outlineLevel="0" collapsed="false">
      <c r="A1235" s="76" t="n">
        <v>1224</v>
      </c>
      <c r="B1235" s="77" t="n">
        <v>-0.618961</v>
      </c>
      <c r="C1235" s="78" t="n">
        <f aca="false">05_Unit_Economics!$B$15*EXP((01_Inputs!$C$20-01_Inputs!$C$21^2/2)*01_Inputs!$C$22+01_Inputs!$C$21*SQRT(01_Inputs!$C$22)*B1235)</f>
        <v>43.5788081397321</v>
      </c>
      <c r="D1235" s="78" t="n">
        <f aca="false">MAX(C1235-05_Unit_Economics!$B$21,0)</f>
        <v>5.67120266522863</v>
      </c>
      <c r="E1235" s="78" t="n">
        <f aca="false">D1235*EXP(-01_Inputs!$C$20*01_Inputs!$C$22)</f>
        <v>5.42707983412223</v>
      </c>
      <c r="F1235" s="80" t="n">
        <f aca="false">AVERAGE(E1234:E1235)</f>
        <v>16.7347568544529</v>
      </c>
    </row>
    <row r="1236" customFormat="false" ht="15" hidden="false" customHeight="false" outlineLevel="0" collapsed="false">
      <c r="A1236" s="76" t="n">
        <v>1225</v>
      </c>
      <c r="B1236" s="77" t="n">
        <v>-0.43669</v>
      </c>
      <c r="C1236" s="78" t="n">
        <f aca="false">05_Unit_Economics!$B$15*EXP((01_Inputs!$C$20-01_Inputs!$C$21^2/2)*01_Inputs!$C$22+01_Inputs!$C$21*SQRT(01_Inputs!$C$22)*B1236)</f>
        <v>46.4495060111803</v>
      </c>
      <c r="D1236" s="78" t="n">
        <f aca="false">MAX(C1236-05_Unit_Economics!$B$21,0)</f>
        <v>8.54190053667681</v>
      </c>
      <c r="E1236" s="78" t="n">
        <f aca="false">D1236*EXP(-01_Inputs!$C$20*01_Inputs!$C$22)</f>
        <v>8.17420552291401</v>
      </c>
      <c r="F1236" s="79"/>
    </row>
    <row r="1237" customFormat="false" ht="15" hidden="false" customHeight="false" outlineLevel="0" collapsed="false">
      <c r="A1237" s="76" t="n">
        <v>1226</v>
      </c>
      <c r="B1237" s="77" t="n">
        <v>0.43669</v>
      </c>
      <c r="C1237" s="78" t="n">
        <f aca="false">05_Unit_Economics!$B$15*EXP((01_Inputs!$C$20-01_Inputs!$C$21^2/2)*01_Inputs!$C$22+01_Inputs!$C$21*SQRT(01_Inputs!$C$22)*B1237)</f>
        <v>63.0576148785232</v>
      </c>
      <c r="D1237" s="78" t="n">
        <f aca="false">MAX(C1237-05_Unit_Economics!$B$21,0)</f>
        <v>25.1500094040197</v>
      </c>
      <c r="E1237" s="78" t="n">
        <f aca="false">D1237*EXP(-01_Inputs!$C$20*01_Inputs!$C$22)</f>
        <v>24.067401029661</v>
      </c>
      <c r="F1237" s="80" t="n">
        <f aca="false">AVERAGE(E1236:E1237)</f>
        <v>16.1208032762875</v>
      </c>
    </row>
    <row r="1238" customFormat="false" ht="15" hidden="false" customHeight="false" outlineLevel="0" collapsed="false">
      <c r="A1238" s="76" t="n">
        <v>1227</v>
      </c>
      <c r="B1238" s="77" t="n">
        <v>0.631566</v>
      </c>
      <c r="C1238" s="78" t="n">
        <f aca="false">05_Unit_Economics!$B$15*EXP((01_Inputs!$C$20-01_Inputs!$C$21^2/2)*01_Inputs!$C$22+01_Inputs!$C$21*SQRT(01_Inputs!$C$22)*B1238)</f>
        <v>67.5086292435328</v>
      </c>
      <c r="D1238" s="78" t="n">
        <f aca="false">MAX(C1238-05_Unit_Economics!$B$21,0)</f>
        <v>29.6010237690293</v>
      </c>
      <c r="E1238" s="78" t="n">
        <f aca="false">D1238*EXP(-01_Inputs!$C$20*01_Inputs!$C$22)</f>
        <v>28.3268168410263</v>
      </c>
      <c r="F1238" s="79"/>
    </row>
    <row r="1239" customFormat="false" ht="15" hidden="false" customHeight="false" outlineLevel="0" collapsed="false">
      <c r="A1239" s="76" t="n">
        <v>1228</v>
      </c>
      <c r="B1239" s="77" t="n">
        <v>-0.631566</v>
      </c>
      <c r="C1239" s="78" t="n">
        <f aca="false">05_Unit_Economics!$B$15*EXP((01_Inputs!$C$20-01_Inputs!$C$21^2/2)*01_Inputs!$C$22+01_Inputs!$C$21*SQRT(01_Inputs!$C$22)*B1239)</f>
        <v>43.3869728088316</v>
      </c>
      <c r="D1239" s="78" t="n">
        <f aca="false">MAX(C1239-05_Unit_Economics!$B$21,0)</f>
        <v>5.47936733432814</v>
      </c>
      <c r="E1239" s="78" t="n">
        <f aca="false">D1239*EXP(-01_Inputs!$C$20*01_Inputs!$C$22)</f>
        <v>5.24350225503385</v>
      </c>
      <c r="F1239" s="80" t="n">
        <f aca="false">AVERAGE(E1238:E1239)</f>
        <v>16.7851595480301</v>
      </c>
    </row>
    <row r="1240" customFormat="false" ht="15" hidden="false" customHeight="false" outlineLevel="0" collapsed="false">
      <c r="A1240" s="76" t="n">
        <v>1229</v>
      </c>
      <c r="B1240" s="77" t="n">
        <v>0.229108</v>
      </c>
      <c r="C1240" s="78" t="n">
        <f aca="false">05_Unit_Economics!$B$15*EXP((01_Inputs!$C$20-01_Inputs!$C$21^2/2)*01_Inputs!$C$22+01_Inputs!$C$21*SQRT(01_Inputs!$C$22)*B1240)</f>
        <v>58.6387142015703</v>
      </c>
      <c r="D1240" s="78" t="n">
        <f aca="false">MAX(C1240-05_Unit_Economics!$B$21,0)</f>
        <v>20.7311087270668</v>
      </c>
      <c r="E1240" s="78" t="n">
        <f aca="false">D1240*EXP(-01_Inputs!$C$20*01_Inputs!$C$22)</f>
        <v>19.8387165391706</v>
      </c>
      <c r="F1240" s="79"/>
    </row>
    <row r="1241" customFormat="false" ht="15" hidden="false" customHeight="false" outlineLevel="0" collapsed="false">
      <c r="A1241" s="76" t="n">
        <v>1230</v>
      </c>
      <c r="B1241" s="77" t="n">
        <v>-0.229108</v>
      </c>
      <c r="C1241" s="78" t="n">
        <f aca="false">05_Unit_Economics!$B$15*EXP((01_Inputs!$C$20-01_Inputs!$C$21^2/2)*01_Inputs!$C$22+01_Inputs!$C$21*SQRT(01_Inputs!$C$22)*B1241)</f>
        <v>49.9498514118548</v>
      </c>
      <c r="D1241" s="78" t="n">
        <f aca="false">MAX(C1241-05_Unit_Economics!$B$21,0)</f>
        <v>12.0422459373513</v>
      </c>
      <c r="E1241" s="78" t="n">
        <f aca="false">D1241*EXP(-01_Inputs!$C$20*01_Inputs!$C$22)</f>
        <v>11.523874906612</v>
      </c>
      <c r="F1241" s="80" t="n">
        <f aca="false">AVERAGE(E1240:E1241)</f>
        <v>15.6812957228913</v>
      </c>
    </row>
    <row r="1242" customFormat="false" ht="15" hidden="false" customHeight="false" outlineLevel="0" collapsed="false">
      <c r="A1242" s="76" t="n">
        <v>1231</v>
      </c>
      <c r="B1242" s="77" t="n">
        <v>-1.736949</v>
      </c>
      <c r="C1242" s="78" t="n">
        <f aca="false">05_Unit_Economics!$B$15*EXP((01_Inputs!$C$20-01_Inputs!$C$21^2/2)*01_Inputs!$C$22+01_Inputs!$C$21*SQRT(01_Inputs!$C$22)*B1242)</f>
        <v>29.4671233851819</v>
      </c>
      <c r="D1242" s="78" t="n">
        <f aca="false">MAX(C1242-05_Unit_Economics!$B$21,0)</f>
        <v>0</v>
      </c>
      <c r="E1242" s="78" t="n">
        <f aca="false">D1242*EXP(-01_Inputs!$C$20*01_Inputs!$C$22)</f>
        <v>0</v>
      </c>
      <c r="F1242" s="79"/>
    </row>
    <row r="1243" customFormat="false" ht="15" hidden="false" customHeight="false" outlineLevel="0" collapsed="false">
      <c r="A1243" s="76" t="n">
        <v>1232</v>
      </c>
      <c r="B1243" s="77" t="n">
        <v>1.736949</v>
      </c>
      <c r="C1243" s="78" t="n">
        <f aca="false">05_Unit_Economics!$B$15*EXP((01_Inputs!$C$20-01_Inputs!$C$21^2/2)*01_Inputs!$C$22+01_Inputs!$C$21*SQRT(01_Inputs!$C$22)*B1243)</f>
        <v>99.3987442569149</v>
      </c>
      <c r="D1243" s="78" t="n">
        <f aca="false">MAX(C1243-05_Unit_Economics!$B$21,0)</f>
        <v>61.4911387824114</v>
      </c>
      <c r="E1243" s="78" t="n">
        <f aca="false">D1243*EXP(-01_Inputs!$C$20*01_Inputs!$C$22)</f>
        <v>58.8441886073529</v>
      </c>
      <c r="F1243" s="80" t="n">
        <f aca="false">AVERAGE(E1242:E1243)</f>
        <v>29.4220943036765</v>
      </c>
    </row>
    <row r="1244" customFormat="false" ht="15" hidden="false" customHeight="false" outlineLevel="0" collapsed="false">
      <c r="A1244" s="76" t="n">
        <v>1233</v>
      </c>
      <c r="B1244" s="77" t="n">
        <v>2.244835</v>
      </c>
      <c r="C1244" s="78" t="n">
        <f aca="false">05_Unit_Economics!$B$15*EXP((01_Inputs!$C$20-01_Inputs!$C$21^2/2)*01_Inputs!$C$22+01_Inputs!$C$21*SQRT(01_Inputs!$C$22)*B1244)</f>
        <v>118.735648438033</v>
      </c>
      <c r="D1244" s="78" t="n">
        <f aca="false">MAX(C1244-05_Unit_Economics!$B$21,0)</f>
        <v>80.8280429635295</v>
      </c>
      <c r="E1244" s="78" t="n">
        <f aca="false">D1244*EXP(-01_Inputs!$C$20*01_Inputs!$C$22)</f>
        <v>77.348715588751</v>
      </c>
      <c r="F1244" s="79"/>
    </row>
    <row r="1245" customFormat="false" ht="15" hidden="false" customHeight="false" outlineLevel="0" collapsed="false">
      <c r="A1245" s="76" t="n">
        <v>1234</v>
      </c>
      <c r="B1245" s="77" t="n">
        <v>-2.244835</v>
      </c>
      <c r="C1245" s="78" t="n">
        <f aca="false">05_Unit_Economics!$B$15*EXP((01_Inputs!$C$20-01_Inputs!$C$21^2/2)*01_Inputs!$C$22+01_Inputs!$C$21*SQRT(01_Inputs!$C$22)*B1245)</f>
        <v>24.6682028513052</v>
      </c>
      <c r="D1245" s="78" t="n">
        <f aca="false">MAX(C1245-05_Unit_Economics!$B$21,0)</f>
        <v>0</v>
      </c>
      <c r="E1245" s="78" t="n">
        <f aca="false">D1245*EXP(-01_Inputs!$C$20*01_Inputs!$C$22)</f>
        <v>0</v>
      </c>
      <c r="F1245" s="80" t="n">
        <f aca="false">AVERAGE(E1244:E1245)</f>
        <v>38.6743577943755</v>
      </c>
    </row>
    <row r="1246" customFormat="false" ht="15" hidden="false" customHeight="false" outlineLevel="0" collapsed="false">
      <c r="A1246" s="76" t="n">
        <v>1235</v>
      </c>
      <c r="B1246" s="77" t="n">
        <v>0.288831</v>
      </c>
      <c r="C1246" s="78" t="n">
        <f aca="false">05_Unit_Economics!$B$15*EXP((01_Inputs!$C$20-01_Inputs!$C$21^2/2)*01_Inputs!$C$22+01_Inputs!$C$21*SQRT(01_Inputs!$C$22)*B1246)</f>
        <v>59.8773426325343</v>
      </c>
      <c r="D1246" s="78" t="n">
        <f aca="false">MAX(C1246-05_Unit_Economics!$B$21,0)</f>
        <v>21.9697371580308</v>
      </c>
      <c r="E1246" s="78" t="n">
        <f aca="false">D1246*EXP(-01_Inputs!$C$20*01_Inputs!$C$22)</f>
        <v>21.0240269180203</v>
      </c>
      <c r="F1246" s="79"/>
    </row>
    <row r="1247" customFormat="false" ht="15" hidden="false" customHeight="false" outlineLevel="0" collapsed="false">
      <c r="A1247" s="76" t="n">
        <v>1236</v>
      </c>
      <c r="B1247" s="77" t="n">
        <v>-0.288831</v>
      </c>
      <c r="C1247" s="78" t="n">
        <f aca="false">05_Unit_Economics!$B$15*EXP((01_Inputs!$C$20-01_Inputs!$C$21^2/2)*01_Inputs!$C$22+01_Inputs!$C$21*SQRT(01_Inputs!$C$22)*B1247)</f>
        <v>48.9165840128514</v>
      </c>
      <c r="D1247" s="78" t="n">
        <f aca="false">MAX(C1247-05_Unit_Economics!$B$21,0)</f>
        <v>11.0089785383479</v>
      </c>
      <c r="E1247" s="78" t="n">
        <f aca="false">D1247*EXP(-01_Inputs!$C$20*01_Inputs!$C$22)</f>
        <v>10.5350855800079</v>
      </c>
      <c r="F1247" s="80" t="n">
        <f aca="false">AVERAGE(E1246:E1247)</f>
        <v>15.7795562490141</v>
      </c>
    </row>
    <row r="1248" customFormat="false" ht="15" hidden="false" customHeight="false" outlineLevel="0" collapsed="false">
      <c r="A1248" s="76" t="n">
        <v>1237</v>
      </c>
      <c r="B1248" s="77" t="n">
        <v>0.538488</v>
      </c>
      <c r="C1248" s="78" t="n">
        <f aca="false">05_Unit_Economics!$B$15*EXP((01_Inputs!$C$20-01_Inputs!$C$21^2/2)*01_Inputs!$C$22+01_Inputs!$C$21*SQRT(01_Inputs!$C$22)*B1248)</f>
        <v>65.3448173154673</v>
      </c>
      <c r="D1248" s="78" t="n">
        <f aca="false">MAX(C1248-05_Unit_Economics!$B$21,0)</f>
        <v>27.4372118409639</v>
      </c>
      <c r="E1248" s="78" t="n">
        <f aca="false">D1248*EXP(-01_Inputs!$C$20*01_Inputs!$C$22)</f>
        <v>26.2561484532367</v>
      </c>
      <c r="F1248" s="79"/>
    </row>
    <row r="1249" customFormat="false" ht="15" hidden="false" customHeight="false" outlineLevel="0" collapsed="false">
      <c r="A1249" s="76" t="n">
        <v>1238</v>
      </c>
      <c r="B1249" s="77" t="n">
        <v>-0.538488</v>
      </c>
      <c r="C1249" s="78" t="n">
        <f aca="false">05_Unit_Economics!$B$15*EXP((01_Inputs!$C$20-01_Inputs!$C$21^2/2)*01_Inputs!$C$22+01_Inputs!$C$21*SQRT(01_Inputs!$C$22)*B1249)</f>
        <v>44.8236781688477</v>
      </c>
      <c r="D1249" s="78" t="n">
        <f aca="false">MAX(C1249-05_Unit_Economics!$B$21,0)</f>
        <v>6.91607269434419</v>
      </c>
      <c r="E1249" s="78" t="n">
        <f aca="false">D1249*EXP(-01_Inputs!$C$20*01_Inputs!$C$22)</f>
        <v>6.61836313502395</v>
      </c>
      <c r="F1249" s="80" t="n">
        <f aca="false">AVERAGE(E1248:E1249)</f>
        <v>16.4372557941303</v>
      </c>
    </row>
    <row r="1250" customFormat="false" ht="15" hidden="false" customHeight="false" outlineLevel="0" collapsed="false">
      <c r="A1250" s="76" t="n">
        <v>1239</v>
      </c>
      <c r="B1250" s="77" t="n">
        <v>-0.396961</v>
      </c>
      <c r="C1250" s="78" t="n">
        <f aca="false">05_Unit_Economics!$B$15*EXP((01_Inputs!$C$20-01_Inputs!$C$21^2/2)*01_Inputs!$C$22+01_Inputs!$C$21*SQRT(01_Inputs!$C$22)*B1250)</f>
        <v>47.099904826545</v>
      </c>
      <c r="D1250" s="78" t="n">
        <f aca="false">MAX(C1250-05_Unit_Economics!$B$21,0)</f>
        <v>9.19229935204151</v>
      </c>
      <c r="E1250" s="78" t="n">
        <f aca="false">D1250*EXP(-01_Inputs!$C$20*01_Inputs!$C$22)</f>
        <v>8.79660724321304</v>
      </c>
      <c r="F1250" s="79"/>
    </row>
    <row r="1251" customFormat="false" ht="15" hidden="false" customHeight="false" outlineLevel="0" collapsed="false">
      <c r="A1251" s="76" t="n">
        <v>1240</v>
      </c>
      <c r="B1251" s="77" t="n">
        <v>0.396961</v>
      </c>
      <c r="C1251" s="78" t="n">
        <f aca="false">05_Unit_Economics!$B$15*EXP((01_Inputs!$C$20-01_Inputs!$C$21^2/2)*01_Inputs!$C$22+01_Inputs!$C$21*SQRT(01_Inputs!$C$22)*B1251)</f>
        <v>62.1868573224781</v>
      </c>
      <c r="D1251" s="78" t="n">
        <f aca="false">MAX(C1251-05_Unit_Economics!$B$21,0)</f>
        <v>24.2792518479747</v>
      </c>
      <c r="E1251" s="78" t="n">
        <f aca="false">D1251*EXP(-01_Inputs!$C$20*01_Inputs!$C$22)</f>
        <v>23.2341261404041</v>
      </c>
      <c r="F1251" s="80" t="n">
        <f aca="false">AVERAGE(E1250:E1251)</f>
        <v>16.0153666918086</v>
      </c>
    </row>
    <row r="1252" customFormat="false" ht="15" hidden="false" customHeight="false" outlineLevel="0" collapsed="false">
      <c r="A1252" s="76" t="n">
        <v>1241</v>
      </c>
      <c r="B1252" s="77" t="n">
        <v>-0.310406</v>
      </c>
      <c r="C1252" s="78" t="n">
        <f aca="false">05_Unit_Economics!$B$15*EXP((01_Inputs!$C$20-01_Inputs!$C$21^2/2)*01_Inputs!$C$22+01_Inputs!$C$21*SQRT(01_Inputs!$C$22)*B1252)</f>
        <v>48.5485937994811</v>
      </c>
      <c r="D1252" s="78" t="n">
        <f aca="false">MAX(C1252-05_Unit_Economics!$B$21,0)</f>
        <v>10.6409883249776</v>
      </c>
      <c r="E1252" s="78" t="n">
        <f aca="false">D1252*EXP(-01_Inputs!$C$20*01_Inputs!$C$22)</f>
        <v>10.1829358890118</v>
      </c>
      <c r="F1252" s="79"/>
    </row>
    <row r="1253" customFormat="false" ht="15" hidden="false" customHeight="false" outlineLevel="0" collapsed="false">
      <c r="A1253" s="76" t="n">
        <v>1242</v>
      </c>
      <c r="B1253" s="77" t="n">
        <v>0.310406</v>
      </c>
      <c r="C1253" s="78" t="n">
        <f aca="false">05_Unit_Economics!$B$15*EXP((01_Inputs!$C$20-01_Inputs!$C$21^2/2)*01_Inputs!$C$22+01_Inputs!$C$21*SQRT(01_Inputs!$C$22)*B1253)</f>
        <v>60.3312028654877</v>
      </c>
      <c r="D1253" s="78" t="n">
        <f aca="false">MAX(C1253-05_Unit_Economics!$B$21,0)</f>
        <v>22.4235973909843</v>
      </c>
      <c r="E1253" s="78" t="n">
        <f aca="false">D1253*EXP(-01_Inputs!$C$20*01_Inputs!$C$22)</f>
        <v>21.4583502640847</v>
      </c>
      <c r="F1253" s="80" t="n">
        <f aca="false">AVERAGE(E1252:E1253)</f>
        <v>15.8206430765482</v>
      </c>
    </row>
    <row r="1254" customFormat="false" ht="15" hidden="false" customHeight="false" outlineLevel="0" collapsed="false">
      <c r="A1254" s="76" t="n">
        <v>1243</v>
      </c>
      <c r="B1254" s="77" t="n">
        <v>0.867053</v>
      </c>
      <c r="C1254" s="78" t="n">
        <f aca="false">05_Unit_Economics!$B$15*EXP((01_Inputs!$C$20-01_Inputs!$C$21^2/2)*01_Inputs!$C$22+01_Inputs!$C$21*SQRT(01_Inputs!$C$22)*B1254)</f>
        <v>73.3084498850159</v>
      </c>
      <c r="D1254" s="78" t="n">
        <f aca="false">MAX(C1254-05_Unit_Economics!$B$21,0)</f>
        <v>35.4008444105124</v>
      </c>
      <c r="E1254" s="78" t="n">
        <f aca="false">D1254*EXP(-01_Inputs!$C$20*01_Inputs!$C$22)</f>
        <v>33.8769781565274</v>
      </c>
      <c r="F1254" s="79"/>
    </row>
    <row r="1255" customFormat="false" ht="15" hidden="false" customHeight="false" outlineLevel="0" collapsed="false">
      <c r="A1255" s="76" t="n">
        <v>1244</v>
      </c>
      <c r="B1255" s="77" t="n">
        <v>-0.867053</v>
      </c>
      <c r="C1255" s="78" t="n">
        <f aca="false">05_Unit_Economics!$B$15*EXP((01_Inputs!$C$20-01_Inputs!$C$21^2/2)*01_Inputs!$C$22+01_Inputs!$C$21*SQRT(01_Inputs!$C$22)*B1255)</f>
        <v>39.9543990623833</v>
      </c>
      <c r="D1255" s="78" t="n">
        <f aca="false">MAX(C1255-05_Unit_Economics!$B$21,0)</f>
        <v>2.04679358787985</v>
      </c>
      <c r="E1255" s="78" t="n">
        <f aca="false">D1255*EXP(-01_Inputs!$C$20*01_Inputs!$C$22)</f>
        <v>1.95868722405208</v>
      </c>
      <c r="F1255" s="80" t="n">
        <f aca="false">AVERAGE(E1254:E1255)</f>
        <v>17.9178326902897</v>
      </c>
    </row>
    <row r="1256" customFormat="false" ht="15" hidden="false" customHeight="false" outlineLevel="0" collapsed="false">
      <c r="A1256" s="76" t="n">
        <v>1245</v>
      </c>
      <c r="B1256" s="77" t="n">
        <v>-0.20546</v>
      </c>
      <c r="C1256" s="78" t="n">
        <f aca="false">05_Unit_Economics!$B$15*EXP((01_Inputs!$C$20-01_Inputs!$C$21^2/2)*01_Inputs!$C$22+01_Inputs!$C$21*SQRT(01_Inputs!$C$22)*B1256)</f>
        <v>50.3649919898428</v>
      </c>
      <c r="D1256" s="78" t="n">
        <f aca="false">MAX(C1256-05_Unit_Economics!$B$21,0)</f>
        <v>12.4573865153393</v>
      </c>
      <c r="E1256" s="78" t="n">
        <f aca="false">D1256*EXP(-01_Inputs!$C$20*01_Inputs!$C$22)</f>
        <v>11.9211453256254</v>
      </c>
      <c r="F1256" s="79"/>
    </row>
    <row r="1257" customFormat="false" ht="15" hidden="false" customHeight="false" outlineLevel="0" collapsed="false">
      <c r="A1257" s="76" t="n">
        <v>1246</v>
      </c>
      <c r="B1257" s="77" t="n">
        <v>0.20546</v>
      </c>
      <c r="C1257" s="78" t="n">
        <f aca="false">05_Unit_Economics!$B$15*EXP((01_Inputs!$C$20-01_Inputs!$C$21^2/2)*01_Inputs!$C$22+01_Inputs!$C$21*SQRT(01_Inputs!$C$22)*B1257)</f>
        <v>58.1553762967211</v>
      </c>
      <c r="D1257" s="78" t="n">
        <f aca="false">MAX(C1257-05_Unit_Economics!$B$21,0)</f>
        <v>20.2477708222176</v>
      </c>
      <c r="E1257" s="78" t="n">
        <f aca="false">D1257*EXP(-01_Inputs!$C$20*01_Inputs!$C$22)</f>
        <v>19.3761844183284</v>
      </c>
      <c r="F1257" s="80" t="n">
        <f aca="false">AVERAGE(E1256:E1257)</f>
        <v>15.6486648719769</v>
      </c>
    </row>
    <row r="1258" customFormat="false" ht="15" hidden="false" customHeight="false" outlineLevel="0" collapsed="false">
      <c r="A1258" s="76" t="n">
        <v>1247</v>
      </c>
      <c r="B1258" s="77" t="n">
        <v>2.017583</v>
      </c>
      <c r="C1258" s="78" t="n">
        <f aca="false">05_Unit_Economics!$B$15*EXP((01_Inputs!$C$20-01_Inputs!$C$21^2/2)*01_Inputs!$C$22+01_Inputs!$C$21*SQRT(01_Inputs!$C$22)*B1258)</f>
        <v>109.657446089637</v>
      </c>
      <c r="D1258" s="78" t="n">
        <f aca="false">MAX(C1258-05_Unit_Economics!$B$21,0)</f>
        <v>71.7498406151337</v>
      </c>
      <c r="E1258" s="78" t="n">
        <f aca="false">D1258*EXP(-01_Inputs!$C$20*01_Inputs!$C$22)</f>
        <v>68.6612939247125</v>
      </c>
      <c r="F1258" s="79"/>
    </row>
    <row r="1259" customFormat="false" ht="15" hidden="false" customHeight="false" outlineLevel="0" collapsed="false">
      <c r="A1259" s="76" t="n">
        <v>1248</v>
      </c>
      <c r="B1259" s="77" t="n">
        <v>-2.017583</v>
      </c>
      <c r="C1259" s="78" t="n">
        <f aca="false">05_Unit_Economics!$B$15*EXP((01_Inputs!$C$20-01_Inputs!$C$21^2/2)*01_Inputs!$C$22+01_Inputs!$C$21*SQRT(01_Inputs!$C$22)*B1259)</f>
        <v>26.7104074168972</v>
      </c>
      <c r="D1259" s="78" t="n">
        <f aca="false">MAX(C1259-05_Unit_Economics!$B$21,0)</f>
        <v>0</v>
      </c>
      <c r="E1259" s="78" t="n">
        <f aca="false">D1259*EXP(-01_Inputs!$C$20*01_Inputs!$C$22)</f>
        <v>0</v>
      </c>
      <c r="F1259" s="80" t="n">
        <f aca="false">AVERAGE(E1258:E1259)</f>
        <v>34.3306469623563</v>
      </c>
    </row>
    <row r="1260" customFormat="false" ht="15" hidden="false" customHeight="false" outlineLevel="0" collapsed="false">
      <c r="A1260" s="76" t="n">
        <v>1249</v>
      </c>
      <c r="B1260" s="77" t="n">
        <v>0.499865</v>
      </c>
      <c r="C1260" s="78" t="n">
        <f aca="false">05_Unit_Economics!$B$15*EXP((01_Inputs!$C$20-01_Inputs!$C$21^2/2)*01_Inputs!$C$22+01_Inputs!$C$21*SQRT(01_Inputs!$C$22)*B1260)</f>
        <v>64.4674264753685</v>
      </c>
      <c r="D1260" s="78" t="n">
        <f aca="false">MAX(C1260-05_Unit_Economics!$B$21,0)</f>
        <v>26.5598210008651</v>
      </c>
      <c r="E1260" s="78" t="n">
        <f aca="false">D1260*EXP(-01_Inputs!$C$20*01_Inputs!$C$22)</f>
        <v>25.4165258165536</v>
      </c>
      <c r="F1260" s="79"/>
    </row>
    <row r="1261" customFormat="false" ht="15" hidden="false" customHeight="false" outlineLevel="0" collapsed="false">
      <c r="A1261" s="76" t="n">
        <v>1250</v>
      </c>
      <c r="B1261" s="77" t="n">
        <v>-0.499865</v>
      </c>
      <c r="C1261" s="78" t="n">
        <f aca="false">05_Unit_Economics!$B$15*EXP((01_Inputs!$C$20-01_Inputs!$C$21^2/2)*01_Inputs!$C$22+01_Inputs!$C$21*SQRT(01_Inputs!$C$22)*B1261)</f>
        <v>45.4337208957729</v>
      </c>
      <c r="D1261" s="78" t="n">
        <f aca="false">MAX(C1261-05_Unit_Economics!$B$21,0)</f>
        <v>7.5261154212694</v>
      </c>
      <c r="E1261" s="78" t="n">
        <f aca="false">D1261*EXP(-01_Inputs!$C$20*01_Inputs!$C$22)</f>
        <v>7.20214593678267</v>
      </c>
      <c r="F1261" s="80" t="n">
        <f aca="false">AVERAGE(E1260:E1261)</f>
        <v>16.3093358766681</v>
      </c>
    </row>
    <row r="1262" customFormat="false" ht="15" hidden="false" customHeight="false" outlineLevel="0" collapsed="false">
      <c r="A1262" s="76" t="n">
        <v>1251</v>
      </c>
      <c r="B1262" s="77" t="n">
        <v>0.00122</v>
      </c>
      <c r="C1262" s="78" t="n">
        <f aca="false">05_Unit_Economics!$B$15*EXP((01_Inputs!$C$20-01_Inputs!$C$21^2/2)*01_Inputs!$C$22+01_Inputs!$C$21*SQRT(01_Inputs!$C$22)*B1262)</f>
        <v>54.1433051403277</v>
      </c>
      <c r="D1262" s="78" t="n">
        <f aca="false">MAX(C1262-05_Unit_Economics!$B$21,0)</f>
        <v>16.2356996658243</v>
      </c>
      <c r="E1262" s="78" t="n">
        <f aca="false">D1262*EXP(-01_Inputs!$C$20*01_Inputs!$C$22)</f>
        <v>15.5368170475543</v>
      </c>
      <c r="F1262" s="79"/>
    </row>
    <row r="1263" customFormat="false" ht="15" hidden="false" customHeight="false" outlineLevel="0" collapsed="false">
      <c r="A1263" s="76" t="n">
        <v>1252</v>
      </c>
      <c r="B1263" s="77" t="n">
        <v>-0.00122</v>
      </c>
      <c r="C1263" s="78" t="n">
        <f aca="false">05_Unit_Economics!$B$15*EXP((01_Inputs!$C$20-01_Inputs!$C$21^2/2)*01_Inputs!$C$22+01_Inputs!$C$21*SQRT(01_Inputs!$C$22)*B1263)</f>
        <v>54.0970864959081</v>
      </c>
      <c r="D1263" s="78" t="n">
        <f aca="false">MAX(C1263-05_Unit_Economics!$B$21,0)</f>
        <v>16.1894810214046</v>
      </c>
      <c r="E1263" s="78" t="n">
        <f aca="false">D1263*EXP(-01_Inputs!$C$20*01_Inputs!$C$22)</f>
        <v>15.4925879328679</v>
      </c>
      <c r="F1263" s="80" t="n">
        <f aca="false">AVERAGE(E1262:E1263)</f>
        <v>15.5147024902111</v>
      </c>
    </row>
    <row r="1264" customFormat="false" ht="15" hidden="false" customHeight="false" outlineLevel="0" collapsed="false">
      <c r="A1264" s="76" t="n">
        <v>1253</v>
      </c>
      <c r="B1264" s="77" t="n">
        <v>-2.620412</v>
      </c>
      <c r="C1264" s="78" t="n">
        <f aca="false">05_Unit_Economics!$B$15*EXP((01_Inputs!$C$20-01_Inputs!$C$21^2/2)*01_Inputs!$C$22+01_Inputs!$C$21*SQRT(01_Inputs!$C$22)*B1264)</f>
        <v>21.6296082926291</v>
      </c>
      <c r="D1264" s="78" t="n">
        <f aca="false">MAX(C1264-05_Unit_Economics!$B$21,0)</f>
        <v>0</v>
      </c>
      <c r="E1264" s="78" t="n">
        <f aca="false">D1264*EXP(-01_Inputs!$C$20*01_Inputs!$C$22)</f>
        <v>0</v>
      </c>
      <c r="F1264" s="79"/>
    </row>
    <row r="1265" customFormat="false" ht="15" hidden="false" customHeight="false" outlineLevel="0" collapsed="false">
      <c r="A1265" s="76" t="n">
        <v>1254</v>
      </c>
      <c r="B1265" s="77" t="n">
        <v>2.620412</v>
      </c>
      <c r="C1265" s="78" t="n">
        <f aca="false">05_Unit_Economics!$B$15*EXP((01_Inputs!$C$20-01_Inputs!$C$21^2/2)*01_Inputs!$C$22+01_Inputs!$C$21*SQRT(01_Inputs!$C$22)*B1265)</f>
        <v>135.416001146391</v>
      </c>
      <c r="D1265" s="78" t="n">
        <f aca="false">MAX(C1265-05_Unit_Economics!$B$21,0)</f>
        <v>97.5083956718877</v>
      </c>
      <c r="E1265" s="78" t="n">
        <f aca="false">D1265*EXP(-01_Inputs!$C$20*01_Inputs!$C$22)</f>
        <v>93.3110451250606</v>
      </c>
      <c r="F1265" s="80" t="n">
        <f aca="false">AVERAGE(E1264:E1265)</f>
        <v>46.6555225625303</v>
      </c>
    </row>
    <row r="1266" customFormat="false" ht="15" hidden="false" customHeight="false" outlineLevel="0" collapsed="false">
      <c r="A1266" s="76" t="n">
        <v>1255</v>
      </c>
      <c r="B1266" s="77" t="n">
        <v>0.328289</v>
      </c>
      <c r="C1266" s="78" t="n">
        <f aca="false">05_Unit_Economics!$B$15*EXP((01_Inputs!$C$20-01_Inputs!$C$21^2/2)*01_Inputs!$C$22+01_Inputs!$C$21*SQRT(01_Inputs!$C$22)*B1266)</f>
        <v>60.7100031089685</v>
      </c>
      <c r="D1266" s="78" t="n">
        <f aca="false">MAX(C1266-05_Unit_Economics!$B$21,0)</f>
        <v>22.802397634465</v>
      </c>
      <c r="E1266" s="78" t="n">
        <f aca="false">D1266*EXP(-01_Inputs!$C$20*01_Inputs!$C$22)</f>
        <v>21.8208446561753</v>
      </c>
      <c r="F1266" s="79"/>
    </row>
    <row r="1267" customFormat="false" ht="15" hidden="false" customHeight="false" outlineLevel="0" collapsed="false">
      <c r="A1267" s="76" t="n">
        <v>1256</v>
      </c>
      <c r="B1267" s="77" t="n">
        <v>-0.328289</v>
      </c>
      <c r="C1267" s="78" t="n">
        <f aca="false">05_Unit_Economics!$B$15*EXP((01_Inputs!$C$20-01_Inputs!$C$21^2/2)*01_Inputs!$C$22+01_Inputs!$C$21*SQRT(01_Inputs!$C$22)*B1267)</f>
        <v>48.2456747052606</v>
      </c>
      <c r="D1267" s="78" t="n">
        <f aca="false">MAX(C1267-05_Unit_Economics!$B$21,0)</f>
        <v>10.3380692307571</v>
      </c>
      <c r="E1267" s="78" t="n">
        <f aca="false">D1267*EXP(-01_Inputs!$C$20*01_Inputs!$C$22)</f>
        <v>9.89305626300336</v>
      </c>
      <c r="F1267" s="80" t="n">
        <f aca="false">AVERAGE(E1266:E1267)</f>
        <v>15.8569504595893</v>
      </c>
    </row>
    <row r="1268" customFormat="false" ht="15" hidden="false" customHeight="false" outlineLevel="0" collapsed="false">
      <c r="A1268" s="76" t="n">
        <v>1257</v>
      </c>
      <c r="B1268" s="77" t="n">
        <v>0.380445</v>
      </c>
      <c r="C1268" s="78" t="n">
        <f aca="false">05_Unit_Economics!$B$15*EXP((01_Inputs!$C$20-01_Inputs!$C$21^2/2)*01_Inputs!$C$22+01_Inputs!$C$21*SQRT(01_Inputs!$C$22)*B1268)</f>
        <v>61.8284169732976</v>
      </c>
      <c r="D1268" s="78" t="n">
        <f aca="false">MAX(C1268-05_Unit_Economics!$B$21,0)</f>
        <v>23.9208114987941</v>
      </c>
      <c r="E1268" s="78" t="n">
        <f aca="false">D1268*EXP(-01_Inputs!$C$20*01_Inputs!$C$22)</f>
        <v>22.8911152297378</v>
      </c>
      <c r="F1268" s="79"/>
    </row>
    <row r="1269" customFormat="false" ht="15" hidden="false" customHeight="false" outlineLevel="0" collapsed="false">
      <c r="A1269" s="76" t="n">
        <v>1258</v>
      </c>
      <c r="B1269" s="77" t="n">
        <v>-0.380445</v>
      </c>
      <c r="C1269" s="78" t="n">
        <f aca="false">05_Unit_Economics!$B$15*EXP((01_Inputs!$C$20-01_Inputs!$C$21^2/2)*01_Inputs!$C$22+01_Inputs!$C$21*SQRT(01_Inputs!$C$22)*B1269)</f>
        <v>47.3729589844687</v>
      </c>
      <c r="D1269" s="78" t="n">
        <f aca="false">MAX(C1269-05_Unit_Economics!$B$21,0)</f>
        <v>9.4653535099652</v>
      </c>
      <c r="E1269" s="78" t="n">
        <f aca="false">D1269*EXP(-01_Inputs!$C$20*01_Inputs!$C$22)</f>
        <v>9.05790750024259</v>
      </c>
      <c r="F1269" s="80" t="n">
        <f aca="false">AVERAGE(E1268:E1269)</f>
        <v>15.9745113649902</v>
      </c>
    </row>
    <row r="1270" customFormat="false" ht="15" hidden="false" customHeight="false" outlineLevel="0" collapsed="false">
      <c r="A1270" s="76" t="n">
        <v>1259</v>
      </c>
      <c r="B1270" s="77" t="n">
        <v>-2.464722</v>
      </c>
      <c r="C1270" s="78" t="n">
        <f aca="false">05_Unit_Economics!$B$15*EXP((01_Inputs!$C$20-01_Inputs!$C$21^2/2)*01_Inputs!$C$22+01_Inputs!$C$21*SQRT(01_Inputs!$C$22)*B1270)</f>
        <v>22.8409420681254</v>
      </c>
      <c r="D1270" s="78" t="n">
        <f aca="false">MAX(C1270-05_Unit_Economics!$B$21,0)</f>
        <v>0</v>
      </c>
      <c r="E1270" s="78" t="n">
        <f aca="false">D1270*EXP(-01_Inputs!$C$20*01_Inputs!$C$22)</f>
        <v>0</v>
      </c>
      <c r="F1270" s="79"/>
    </row>
    <row r="1271" customFormat="false" ht="15" hidden="false" customHeight="false" outlineLevel="0" collapsed="false">
      <c r="A1271" s="76" t="n">
        <v>1260</v>
      </c>
      <c r="B1271" s="77" t="n">
        <v>2.464722</v>
      </c>
      <c r="C1271" s="78" t="n">
        <f aca="false">05_Unit_Economics!$B$15*EXP((01_Inputs!$C$20-01_Inputs!$C$21^2/2)*01_Inputs!$C$22+01_Inputs!$C$21*SQRT(01_Inputs!$C$22)*B1271)</f>
        <v>128.234424509052</v>
      </c>
      <c r="D1271" s="78" t="n">
        <f aca="false">MAX(C1271-05_Unit_Economics!$B$21,0)</f>
        <v>90.3268190345485</v>
      </c>
      <c r="E1271" s="78" t="n">
        <f aca="false">D1271*EXP(-01_Inputs!$C$20*01_Inputs!$C$22)</f>
        <v>86.4386069410629</v>
      </c>
      <c r="F1271" s="80" t="n">
        <f aca="false">AVERAGE(E1270:E1271)</f>
        <v>43.2193034705315</v>
      </c>
    </row>
    <row r="1272" customFormat="false" ht="15" hidden="false" customHeight="false" outlineLevel="0" collapsed="false">
      <c r="A1272" s="76" t="n">
        <v>1261</v>
      </c>
      <c r="B1272" s="77" t="n">
        <v>-0.237124</v>
      </c>
      <c r="C1272" s="78" t="n">
        <f aca="false">05_Unit_Economics!$B$15*EXP((01_Inputs!$C$20-01_Inputs!$C$21^2/2)*01_Inputs!$C$22+01_Inputs!$C$21*SQRT(01_Inputs!$C$22)*B1272)</f>
        <v>49.8099085124284</v>
      </c>
      <c r="D1272" s="78" t="n">
        <f aca="false">MAX(C1272-05_Unit_Economics!$B$21,0)</f>
        <v>11.9023030379249</v>
      </c>
      <c r="E1272" s="78" t="n">
        <f aca="false">D1272*EXP(-01_Inputs!$C$20*01_Inputs!$C$22)</f>
        <v>11.3899559951857</v>
      </c>
      <c r="F1272" s="79"/>
    </row>
    <row r="1273" customFormat="false" ht="15" hidden="false" customHeight="false" outlineLevel="0" collapsed="false">
      <c r="A1273" s="76" t="n">
        <v>1262</v>
      </c>
      <c r="B1273" s="77" t="n">
        <v>0.237124</v>
      </c>
      <c r="C1273" s="78" t="n">
        <f aca="false">05_Unit_Economics!$B$15*EXP((01_Inputs!$C$20-01_Inputs!$C$21^2/2)*01_Inputs!$C$22+01_Inputs!$C$21*SQRT(01_Inputs!$C$22)*B1273)</f>
        <v>58.8034619782491</v>
      </c>
      <c r="D1273" s="78" t="n">
        <f aca="false">MAX(C1273-05_Unit_Economics!$B$21,0)</f>
        <v>20.8958565037457</v>
      </c>
      <c r="E1273" s="78" t="n">
        <f aca="false">D1273*EXP(-01_Inputs!$C$20*01_Inputs!$C$22)</f>
        <v>19.9963725760483</v>
      </c>
      <c r="F1273" s="80" t="n">
        <f aca="false">AVERAGE(E1272:E1273)</f>
        <v>15.693164285617</v>
      </c>
    </row>
    <row r="1274" customFormat="false" ht="15" hidden="false" customHeight="false" outlineLevel="0" collapsed="false">
      <c r="A1274" s="76" t="n">
        <v>1263</v>
      </c>
      <c r="B1274" s="77" t="n">
        <v>1.778294</v>
      </c>
      <c r="C1274" s="78" t="n">
        <f aca="false">05_Unit_Economics!$B$15*EXP((01_Inputs!$C$20-01_Inputs!$C$21^2/2)*01_Inputs!$C$22+01_Inputs!$C$21*SQRT(01_Inputs!$C$22)*B1274)</f>
        <v>100.847576195414</v>
      </c>
      <c r="D1274" s="78" t="n">
        <f aca="false">MAX(C1274-05_Unit_Economics!$B$21,0)</f>
        <v>62.9399707209105</v>
      </c>
      <c r="E1274" s="78" t="n">
        <f aca="false">D1274*EXP(-01_Inputs!$C$20*01_Inputs!$C$22)</f>
        <v>60.230654064613</v>
      </c>
      <c r="F1274" s="79"/>
    </row>
    <row r="1275" customFormat="false" ht="15" hidden="false" customHeight="false" outlineLevel="0" collapsed="false">
      <c r="A1275" s="76" t="n">
        <v>1264</v>
      </c>
      <c r="B1275" s="77" t="n">
        <v>-1.778294</v>
      </c>
      <c r="C1275" s="78" t="n">
        <f aca="false">05_Unit_Economics!$B$15*EXP((01_Inputs!$C$20-01_Inputs!$C$21^2/2)*01_Inputs!$C$22+01_Inputs!$C$21*SQRT(01_Inputs!$C$22)*B1275)</f>
        <v>29.043782427404</v>
      </c>
      <c r="D1275" s="78" t="n">
        <f aca="false">MAX(C1275-05_Unit_Economics!$B$21,0)</f>
        <v>0</v>
      </c>
      <c r="E1275" s="78" t="n">
        <f aca="false">D1275*EXP(-01_Inputs!$C$20*01_Inputs!$C$22)</f>
        <v>0</v>
      </c>
      <c r="F1275" s="80" t="n">
        <f aca="false">AVERAGE(E1274:E1275)</f>
        <v>30.1153270323065</v>
      </c>
    </row>
    <row r="1276" customFormat="false" ht="15" hidden="false" customHeight="false" outlineLevel="0" collapsed="false">
      <c r="A1276" s="76" t="n">
        <v>1265</v>
      </c>
      <c r="B1276" s="77" t="n">
        <v>-0.798285</v>
      </c>
      <c r="C1276" s="78" t="n">
        <f aca="false">05_Unit_Economics!$B$15*EXP((01_Inputs!$C$20-01_Inputs!$C$21^2/2)*01_Inputs!$C$22+01_Inputs!$C$21*SQRT(01_Inputs!$C$22)*B1276)</f>
        <v>40.9277198470006</v>
      </c>
      <c r="D1276" s="78" t="n">
        <f aca="false">MAX(C1276-05_Unit_Economics!$B$21,0)</f>
        <v>3.02011437249713</v>
      </c>
      <c r="E1276" s="78" t="n">
        <f aca="false">D1276*EXP(-01_Inputs!$C$20*01_Inputs!$C$22)</f>
        <v>2.89011040078236</v>
      </c>
      <c r="F1276" s="79"/>
    </row>
    <row r="1277" customFormat="false" ht="15" hidden="false" customHeight="false" outlineLevel="0" collapsed="false">
      <c r="A1277" s="76" t="n">
        <v>1266</v>
      </c>
      <c r="B1277" s="77" t="n">
        <v>0.798285</v>
      </c>
      <c r="C1277" s="78" t="n">
        <f aca="false">05_Unit_Economics!$B$15*EXP((01_Inputs!$C$20-01_Inputs!$C$21^2/2)*01_Inputs!$C$22+01_Inputs!$C$21*SQRT(01_Inputs!$C$22)*B1277)</f>
        <v>71.5650681811756</v>
      </c>
      <c r="D1277" s="78" t="n">
        <f aca="false">MAX(C1277-05_Unit_Economics!$B$21,0)</f>
        <v>33.6574627066721</v>
      </c>
      <c r="E1277" s="78" t="n">
        <f aca="false">D1277*EXP(-01_Inputs!$C$20*01_Inputs!$C$22)</f>
        <v>32.2086421356514</v>
      </c>
      <c r="F1277" s="80" t="n">
        <f aca="false">AVERAGE(E1276:E1277)</f>
        <v>17.5493762682169</v>
      </c>
    </row>
    <row r="1278" customFormat="false" ht="15" hidden="false" customHeight="false" outlineLevel="0" collapsed="false">
      <c r="A1278" s="76" t="n">
        <v>1267</v>
      </c>
      <c r="B1278" s="77" t="n">
        <v>0.236478</v>
      </c>
      <c r="C1278" s="78" t="n">
        <f aca="false">05_Unit_Economics!$B$15*EXP((01_Inputs!$C$20-01_Inputs!$C$21^2/2)*01_Inputs!$C$22+01_Inputs!$C$21*SQRT(01_Inputs!$C$22)*B1278)</f>
        <v>58.7901680184346</v>
      </c>
      <c r="D1278" s="78" t="n">
        <f aca="false">MAX(C1278-05_Unit_Economics!$B$21,0)</f>
        <v>20.8825625439312</v>
      </c>
      <c r="E1278" s="78" t="n">
        <f aca="false">D1278*EXP(-01_Inputs!$C$20*01_Inputs!$C$22)</f>
        <v>19.9836508685933</v>
      </c>
      <c r="F1278" s="79"/>
    </row>
    <row r="1279" customFormat="false" ht="15" hidden="false" customHeight="false" outlineLevel="0" collapsed="false">
      <c r="A1279" s="76" t="n">
        <v>1268</v>
      </c>
      <c r="B1279" s="77" t="n">
        <v>-0.236478</v>
      </c>
      <c r="C1279" s="78" t="n">
        <f aca="false">05_Unit_Economics!$B$15*EXP((01_Inputs!$C$20-01_Inputs!$C$21^2/2)*01_Inputs!$C$22+01_Inputs!$C$21*SQRT(01_Inputs!$C$22)*B1279)</f>
        <v>49.8211718060104</v>
      </c>
      <c r="D1279" s="78" t="n">
        <f aca="false">MAX(C1279-05_Unit_Economics!$B$21,0)</f>
        <v>11.913566331507</v>
      </c>
      <c r="E1279" s="78" t="n">
        <f aca="false">D1279*EXP(-01_Inputs!$C$20*01_Inputs!$C$22)</f>
        <v>11.4007344485532</v>
      </c>
      <c r="F1279" s="80" t="n">
        <f aca="false">AVERAGE(E1278:E1279)</f>
        <v>15.6921926585733</v>
      </c>
    </row>
    <row r="1280" customFormat="false" ht="15" hidden="false" customHeight="false" outlineLevel="0" collapsed="false">
      <c r="A1280" s="76" t="n">
        <v>1269</v>
      </c>
      <c r="B1280" s="77" t="n">
        <v>0.429302</v>
      </c>
      <c r="C1280" s="78" t="n">
        <f aca="false">05_Unit_Economics!$B$15*EXP((01_Inputs!$C$20-01_Inputs!$C$21^2/2)*01_Inputs!$C$22+01_Inputs!$C$21*SQRT(01_Inputs!$C$22)*B1280)</f>
        <v>62.8947711293895</v>
      </c>
      <c r="D1280" s="78" t="n">
        <f aca="false">MAX(C1280-05_Unit_Economics!$B$21,0)</f>
        <v>24.9871656548861</v>
      </c>
      <c r="E1280" s="78" t="n">
        <f aca="false">D1280*EXP(-01_Inputs!$C$20*01_Inputs!$C$22)</f>
        <v>23.9115670594778</v>
      </c>
      <c r="F1280" s="79"/>
    </row>
    <row r="1281" customFormat="false" ht="15" hidden="false" customHeight="false" outlineLevel="0" collapsed="false">
      <c r="A1281" s="76" t="n">
        <v>1270</v>
      </c>
      <c r="B1281" s="77" t="n">
        <v>-0.429302</v>
      </c>
      <c r="C1281" s="78" t="n">
        <f aca="false">05_Unit_Economics!$B$15*EXP((01_Inputs!$C$20-01_Inputs!$C$21^2/2)*01_Inputs!$C$22+01_Inputs!$C$21*SQRT(01_Inputs!$C$22)*B1281)</f>
        <v>46.569770566857</v>
      </c>
      <c r="D1281" s="78" t="n">
        <f aca="false">MAX(C1281-05_Unit_Economics!$B$21,0)</f>
        <v>8.66216509235353</v>
      </c>
      <c r="E1281" s="78" t="n">
        <f aca="false">D1281*EXP(-01_Inputs!$C$20*01_Inputs!$C$22)</f>
        <v>8.28929316541259</v>
      </c>
      <c r="F1281" s="80" t="n">
        <f aca="false">AVERAGE(E1280:E1281)</f>
        <v>16.1004301124452</v>
      </c>
    </row>
    <row r="1282" customFormat="false" ht="15" hidden="false" customHeight="false" outlineLevel="0" collapsed="false">
      <c r="A1282" s="76" t="n">
        <v>1271</v>
      </c>
      <c r="B1282" s="77" t="n">
        <v>-0.600017</v>
      </c>
      <c r="C1282" s="78" t="n">
        <f aca="false">05_Unit_Economics!$B$15*EXP((01_Inputs!$C$20-01_Inputs!$C$21^2/2)*01_Inputs!$C$22+01_Inputs!$C$21*SQRT(01_Inputs!$C$22)*B1282)</f>
        <v>43.8687131000753</v>
      </c>
      <c r="D1282" s="78" t="n">
        <f aca="false">MAX(C1282-05_Unit_Economics!$B$21,0)</f>
        <v>5.96110762557186</v>
      </c>
      <c r="E1282" s="78" t="n">
        <f aca="false">D1282*EXP(-01_Inputs!$C$20*01_Inputs!$C$22)</f>
        <v>5.70450553321375</v>
      </c>
      <c r="F1282" s="79"/>
    </row>
    <row r="1283" customFormat="false" ht="15" hidden="false" customHeight="false" outlineLevel="0" collapsed="false">
      <c r="A1283" s="76" t="n">
        <v>1272</v>
      </c>
      <c r="B1283" s="77" t="n">
        <v>0.600017</v>
      </c>
      <c r="C1283" s="78" t="n">
        <f aca="false">05_Unit_Economics!$B$15*EXP((01_Inputs!$C$20-01_Inputs!$C$21^2/2)*01_Inputs!$C$22+01_Inputs!$C$21*SQRT(01_Inputs!$C$22)*B1283)</f>
        <v>66.7672893587941</v>
      </c>
      <c r="D1283" s="78" t="n">
        <f aca="false">MAX(C1283-05_Unit_Economics!$B$21,0)</f>
        <v>28.8596838842906</v>
      </c>
      <c r="E1283" s="78" t="n">
        <f aca="false">D1283*EXP(-01_Inputs!$C$20*01_Inputs!$C$22)</f>
        <v>27.617388704493</v>
      </c>
      <c r="F1283" s="80" t="n">
        <f aca="false">AVERAGE(E1282:E1283)</f>
        <v>16.6609471188534</v>
      </c>
    </row>
    <row r="1284" customFormat="false" ht="15" hidden="false" customHeight="false" outlineLevel="0" collapsed="false">
      <c r="A1284" s="76" t="n">
        <v>1273</v>
      </c>
      <c r="B1284" s="77" t="n">
        <v>-0.213961</v>
      </c>
      <c r="C1284" s="78" t="n">
        <f aca="false">05_Unit_Economics!$B$15*EXP((01_Inputs!$C$20-01_Inputs!$C$21^2/2)*01_Inputs!$C$22+01_Inputs!$C$21*SQRT(01_Inputs!$C$22)*B1284)</f>
        <v>50.2153612232629</v>
      </c>
      <c r="D1284" s="78" t="n">
        <f aca="false">MAX(C1284-05_Unit_Economics!$B$21,0)</f>
        <v>12.3077557487595</v>
      </c>
      <c r="E1284" s="78" t="n">
        <f aca="false">D1284*EXP(-01_Inputs!$C$20*01_Inputs!$C$22)</f>
        <v>11.777955571387</v>
      </c>
      <c r="F1284" s="79"/>
    </row>
    <row r="1285" customFormat="false" ht="15" hidden="false" customHeight="false" outlineLevel="0" collapsed="false">
      <c r="A1285" s="76" t="n">
        <v>1274</v>
      </c>
      <c r="B1285" s="77" t="n">
        <v>0.213961</v>
      </c>
      <c r="C1285" s="78" t="n">
        <f aca="false">05_Unit_Economics!$B$15*EXP((01_Inputs!$C$20-01_Inputs!$C$21^2/2)*01_Inputs!$C$22+01_Inputs!$C$21*SQRT(01_Inputs!$C$22)*B1285)</f>
        <v>58.3286665673482</v>
      </c>
      <c r="D1285" s="78" t="n">
        <f aca="false">MAX(C1285-05_Unit_Economics!$B$21,0)</f>
        <v>20.4210610928448</v>
      </c>
      <c r="E1285" s="78" t="n">
        <f aca="false">D1285*EXP(-01_Inputs!$C$20*01_Inputs!$C$22)</f>
        <v>19.5420152285967</v>
      </c>
      <c r="F1285" s="80" t="n">
        <f aca="false">AVERAGE(E1284:E1285)</f>
        <v>15.6599853999918</v>
      </c>
    </row>
    <row r="1286" customFormat="false" ht="15" hidden="false" customHeight="false" outlineLevel="0" collapsed="false">
      <c r="A1286" s="76" t="n">
        <v>1275</v>
      </c>
      <c r="B1286" s="77" t="n">
        <v>1.112004</v>
      </c>
      <c r="C1286" s="78" t="n">
        <f aca="false">05_Unit_Economics!$B$15*EXP((01_Inputs!$C$20-01_Inputs!$C$21^2/2)*01_Inputs!$C$22+01_Inputs!$C$21*SQRT(01_Inputs!$C$22)*B1286)</f>
        <v>79.8706723024204</v>
      </c>
      <c r="D1286" s="78" t="n">
        <f aca="false">MAX(C1286-05_Unit_Economics!$B$21,0)</f>
        <v>41.9630668279169</v>
      </c>
      <c r="E1286" s="78" t="n">
        <f aca="false">D1286*EXP(-01_Inputs!$C$20*01_Inputs!$C$22)</f>
        <v>40.156722868681</v>
      </c>
      <c r="F1286" s="79"/>
    </row>
    <row r="1287" customFormat="false" ht="15" hidden="false" customHeight="false" outlineLevel="0" collapsed="false">
      <c r="A1287" s="76" t="n">
        <v>1276</v>
      </c>
      <c r="B1287" s="77" t="n">
        <v>-1.112004</v>
      </c>
      <c r="C1287" s="78" t="n">
        <f aca="false">05_Unit_Economics!$B$15*EXP((01_Inputs!$C$20-01_Inputs!$C$21^2/2)*01_Inputs!$C$22+01_Inputs!$C$21*SQRT(01_Inputs!$C$22)*B1287)</f>
        <v>36.6717216334473</v>
      </c>
      <c r="D1287" s="78" t="n">
        <f aca="false">MAX(C1287-05_Unit_Economics!$B$21,0)</f>
        <v>0</v>
      </c>
      <c r="E1287" s="78" t="n">
        <f aca="false">D1287*EXP(-01_Inputs!$C$20*01_Inputs!$C$22)</f>
        <v>0</v>
      </c>
      <c r="F1287" s="80" t="n">
        <f aca="false">AVERAGE(E1286:E1287)</f>
        <v>20.0783614343405</v>
      </c>
    </row>
    <row r="1288" customFormat="false" ht="15" hidden="false" customHeight="false" outlineLevel="0" collapsed="false">
      <c r="A1288" s="76" t="n">
        <v>1277</v>
      </c>
      <c r="B1288" s="77" t="n">
        <v>-0.8686</v>
      </c>
      <c r="C1288" s="78" t="n">
        <f aca="false">05_Unit_Economics!$B$15*EXP((01_Inputs!$C$20-01_Inputs!$C$21^2/2)*01_Inputs!$C$22+01_Inputs!$C$21*SQRT(01_Inputs!$C$22)*B1288)</f>
        <v>39.9327716086318</v>
      </c>
      <c r="D1288" s="78" t="n">
        <f aca="false">MAX(C1288-05_Unit_Economics!$B$21,0)</f>
        <v>2.02516613412831</v>
      </c>
      <c r="E1288" s="78" t="n">
        <f aca="false">D1288*EXP(-01_Inputs!$C$20*01_Inputs!$C$22)</f>
        <v>1.93799074659447</v>
      </c>
      <c r="F1288" s="79"/>
    </row>
    <row r="1289" customFormat="false" ht="15" hidden="false" customHeight="false" outlineLevel="0" collapsed="false">
      <c r="A1289" s="76" t="n">
        <v>1278</v>
      </c>
      <c r="B1289" s="77" t="n">
        <v>0.8686</v>
      </c>
      <c r="C1289" s="78" t="n">
        <f aca="false">05_Unit_Economics!$B$15*EXP((01_Inputs!$C$20-01_Inputs!$C$21^2/2)*01_Inputs!$C$22+01_Inputs!$C$21*SQRT(01_Inputs!$C$22)*B1289)</f>
        <v>73.3481534929954</v>
      </c>
      <c r="D1289" s="78" t="n">
        <f aca="false">MAX(C1289-05_Unit_Economics!$B$21,0)</f>
        <v>35.4405480184919</v>
      </c>
      <c r="E1289" s="78" t="n">
        <f aca="false">D1289*EXP(-01_Inputs!$C$20*01_Inputs!$C$22)</f>
        <v>33.9149726813094</v>
      </c>
      <c r="F1289" s="80" t="n">
        <f aca="false">AVERAGE(E1288:E1289)</f>
        <v>17.9264817139519</v>
      </c>
    </row>
    <row r="1290" customFormat="false" ht="15" hidden="false" customHeight="false" outlineLevel="0" collapsed="false">
      <c r="A1290" s="76" t="n">
        <v>1279</v>
      </c>
      <c r="B1290" s="77" t="n">
        <v>-0.635663</v>
      </c>
      <c r="C1290" s="78" t="n">
        <f aca="false">05_Unit_Economics!$B$15*EXP((01_Inputs!$C$20-01_Inputs!$C$21^2/2)*01_Inputs!$C$22+01_Inputs!$C$21*SQRT(01_Inputs!$C$22)*B1290)</f>
        <v>43.324802644279</v>
      </c>
      <c r="D1290" s="78" t="n">
        <f aca="false">MAX(C1290-05_Unit_Economics!$B$21,0)</f>
        <v>5.41719716977556</v>
      </c>
      <c r="E1290" s="78" t="n">
        <f aca="false">D1290*EXP(-01_Inputs!$C$20*01_Inputs!$C$22)</f>
        <v>5.18400827002851</v>
      </c>
      <c r="F1290" s="79"/>
    </row>
    <row r="1291" customFormat="false" ht="15" hidden="false" customHeight="false" outlineLevel="0" collapsed="false">
      <c r="A1291" s="76" t="n">
        <v>1280</v>
      </c>
      <c r="B1291" s="77" t="n">
        <v>0.635663</v>
      </c>
      <c r="C1291" s="78" t="n">
        <f aca="false">05_Unit_Economics!$B$15*EXP((01_Inputs!$C$20-01_Inputs!$C$21^2/2)*01_Inputs!$C$22+01_Inputs!$C$21*SQRT(01_Inputs!$C$22)*B1291)</f>
        <v>67.6055026816705</v>
      </c>
      <c r="D1291" s="78" t="n">
        <f aca="false">MAX(C1291-05_Unit_Economics!$B$21,0)</f>
        <v>29.697897207167</v>
      </c>
      <c r="E1291" s="78" t="n">
        <f aca="false">D1291*EXP(-01_Inputs!$C$20*01_Inputs!$C$22)</f>
        <v>28.4195202610262</v>
      </c>
      <c r="F1291" s="80" t="n">
        <f aca="false">AVERAGE(E1290:E1291)</f>
        <v>16.8017642655274</v>
      </c>
    </row>
    <row r="1292" customFormat="false" ht="15" hidden="false" customHeight="false" outlineLevel="0" collapsed="false">
      <c r="A1292" s="76" t="n">
        <v>1281</v>
      </c>
      <c r="B1292" s="77" t="n">
        <v>1.061933</v>
      </c>
      <c r="C1292" s="78" t="n">
        <f aca="false">05_Unit_Economics!$B$15*EXP((01_Inputs!$C$20-01_Inputs!$C$21^2/2)*01_Inputs!$C$22+01_Inputs!$C$21*SQRT(01_Inputs!$C$22)*B1292)</f>
        <v>78.4831443716754</v>
      </c>
      <c r="D1292" s="78" t="n">
        <f aca="false">MAX(C1292-05_Unit_Economics!$B$21,0)</f>
        <v>40.5755388971719</v>
      </c>
      <c r="E1292" s="78" t="n">
        <f aca="false">D1292*EXP(-01_Inputs!$C$20*01_Inputs!$C$22)</f>
        <v>38.8289225242502</v>
      </c>
      <c r="F1292" s="79"/>
    </row>
    <row r="1293" customFormat="false" ht="15" hidden="false" customHeight="false" outlineLevel="0" collapsed="false">
      <c r="A1293" s="76" t="n">
        <v>1282</v>
      </c>
      <c r="B1293" s="77" t="n">
        <v>-1.061933</v>
      </c>
      <c r="C1293" s="78" t="n">
        <f aca="false">05_Unit_Economics!$B$15*EXP((01_Inputs!$C$20-01_Inputs!$C$21^2/2)*01_Inputs!$C$22+01_Inputs!$C$21*SQRT(01_Inputs!$C$22)*B1293)</f>
        <v>37.3200524112503</v>
      </c>
      <c r="D1293" s="78" t="n">
        <f aca="false">MAX(C1293-05_Unit_Economics!$B$21,0)</f>
        <v>0</v>
      </c>
      <c r="E1293" s="78" t="n">
        <f aca="false">D1293*EXP(-01_Inputs!$C$20*01_Inputs!$C$22)</f>
        <v>0</v>
      </c>
      <c r="F1293" s="80" t="n">
        <f aca="false">AVERAGE(E1292:E1293)</f>
        <v>19.4144612621251</v>
      </c>
    </row>
    <row r="1294" customFormat="false" ht="15" hidden="false" customHeight="false" outlineLevel="0" collapsed="false">
      <c r="A1294" s="76" t="n">
        <v>1283</v>
      </c>
      <c r="B1294" s="77" t="n">
        <v>0.856184</v>
      </c>
      <c r="C1294" s="78" t="n">
        <f aca="false">05_Unit_Economics!$B$15*EXP((01_Inputs!$C$20-01_Inputs!$C$21^2/2)*01_Inputs!$C$22+01_Inputs!$C$21*SQRT(01_Inputs!$C$22)*B1294)</f>
        <v>73.0301033171095</v>
      </c>
      <c r="D1294" s="78" t="n">
        <f aca="false">MAX(C1294-05_Unit_Economics!$B$21,0)</f>
        <v>35.1224978426061</v>
      </c>
      <c r="E1294" s="78" t="n">
        <f aca="false">D1294*EXP(-01_Inputs!$C$20*01_Inputs!$C$22)</f>
        <v>33.6106133068204</v>
      </c>
      <c r="F1294" s="79"/>
    </row>
    <row r="1295" customFormat="false" ht="15" hidden="false" customHeight="false" outlineLevel="0" collapsed="false">
      <c r="A1295" s="76" t="n">
        <v>1284</v>
      </c>
      <c r="B1295" s="77" t="n">
        <v>-0.856184</v>
      </c>
      <c r="C1295" s="78" t="n">
        <f aca="false">05_Unit_Economics!$B$15*EXP((01_Inputs!$C$20-01_Inputs!$C$21^2/2)*01_Inputs!$C$22+01_Inputs!$C$21*SQRT(01_Inputs!$C$22)*B1295)</f>
        <v>40.1066810577063</v>
      </c>
      <c r="D1295" s="78" t="n">
        <f aca="false">MAX(C1295-05_Unit_Economics!$B$21,0)</f>
        <v>2.19907558320284</v>
      </c>
      <c r="E1295" s="78" t="n">
        <f aca="false">D1295*EXP(-01_Inputs!$C$20*01_Inputs!$C$22)</f>
        <v>2.10441408212831</v>
      </c>
      <c r="F1295" s="80" t="n">
        <f aca="false">AVERAGE(E1294:E1295)</f>
        <v>17.8575136944744</v>
      </c>
    </row>
    <row r="1296" customFormat="false" ht="15" hidden="false" customHeight="false" outlineLevel="0" collapsed="false">
      <c r="A1296" s="76" t="n">
        <v>1285</v>
      </c>
      <c r="B1296" s="77" t="n">
        <v>-0.670731</v>
      </c>
      <c r="C1296" s="78" t="n">
        <f aca="false">05_Unit_Economics!$B$15*EXP((01_Inputs!$C$20-01_Inputs!$C$21^2/2)*01_Inputs!$C$22+01_Inputs!$C$21*SQRT(01_Inputs!$C$22)*B1296)</f>
        <v>42.7962927288994</v>
      </c>
      <c r="D1296" s="78" t="n">
        <f aca="false">MAX(C1296-05_Unit_Economics!$B$21,0)</f>
        <v>4.88868725439598</v>
      </c>
      <c r="E1296" s="78" t="n">
        <f aca="false">D1296*EXP(-01_Inputs!$C$20*01_Inputs!$C$22)</f>
        <v>4.67824861494227</v>
      </c>
      <c r="F1296" s="79"/>
    </row>
    <row r="1297" customFormat="false" ht="15" hidden="false" customHeight="false" outlineLevel="0" collapsed="false">
      <c r="A1297" s="76" t="n">
        <v>1286</v>
      </c>
      <c r="B1297" s="77" t="n">
        <v>0.670731</v>
      </c>
      <c r="C1297" s="78" t="n">
        <f aca="false">05_Unit_Economics!$B$15*EXP((01_Inputs!$C$20-01_Inputs!$C$21^2/2)*01_Inputs!$C$22+01_Inputs!$C$21*SQRT(01_Inputs!$C$22)*B1297)</f>
        <v>68.4403922532468</v>
      </c>
      <c r="D1297" s="78" t="n">
        <f aca="false">MAX(C1297-05_Unit_Economics!$B$21,0)</f>
        <v>30.5327867787433</v>
      </c>
      <c r="E1297" s="78" t="n">
        <f aca="false">D1297*EXP(-01_Inputs!$C$20*01_Inputs!$C$22)</f>
        <v>29.2184711405991</v>
      </c>
      <c r="F1297" s="80" t="n">
        <f aca="false">AVERAGE(E1296:E1297)</f>
        <v>16.9483598777707</v>
      </c>
    </row>
    <row r="1298" customFormat="false" ht="15" hidden="false" customHeight="false" outlineLevel="0" collapsed="false">
      <c r="A1298" s="76" t="n">
        <v>1287</v>
      </c>
      <c r="B1298" s="77" t="n">
        <v>-0.773624</v>
      </c>
      <c r="C1298" s="78" t="n">
        <f aca="false">05_Unit_Economics!$B$15*EXP((01_Inputs!$C$20-01_Inputs!$C$21^2/2)*01_Inputs!$C$22+01_Inputs!$C$21*SQRT(01_Inputs!$C$22)*B1298)</f>
        <v>41.2825102792401</v>
      </c>
      <c r="D1298" s="78" t="n">
        <f aca="false">MAX(C1298-05_Unit_Economics!$B$21,0)</f>
        <v>3.37490480473667</v>
      </c>
      <c r="E1298" s="78" t="n">
        <f aca="false">D1298*EXP(-01_Inputs!$C$20*01_Inputs!$C$22)</f>
        <v>3.22962850898755</v>
      </c>
      <c r="F1298" s="79"/>
    </row>
    <row r="1299" customFormat="false" ht="15" hidden="false" customHeight="false" outlineLevel="0" collapsed="false">
      <c r="A1299" s="76" t="n">
        <v>1288</v>
      </c>
      <c r="B1299" s="77" t="n">
        <v>0.773624</v>
      </c>
      <c r="C1299" s="78" t="n">
        <f aca="false">05_Unit_Economics!$B$15*EXP((01_Inputs!$C$20-01_Inputs!$C$21^2/2)*01_Inputs!$C$22+01_Inputs!$C$21*SQRT(01_Inputs!$C$22)*B1299)</f>
        <v>70.950023182664</v>
      </c>
      <c r="D1299" s="78" t="n">
        <f aca="false">MAX(C1299-05_Unit_Economics!$B$21,0)</f>
        <v>33.0424177081605</v>
      </c>
      <c r="E1299" s="78" t="n">
        <f aca="false">D1299*EXP(-01_Inputs!$C$20*01_Inputs!$C$22)</f>
        <v>31.6200723903017</v>
      </c>
      <c r="F1299" s="80" t="n">
        <f aca="false">AVERAGE(E1298:E1299)</f>
        <v>17.4248504496446</v>
      </c>
    </row>
    <row r="1300" customFormat="false" ht="15" hidden="false" customHeight="false" outlineLevel="0" collapsed="false">
      <c r="A1300" s="76" t="n">
        <v>1289</v>
      </c>
      <c r="B1300" s="77" t="n">
        <v>-1.669972</v>
      </c>
      <c r="C1300" s="78" t="n">
        <f aca="false">05_Unit_Economics!$B$15*EXP((01_Inputs!$C$20-01_Inputs!$C$21^2/2)*01_Inputs!$C$22+01_Inputs!$C$21*SQRT(01_Inputs!$C$22)*B1300)</f>
        <v>30.1660503171241</v>
      </c>
      <c r="D1300" s="78" t="n">
        <f aca="false">MAX(C1300-05_Unit_Economics!$B$21,0)</f>
        <v>0</v>
      </c>
      <c r="E1300" s="78" t="n">
        <f aca="false">D1300*EXP(-01_Inputs!$C$20*01_Inputs!$C$22)</f>
        <v>0</v>
      </c>
      <c r="F1300" s="79"/>
    </row>
    <row r="1301" customFormat="false" ht="15" hidden="false" customHeight="false" outlineLevel="0" collapsed="false">
      <c r="A1301" s="76" t="n">
        <v>1290</v>
      </c>
      <c r="B1301" s="77" t="n">
        <v>1.669972</v>
      </c>
      <c r="C1301" s="78" t="n">
        <f aca="false">05_Unit_Economics!$B$15*EXP((01_Inputs!$C$20-01_Inputs!$C$21^2/2)*01_Inputs!$C$22+01_Inputs!$C$21*SQRT(01_Inputs!$C$22)*B1301)</f>
        <v>97.0957427491917</v>
      </c>
      <c r="D1301" s="78" t="n">
        <f aca="false">MAX(C1301-05_Unit_Economics!$B$21,0)</f>
        <v>59.1881372746882</v>
      </c>
      <c r="E1301" s="78" t="n">
        <f aca="false">D1301*EXP(-01_Inputs!$C$20*01_Inputs!$C$22)</f>
        <v>56.6403222004708</v>
      </c>
      <c r="F1301" s="80" t="n">
        <f aca="false">AVERAGE(E1300:E1301)</f>
        <v>28.3201611002354</v>
      </c>
    </row>
    <row r="1302" customFormat="false" ht="15" hidden="false" customHeight="false" outlineLevel="0" collapsed="false">
      <c r="A1302" s="76" t="n">
        <v>1291</v>
      </c>
      <c r="B1302" s="77" t="n">
        <v>0.209134</v>
      </c>
      <c r="C1302" s="78" t="n">
        <f aca="false">05_Unit_Economics!$B$15*EXP((01_Inputs!$C$20-01_Inputs!$C$21^2/2)*01_Inputs!$C$22+01_Inputs!$C$21*SQRT(01_Inputs!$C$22)*B1302)</f>
        <v>58.2302063968027</v>
      </c>
      <c r="D1302" s="78" t="n">
        <f aca="false">MAX(C1302-05_Unit_Economics!$B$21,0)</f>
        <v>20.3226009222992</v>
      </c>
      <c r="E1302" s="78" t="n">
        <f aca="false">D1302*EXP(-01_Inputs!$C$20*01_Inputs!$C$22)</f>
        <v>19.4477933787396</v>
      </c>
      <c r="F1302" s="79"/>
    </row>
    <row r="1303" customFormat="false" ht="15" hidden="false" customHeight="false" outlineLevel="0" collapsed="false">
      <c r="A1303" s="76" t="n">
        <v>1292</v>
      </c>
      <c r="B1303" s="77" t="n">
        <v>-0.209134</v>
      </c>
      <c r="C1303" s="78" t="n">
        <f aca="false">05_Unit_Economics!$B$15*EXP((01_Inputs!$C$20-01_Inputs!$C$21^2/2)*01_Inputs!$C$22+01_Inputs!$C$21*SQRT(01_Inputs!$C$22)*B1303)</f>
        <v>50.3002692690349</v>
      </c>
      <c r="D1303" s="78" t="n">
        <f aca="false">MAX(C1303-05_Unit_Economics!$B$21,0)</f>
        <v>12.3926637945314</v>
      </c>
      <c r="E1303" s="78" t="n">
        <f aca="false">D1303*EXP(-01_Inputs!$C$20*01_Inputs!$C$22)</f>
        <v>11.8592086618098</v>
      </c>
      <c r="F1303" s="80" t="n">
        <f aca="false">AVERAGE(E1302:E1303)</f>
        <v>15.6535010202747</v>
      </c>
    </row>
    <row r="1304" customFormat="false" ht="15" hidden="false" customHeight="false" outlineLevel="0" collapsed="false">
      <c r="A1304" s="76" t="n">
        <v>1293</v>
      </c>
      <c r="B1304" s="77" t="n">
        <v>1.721979</v>
      </c>
      <c r="C1304" s="78" t="n">
        <f aca="false">05_Unit_Economics!$B$15*EXP((01_Inputs!$C$20-01_Inputs!$C$21^2/2)*01_Inputs!$C$22+01_Inputs!$C$21*SQRT(01_Inputs!$C$22)*B1304)</f>
        <v>98.879306521703</v>
      </c>
      <c r="D1304" s="78" t="n">
        <f aca="false">MAX(C1304-05_Unit_Economics!$B$21,0)</f>
        <v>60.9717010471996</v>
      </c>
      <c r="E1304" s="78" t="n">
        <f aca="false">D1304*EXP(-01_Inputs!$C$20*01_Inputs!$C$22)</f>
        <v>58.3471106109811</v>
      </c>
      <c r="F1304" s="79"/>
    </row>
    <row r="1305" customFormat="false" ht="15" hidden="false" customHeight="false" outlineLevel="0" collapsed="false">
      <c r="A1305" s="76" t="n">
        <v>1294</v>
      </c>
      <c r="B1305" s="77" t="n">
        <v>-1.721979</v>
      </c>
      <c r="C1305" s="78" t="n">
        <f aca="false">05_Unit_Economics!$B$15*EXP((01_Inputs!$C$20-01_Inputs!$C$21^2/2)*01_Inputs!$C$22+01_Inputs!$C$21*SQRT(01_Inputs!$C$22)*B1305)</f>
        <v>29.6219215565369</v>
      </c>
      <c r="D1305" s="78" t="n">
        <f aca="false">MAX(C1305-05_Unit_Economics!$B$21,0)</f>
        <v>0</v>
      </c>
      <c r="E1305" s="78" t="n">
        <f aca="false">D1305*EXP(-01_Inputs!$C$20*01_Inputs!$C$22)</f>
        <v>0</v>
      </c>
      <c r="F1305" s="80" t="n">
        <f aca="false">AVERAGE(E1304:E1305)</f>
        <v>29.1735553054906</v>
      </c>
    </row>
    <row r="1306" customFormat="false" ht="15" hidden="false" customHeight="false" outlineLevel="0" collapsed="false">
      <c r="A1306" s="76" t="n">
        <v>1295</v>
      </c>
      <c r="B1306" s="77" t="n">
        <v>1.103836</v>
      </c>
      <c r="C1306" s="78" t="n">
        <f aca="false">05_Unit_Economics!$B$15*EXP((01_Inputs!$C$20-01_Inputs!$C$21^2/2)*01_Inputs!$C$22+01_Inputs!$C$21*SQRT(01_Inputs!$C$22)*B1306)</f>
        <v>79.6426640946619</v>
      </c>
      <c r="D1306" s="78" t="n">
        <f aca="false">MAX(C1306-05_Unit_Economics!$B$21,0)</f>
        <v>41.7350586201585</v>
      </c>
      <c r="E1306" s="78" t="n">
        <f aca="false">D1306*EXP(-01_Inputs!$C$20*01_Inputs!$C$22)</f>
        <v>39.9385295119302</v>
      </c>
      <c r="F1306" s="79"/>
    </row>
    <row r="1307" customFormat="false" ht="15" hidden="false" customHeight="false" outlineLevel="0" collapsed="false">
      <c r="A1307" s="76" t="n">
        <v>1296</v>
      </c>
      <c r="B1307" s="77" t="n">
        <v>-1.103836</v>
      </c>
      <c r="C1307" s="78" t="n">
        <f aca="false">05_Unit_Economics!$B$15*EXP((01_Inputs!$C$20-01_Inputs!$C$21^2/2)*01_Inputs!$C$22+01_Inputs!$C$21*SQRT(01_Inputs!$C$22)*B1307)</f>
        <v>36.7767087483324</v>
      </c>
      <c r="D1307" s="78" t="n">
        <f aca="false">MAX(C1307-05_Unit_Economics!$B$21,0)</f>
        <v>0</v>
      </c>
      <c r="E1307" s="78" t="n">
        <f aca="false">D1307*EXP(-01_Inputs!$C$20*01_Inputs!$C$22)</f>
        <v>0</v>
      </c>
      <c r="F1307" s="80" t="n">
        <f aca="false">AVERAGE(E1306:E1307)</f>
        <v>19.9692647559651</v>
      </c>
    </row>
    <row r="1308" customFormat="false" ht="15" hidden="false" customHeight="false" outlineLevel="0" collapsed="false">
      <c r="A1308" s="76" t="n">
        <v>1297</v>
      </c>
      <c r="B1308" s="77" t="n">
        <v>-0.305576</v>
      </c>
      <c r="C1308" s="78" t="n">
        <f aca="false">05_Unit_Economics!$B$15*EXP((01_Inputs!$C$20-01_Inputs!$C$21^2/2)*01_Inputs!$C$22+01_Inputs!$C$21*SQRT(01_Inputs!$C$22)*B1308)</f>
        <v>48.6307346072551</v>
      </c>
      <c r="D1308" s="78" t="n">
        <f aca="false">MAX(C1308-05_Unit_Economics!$B$21,0)</f>
        <v>10.7231291327516</v>
      </c>
      <c r="E1308" s="78" t="n">
        <f aca="false">D1308*EXP(-01_Inputs!$C$20*01_Inputs!$C$22)</f>
        <v>10.2615408600812</v>
      </c>
      <c r="F1308" s="79"/>
    </row>
    <row r="1309" customFormat="false" ht="15" hidden="false" customHeight="false" outlineLevel="0" collapsed="false">
      <c r="A1309" s="76" t="n">
        <v>1298</v>
      </c>
      <c r="B1309" s="77" t="n">
        <v>0.305576</v>
      </c>
      <c r="C1309" s="78" t="n">
        <f aca="false">05_Unit_Economics!$B$15*EXP((01_Inputs!$C$20-01_Inputs!$C$21^2/2)*01_Inputs!$C$22+01_Inputs!$C$21*SQRT(01_Inputs!$C$22)*B1309)</f>
        <v>60.2292991254482</v>
      </c>
      <c r="D1309" s="78" t="n">
        <f aca="false">MAX(C1309-05_Unit_Economics!$B$21,0)</f>
        <v>22.3216936509447</v>
      </c>
      <c r="E1309" s="78" t="n">
        <f aca="false">D1309*EXP(-01_Inputs!$C$20*01_Inputs!$C$22)</f>
        <v>21.3608330767725</v>
      </c>
      <c r="F1309" s="80" t="n">
        <f aca="false">AVERAGE(E1308:E1309)</f>
        <v>15.8111869684269</v>
      </c>
    </row>
    <row r="1310" customFormat="false" ht="15" hidden="false" customHeight="false" outlineLevel="0" collapsed="false">
      <c r="A1310" s="76" t="n">
        <v>1299</v>
      </c>
      <c r="B1310" s="77" t="n">
        <v>-0.744762</v>
      </c>
      <c r="C1310" s="78" t="n">
        <f aca="false">05_Unit_Economics!$B$15*EXP((01_Inputs!$C$20-01_Inputs!$C$21^2/2)*01_Inputs!$C$22+01_Inputs!$C$21*SQRT(01_Inputs!$C$22)*B1310)</f>
        <v>41.7016472470749</v>
      </c>
      <c r="D1310" s="78" t="n">
        <f aca="false">MAX(C1310-05_Unit_Economics!$B$21,0)</f>
        <v>3.79404177257148</v>
      </c>
      <c r="E1310" s="78" t="n">
        <f aca="false">D1310*EXP(-01_Inputs!$C$20*01_Inputs!$C$22)</f>
        <v>3.63072328908033</v>
      </c>
      <c r="F1310" s="79"/>
    </row>
    <row r="1311" customFormat="false" ht="15" hidden="false" customHeight="false" outlineLevel="0" collapsed="false">
      <c r="A1311" s="76" t="n">
        <v>1300</v>
      </c>
      <c r="B1311" s="77" t="n">
        <v>0.744762</v>
      </c>
      <c r="C1311" s="78" t="n">
        <f aca="false">05_Unit_Economics!$B$15*EXP((01_Inputs!$C$20-01_Inputs!$C$21^2/2)*01_Inputs!$C$22+01_Inputs!$C$21*SQRT(01_Inputs!$C$22)*B1311)</f>
        <v>70.2369151989817</v>
      </c>
      <c r="D1311" s="78" t="n">
        <f aca="false">MAX(C1311-05_Unit_Economics!$B$21,0)</f>
        <v>32.3293097244782</v>
      </c>
      <c r="E1311" s="78" t="n">
        <f aca="false">D1311*EXP(-01_Inputs!$C$20*01_Inputs!$C$22)</f>
        <v>30.9376608832113</v>
      </c>
      <c r="F1311" s="80" t="n">
        <f aca="false">AVERAGE(E1310:E1311)</f>
        <v>17.2841920861458</v>
      </c>
    </row>
    <row r="1312" customFormat="false" ht="15" hidden="false" customHeight="false" outlineLevel="0" collapsed="false">
      <c r="A1312" s="76" t="n">
        <v>1301</v>
      </c>
      <c r="B1312" s="77" t="n">
        <v>-0.218729</v>
      </c>
      <c r="C1312" s="78" t="n">
        <f aca="false">05_Unit_Economics!$B$15*EXP((01_Inputs!$C$20-01_Inputs!$C$21^2/2)*01_Inputs!$C$22+01_Inputs!$C$21*SQRT(01_Inputs!$C$22)*B1312)</f>
        <v>50.1316317117894</v>
      </c>
      <c r="D1312" s="78" t="n">
        <f aca="false">MAX(C1312-05_Unit_Economics!$B$21,0)</f>
        <v>12.2240262372859</v>
      </c>
      <c r="E1312" s="78" t="n">
        <f aca="false">D1312*EXP(-01_Inputs!$C$20*01_Inputs!$C$22)</f>
        <v>11.6978302840251</v>
      </c>
      <c r="F1312" s="79"/>
    </row>
    <row r="1313" customFormat="false" ht="15" hidden="false" customHeight="false" outlineLevel="0" collapsed="false">
      <c r="A1313" s="76" t="n">
        <v>1302</v>
      </c>
      <c r="B1313" s="77" t="n">
        <v>0.218729</v>
      </c>
      <c r="C1313" s="78" t="n">
        <f aca="false">05_Unit_Economics!$B$15*EXP((01_Inputs!$C$20-01_Inputs!$C$21^2/2)*01_Inputs!$C$22+01_Inputs!$C$21*SQRT(01_Inputs!$C$22)*B1313)</f>
        <v>58.4260867108749</v>
      </c>
      <c r="D1313" s="78" t="n">
        <f aca="false">MAX(C1313-05_Unit_Economics!$B$21,0)</f>
        <v>20.5184812363714</v>
      </c>
      <c r="E1313" s="78" t="n">
        <f aca="false">D1313*EXP(-01_Inputs!$C$20*01_Inputs!$C$22)</f>
        <v>19.635241820482</v>
      </c>
      <c r="F1313" s="80" t="n">
        <f aca="false">AVERAGE(E1312:E1313)</f>
        <v>15.6665360522536</v>
      </c>
    </row>
    <row r="1314" customFormat="false" ht="15" hidden="false" customHeight="false" outlineLevel="0" collapsed="false">
      <c r="A1314" s="76" t="n">
        <v>1303</v>
      </c>
      <c r="B1314" s="77" t="n">
        <v>0.925335</v>
      </c>
      <c r="C1314" s="78" t="n">
        <f aca="false">05_Unit_Economics!$B$15*EXP((01_Inputs!$C$20-01_Inputs!$C$21^2/2)*01_Inputs!$C$22+01_Inputs!$C$21*SQRT(01_Inputs!$C$22)*B1314)</f>
        <v>74.8192032784213</v>
      </c>
      <c r="D1314" s="78" t="n">
        <f aca="false">MAX(C1314-05_Unit_Economics!$B$21,0)</f>
        <v>36.9115978039178</v>
      </c>
      <c r="E1314" s="78" t="n">
        <f aca="false">D1314*EXP(-01_Inputs!$C$20*01_Inputs!$C$22)</f>
        <v>35.3226995951126</v>
      </c>
      <c r="F1314" s="79"/>
    </row>
    <row r="1315" customFormat="false" ht="15" hidden="false" customHeight="false" outlineLevel="0" collapsed="false">
      <c r="A1315" s="76" t="n">
        <v>1304</v>
      </c>
      <c r="B1315" s="77" t="n">
        <v>-0.925335</v>
      </c>
      <c r="C1315" s="78" t="n">
        <f aca="false">05_Unit_Economics!$B$15*EXP((01_Inputs!$C$20-01_Inputs!$C$21^2/2)*01_Inputs!$C$22+01_Inputs!$C$21*SQRT(01_Inputs!$C$22)*B1315)</f>
        <v>39.1476376786734</v>
      </c>
      <c r="D1315" s="78" t="n">
        <f aca="false">MAX(C1315-05_Unit_Economics!$B$21,0)</f>
        <v>1.24003220416996</v>
      </c>
      <c r="E1315" s="78" t="n">
        <f aca="false">D1315*EXP(-01_Inputs!$C$20*01_Inputs!$C$22)</f>
        <v>1.18665372517447</v>
      </c>
      <c r="F1315" s="80" t="n">
        <f aca="false">AVERAGE(E1314:E1315)</f>
        <v>18.2546766601435</v>
      </c>
    </row>
    <row r="1316" customFormat="false" ht="15" hidden="false" customHeight="false" outlineLevel="0" collapsed="false">
      <c r="A1316" s="76" t="n">
        <v>1305</v>
      </c>
      <c r="B1316" s="77" t="n">
        <v>-1.629105</v>
      </c>
      <c r="C1316" s="78" t="n">
        <f aca="false">05_Unit_Economics!$B$15*EXP((01_Inputs!$C$20-01_Inputs!$C$21^2/2)*01_Inputs!$C$22+01_Inputs!$C$21*SQRT(01_Inputs!$C$22)*B1316)</f>
        <v>30.600629491136</v>
      </c>
      <c r="D1316" s="78" t="n">
        <f aca="false">MAX(C1316-05_Unit_Economics!$B$21,0)</f>
        <v>0</v>
      </c>
      <c r="E1316" s="78" t="n">
        <f aca="false">D1316*EXP(-01_Inputs!$C$20*01_Inputs!$C$22)</f>
        <v>0</v>
      </c>
      <c r="F1316" s="79"/>
    </row>
    <row r="1317" customFormat="false" ht="15" hidden="false" customHeight="false" outlineLevel="0" collapsed="false">
      <c r="A1317" s="76" t="n">
        <v>1306</v>
      </c>
      <c r="B1317" s="77" t="n">
        <v>1.629105</v>
      </c>
      <c r="C1317" s="78" t="n">
        <f aca="false">05_Unit_Economics!$B$15*EXP((01_Inputs!$C$20-01_Inputs!$C$21^2/2)*01_Inputs!$C$22+01_Inputs!$C$21*SQRT(01_Inputs!$C$22)*B1317)</f>
        <v>95.7168238058332</v>
      </c>
      <c r="D1317" s="78" t="n">
        <f aca="false">MAX(C1317-05_Unit_Economics!$B$21,0)</f>
        <v>57.8092183313297</v>
      </c>
      <c r="E1317" s="78" t="n">
        <f aca="false">D1317*EXP(-01_Inputs!$C$20*01_Inputs!$C$22)</f>
        <v>55.3207602605894</v>
      </c>
      <c r="F1317" s="80" t="n">
        <f aca="false">AVERAGE(E1316:E1317)</f>
        <v>27.6603801302947</v>
      </c>
    </row>
    <row r="1318" customFormat="false" ht="15" hidden="false" customHeight="false" outlineLevel="0" collapsed="false">
      <c r="A1318" s="76" t="n">
        <v>1307</v>
      </c>
      <c r="B1318" s="77" t="n">
        <v>-1.618488</v>
      </c>
      <c r="C1318" s="78" t="n">
        <f aca="false">05_Unit_Economics!$B$15*EXP((01_Inputs!$C$20-01_Inputs!$C$21^2/2)*01_Inputs!$C$22+01_Inputs!$C$21*SQRT(01_Inputs!$C$22)*B1318)</f>
        <v>30.7145514333253</v>
      </c>
      <c r="D1318" s="78" t="n">
        <f aca="false">MAX(C1318-05_Unit_Economics!$B$21,0)</f>
        <v>0</v>
      </c>
      <c r="E1318" s="78" t="n">
        <f aca="false">D1318*EXP(-01_Inputs!$C$20*01_Inputs!$C$22)</f>
        <v>0</v>
      </c>
      <c r="F1318" s="79"/>
    </row>
    <row r="1319" customFormat="false" ht="15" hidden="false" customHeight="false" outlineLevel="0" collapsed="false">
      <c r="A1319" s="76" t="n">
        <v>1308</v>
      </c>
      <c r="B1319" s="77" t="n">
        <v>1.618488</v>
      </c>
      <c r="C1319" s="78" t="n">
        <f aca="false">05_Unit_Economics!$B$15*EXP((01_Inputs!$C$20-01_Inputs!$C$21^2/2)*01_Inputs!$C$22+01_Inputs!$C$21*SQRT(01_Inputs!$C$22)*B1319)</f>
        <v>95.3618048991817</v>
      </c>
      <c r="D1319" s="78" t="n">
        <f aca="false">MAX(C1319-05_Unit_Economics!$B$21,0)</f>
        <v>57.4541994246783</v>
      </c>
      <c r="E1319" s="78" t="n">
        <f aca="false">D1319*EXP(-01_Inputs!$C$20*01_Inputs!$C$22)</f>
        <v>54.9810235128915</v>
      </c>
      <c r="F1319" s="80" t="n">
        <f aca="false">AVERAGE(E1318:E1319)</f>
        <v>27.4905117564458</v>
      </c>
    </row>
    <row r="1320" customFormat="false" ht="15" hidden="false" customHeight="false" outlineLevel="0" collapsed="false">
      <c r="A1320" s="76" t="n">
        <v>1309</v>
      </c>
      <c r="B1320" s="77" t="n">
        <v>-0.282075</v>
      </c>
      <c r="C1320" s="78" t="n">
        <f aca="false">05_Unit_Economics!$B$15*EXP((01_Inputs!$C$20-01_Inputs!$C$21^2/2)*01_Inputs!$C$22+01_Inputs!$C$21*SQRT(01_Inputs!$C$22)*B1320)</f>
        <v>49.0323890297209</v>
      </c>
      <c r="D1320" s="78" t="n">
        <f aca="false">MAX(C1320-05_Unit_Economics!$B$21,0)</f>
        <v>11.1247835552174</v>
      </c>
      <c r="E1320" s="78" t="n">
        <f aca="false">D1320*EXP(-01_Inputs!$C$20*01_Inputs!$C$22)</f>
        <v>10.6459056491964</v>
      </c>
      <c r="F1320" s="79"/>
    </row>
    <row r="1321" customFormat="false" ht="15" hidden="false" customHeight="false" outlineLevel="0" collapsed="false">
      <c r="A1321" s="76" t="n">
        <v>1310</v>
      </c>
      <c r="B1321" s="77" t="n">
        <v>0.282075</v>
      </c>
      <c r="C1321" s="78" t="n">
        <f aca="false">05_Unit_Economics!$B$15*EXP((01_Inputs!$C$20-01_Inputs!$C$21^2/2)*01_Inputs!$C$22+01_Inputs!$C$21*SQRT(01_Inputs!$C$22)*B1321)</f>
        <v>59.7359239333667</v>
      </c>
      <c r="D1321" s="78" t="n">
        <f aca="false">MAX(C1321-05_Unit_Economics!$B$21,0)</f>
        <v>21.8283184588632</v>
      </c>
      <c r="E1321" s="78" t="n">
        <f aca="false">D1321*EXP(-01_Inputs!$C$20*01_Inputs!$C$22)</f>
        <v>20.8886957341911</v>
      </c>
      <c r="F1321" s="80" t="n">
        <f aca="false">AVERAGE(E1320:E1321)</f>
        <v>15.7673006916938</v>
      </c>
    </row>
    <row r="1322" customFormat="false" ht="15" hidden="false" customHeight="false" outlineLevel="0" collapsed="false">
      <c r="A1322" s="76" t="n">
        <v>1311</v>
      </c>
      <c r="B1322" s="77" t="n">
        <v>0.050441</v>
      </c>
      <c r="C1322" s="78" t="n">
        <f aca="false">05_Unit_Economics!$B$15*EXP((01_Inputs!$C$20-01_Inputs!$C$21^2/2)*01_Inputs!$C$22+01_Inputs!$C$21*SQRT(01_Inputs!$C$22)*B1322)</f>
        <v>55.0841315125248</v>
      </c>
      <c r="D1322" s="78" t="n">
        <f aca="false">MAX(C1322-05_Unit_Economics!$B$21,0)</f>
        <v>17.1765260380214</v>
      </c>
      <c r="E1322" s="78" t="n">
        <f aca="false">D1322*EXP(-01_Inputs!$C$20*01_Inputs!$C$22)</f>
        <v>16.4371445677234</v>
      </c>
      <c r="F1322" s="79"/>
    </row>
    <row r="1323" customFormat="false" ht="15" hidden="false" customHeight="false" outlineLevel="0" collapsed="false">
      <c r="A1323" s="76" t="n">
        <v>1312</v>
      </c>
      <c r="B1323" s="77" t="n">
        <v>-0.050441</v>
      </c>
      <c r="C1323" s="78" t="n">
        <f aca="false">05_Unit_Economics!$B$15*EXP((01_Inputs!$C$20-01_Inputs!$C$21^2/2)*01_Inputs!$C$22+01_Inputs!$C$21*SQRT(01_Inputs!$C$22)*B1323)</f>
        <v>53.1731186627617</v>
      </c>
      <c r="D1323" s="78" t="n">
        <f aca="false">MAX(C1323-05_Unit_Economics!$B$21,0)</f>
        <v>15.2655131882582</v>
      </c>
      <c r="E1323" s="78" t="n">
        <f aca="false">D1323*EXP(-01_Inputs!$C$20*01_Inputs!$C$22)</f>
        <v>14.6083932583607</v>
      </c>
      <c r="F1323" s="80" t="n">
        <f aca="false">AVERAGE(E1322:E1323)</f>
        <v>15.522768913042</v>
      </c>
    </row>
    <row r="1324" customFormat="false" ht="15" hidden="false" customHeight="false" outlineLevel="0" collapsed="false">
      <c r="A1324" s="76" t="n">
        <v>1313</v>
      </c>
      <c r="B1324" s="77" t="n">
        <v>-0.809934</v>
      </c>
      <c r="C1324" s="78" t="n">
        <f aca="false">05_Unit_Economics!$B$15*EXP((01_Inputs!$C$20-01_Inputs!$C$21^2/2)*01_Inputs!$C$22+01_Inputs!$C$21*SQRT(01_Inputs!$C$22)*B1324)</f>
        <v>40.7611911060405</v>
      </c>
      <c r="D1324" s="78" t="n">
        <f aca="false">MAX(C1324-05_Unit_Economics!$B$21,0)</f>
        <v>2.85358563153702</v>
      </c>
      <c r="E1324" s="78" t="n">
        <f aca="false">D1324*EXP(-01_Inputs!$C$20*01_Inputs!$C$22)</f>
        <v>2.73075006308758</v>
      </c>
      <c r="F1324" s="79"/>
    </row>
    <row r="1325" customFormat="false" ht="15" hidden="false" customHeight="false" outlineLevel="0" collapsed="false">
      <c r="A1325" s="76" t="n">
        <v>1314</v>
      </c>
      <c r="B1325" s="77" t="n">
        <v>0.809934</v>
      </c>
      <c r="C1325" s="78" t="n">
        <f aca="false">05_Unit_Economics!$B$15*EXP((01_Inputs!$C$20-01_Inputs!$C$21^2/2)*01_Inputs!$C$22+01_Inputs!$C$21*SQRT(01_Inputs!$C$22)*B1325)</f>
        <v>71.8574453266308</v>
      </c>
      <c r="D1325" s="78" t="n">
        <f aca="false">MAX(C1325-05_Unit_Economics!$B$21,0)</f>
        <v>33.9498398521273</v>
      </c>
      <c r="E1325" s="78" t="n">
        <f aca="false">D1325*EXP(-01_Inputs!$C$20*01_Inputs!$C$22)</f>
        <v>32.4884336020694</v>
      </c>
      <c r="F1325" s="80" t="n">
        <f aca="false">AVERAGE(E1324:E1325)</f>
        <v>17.6095918325785</v>
      </c>
    </row>
    <row r="1326" customFormat="false" ht="15" hidden="false" customHeight="false" outlineLevel="0" collapsed="false">
      <c r="A1326" s="76" t="n">
        <v>1315</v>
      </c>
      <c r="B1326" s="77" t="n">
        <v>-1.120689</v>
      </c>
      <c r="C1326" s="78" t="n">
        <f aca="false">05_Unit_Economics!$B$15*EXP((01_Inputs!$C$20-01_Inputs!$C$21^2/2)*01_Inputs!$C$22+01_Inputs!$C$21*SQRT(01_Inputs!$C$22)*B1326)</f>
        <v>36.5604180208947</v>
      </c>
      <c r="D1326" s="78" t="n">
        <f aca="false">MAX(C1326-05_Unit_Economics!$B$21,0)</f>
        <v>0</v>
      </c>
      <c r="E1326" s="78" t="n">
        <f aca="false">D1326*EXP(-01_Inputs!$C$20*01_Inputs!$C$22)</f>
        <v>0</v>
      </c>
      <c r="F1326" s="79"/>
    </row>
    <row r="1327" customFormat="false" ht="15" hidden="false" customHeight="false" outlineLevel="0" collapsed="false">
      <c r="A1327" s="76" t="n">
        <v>1316</v>
      </c>
      <c r="B1327" s="77" t="n">
        <v>1.120689</v>
      </c>
      <c r="C1327" s="78" t="n">
        <f aca="false">05_Unit_Economics!$B$15*EXP((01_Inputs!$C$20-01_Inputs!$C$21^2/2)*01_Inputs!$C$22+01_Inputs!$C$21*SQRT(01_Inputs!$C$22)*B1327)</f>
        <v>80.1138285584343</v>
      </c>
      <c r="D1327" s="78" t="n">
        <f aca="false">MAX(C1327-05_Unit_Economics!$B$21,0)</f>
        <v>42.2062230839309</v>
      </c>
      <c r="E1327" s="78" t="n">
        <f aca="false">D1327*EXP(-01_Inputs!$C$20*01_Inputs!$C$22)</f>
        <v>40.3894122101579</v>
      </c>
      <c r="F1327" s="80" t="n">
        <f aca="false">AVERAGE(E1326:E1327)</f>
        <v>20.194706105079</v>
      </c>
    </row>
    <row r="1328" customFormat="false" ht="15" hidden="false" customHeight="false" outlineLevel="0" collapsed="false">
      <c r="A1328" s="76" t="n">
        <v>1317</v>
      </c>
      <c r="B1328" s="77" t="n">
        <v>-0.323571</v>
      </c>
      <c r="C1328" s="78" t="n">
        <f aca="false">05_Unit_Economics!$B$15*EXP((01_Inputs!$C$20-01_Inputs!$C$21^2/2)*01_Inputs!$C$22+01_Inputs!$C$21*SQRT(01_Inputs!$C$22)*B1328)</f>
        <v>48.3254086020752</v>
      </c>
      <c r="D1328" s="78" t="n">
        <f aca="false">MAX(C1328-05_Unit_Economics!$B$21,0)</f>
        <v>10.4178031275717</v>
      </c>
      <c r="E1328" s="78" t="n">
        <f aca="false">D1328*EXP(-01_Inputs!$C$20*01_Inputs!$C$22)</f>
        <v>9.9693579311048</v>
      </c>
      <c r="F1328" s="79"/>
    </row>
    <row r="1329" customFormat="false" ht="15" hidden="false" customHeight="false" outlineLevel="0" collapsed="false">
      <c r="A1329" s="76" t="n">
        <v>1318</v>
      </c>
      <c r="B1329" s="77" t="n">
        <v>0.323571</v>
      </c>
      <c r="C1329" s="78" t="n">
        <f aca="false">05_Unit_Economics!$B$15*EXP((01_Inputs!$C$20-01_Inputs!$C$21^2/2)*01_Inputs!$C$22+01_Inputs!$C$21*SQRT(01_Inputs!$C$22)*B1329)</f>
        <v>60.6098354070591</v>
      </c>
      <c r="D1329" s="78" t="n">
        <f aca="false">MAX(C1329-05_Unit_Economics!$B$21,0)</f>
        <v>22.7022299325556</v>
      </c>
      <c r="E1329" s="78" t="n">
        <f aca="false">D1329*EXP(-01_Inputs!$C$20*01_Inputs!$C$22)</f>
        <v>21.7249887774222</v>
      </c>
      <c r="F1329" s="80" t="n">
        <f aca="false">AVERAGE(E1328:E1329)</f>
        <v>15.8471733542635</v>
      </c>
    </row>
    <row r="1330" customFormat="false" ht="15" hidden="false" customHeight="false" outlineLevel="0" collapsed="false">
      <c r="A1330" s="76" t="n">
        <v>1319</v>
      </c>
      <c r="B1330" s="77" t="n">
        <v>0.272778</v>
      </c>
      <c r="C1330" s="78" t="n">
        <f aca="false">05_Unit_Economics!$B$15*EXP((01_Inputs!$C$20-01_Inputs!$C$21^2/2)*01_Inputs!$C$22+01_Inputs!$C$21*SQRT(01_Inputs!$C$22)*B1330)</f>
        <v>59.5418621286187</v>
      </c>
      <c r="D1330" s="78" t="n">
        <f aca="false">MAX(C1330-05_Unit_Economics!$B$21,0)</f>
        <v>21.6342566541153</v>
      </c>
      <c r="E1330" s="78" t="n">
        <f aca="false">D1330*EXP(-01_Inputs!$C$20*01_Inputs!$C$22)</f>
        <v>20.7029875221432</v>
      </c>
      <c r="F1330" s="79"/>
    </row>
    <row r="1331" customFormat="false" ht="15" hidden="false" customHeight="false" outlineLevel="0" collapsed="false">
      <c r="A1331" s="76" t="n">
        <v>1320</v>
      </c>
      <c r="B1331" s="77" t="n">
        <v>-0.272778</v>
      </c>
      <c r="C1331" s="78" t="n">
        <f aca="false">05_Unit_Economics!$B$15*EXP((01_Inputs!$C$20-01_Inputs!$C$21^2/2)*01_Inputs!$C$22+01_Inputs!$C$21*SQRT(01_Inputs!$C$22)*B1331)</f>
        <v>49.1921978359295</v>
      </c>
      <c r="D1331" s="78" t="n">
        <f aca="false">MAX(C1331-05_Unit_Economics!$B$21,0)</f>
        <v>11.284592361426</v>
      </c>
      <c r="E1331" s="78" t="n">
        <f aca="false">D1331*EXP(-01_Inputs!$C$20*01_Inputs!$C$22)</f>
        <v>10.7988353187368</v>
      </c>
      <c r="F1331" s="80" t="n">
        <f aca="false">AVERAGE(E1330:E1331)</f>
        <v>15.75091142044</v>
      </c>
    </row>
    <row r="1332" customFormat="false" ht="15" hidden="false" customHeight="false" outlineLevel="0" collapsed="false">
      <c r="A1332" s="76" t="n">
        <v>1321</v>
      </c>
      <c r="B1332" s="77" t="n">
        <v>0.438455</v>
      </c>
      <c r="C1332" s="78" t="n">
        <f aca="false">05_Unit_Economics!$B$15*EXP((01_Inputs!$C$20-01_Inputs!$C$21^2/2)*01_Inputs!$C$22+01_Inputs!$C$21*SQRT(01_Inputs!$C$22)*B1332)</f>
        <v>63.0965807544601</v>
      </c>
      <c r="D1332" s="78" t="n">
        <f aca="false">MAX(C1332-05_Unit_Economics!$B$21,0)</f>
        <v>25.1889752799567</v>
      </c>
      <c r="E1332" s="78" t="n">
        <f aca="false">D1332*EXP(-01_Inputs!$C$20*01_Inputs!$C$22)</f>
        <v>24.1046895788453</v>
      </c>
      <c r="F1332" s="79"/>
    </row>
    <row r="1333" customFormat="false" ht="15" hidden="false" customHeight="false" outlineLevel="0" collapsed="false">
      <c r="A1333" s="76" t="n">
        <v>1322</v>
      </c>
      <c r="B1333" s="77" t="n">
        <v>-0.438455</v>
      </c>
      <c r="C1333" s="78" t="n">
        <f aca="false">05_Unit_Economics!$B$15*EXP((01_Inputs!$C$20-01_Inputs!$C$21^2/2)*01_Inputs!$C$22+01_Inputs!$C$21*SQRT(01_Inputs!$C$22)*B1333)</f>
        <v>46.4208206899327</v>
      </c>
      <c r="D1333" s="78" t="n">
        <f aca="false">MAX(C1333-05_Unit_Economics!$B$21,0)</f>
        <v>8.51321521542923</v>
      </c>
      <c r="E1333" s="78" t="n">
        <f aca="false">D1333*EXP(-01_Inputs!$C$20*01_Inputs!$C$22)</f>
        <v>8.14675499122476</v>
      </c>
      <c r="F1333" s="80" t="n">
        <f aca="false">AVERAGE(E1332:E1333)</f>
        <v>16.125722285035</v>
      </c>
    </row>
    <row r="1334" customFormat="false" ht="15" hidden="false" customHeight="false" outlineLevel="0" collapsed="false">
      <c r="A1334" s="76" t="n">
        <v>1323</v>
      </c>
      <c r="B1334" s="77" t="n">
        <v>0.206518</v>
      </c>
      <c r="C1334" s="78" t="n">
        <f aca="false">05_Unit_Economics!$B$15*EXP((01_Inputs!$C$20-01_Inputs!$C$21^2/2)*01_Inputs!$C$22+01_Inputs!$C$21*SQRT(01_Inputs!$C$22)*B1334)</f>
        <v>58.1769152202493</v>
      </c>
      <c r="D1334" s="78" t="n">
        <f aca="false">MAX(C1334-05_Unit_Economics!$B$21,0)</f>
        <v>20.2693097457459</v>
      </c>
      <c r="E1334" s="78" t="n">
        <f aca="false">D1334*EXP(-01_Inputs!$C$20*01_Inputs!$C$22)</f>
        <v>19.3967961764385</v>
      </c>
      <c r="F1334" s="79"/>
    </row>
    <row r="1335" customFormat="false" ht="15" hidden="false" customHeight="false" outlineLevel="0" collapsed="false">
      <c r="A1335" s="76" t="n">
        <v>1324</v>
      </c>
      <c r="B1335" s="77" t="n">
        <v>-0.206518</v>
      </c>
      <c r="C1335" s="78" t="n">
        <f aca="false">05_Unit_Economics!$B$15*EXP((01_Inputs!$C$20-01_Inputs!$C$21^2/2)*01_Inputs!$C$22+01_Inputs!$C$21*SQRT(01_Inputs!$C$22)*B1335)</f>
        <v>50.3463452859593</v>
      </c>
      <c r="D1335" s="78" t="n">
        <f aca="false">MAX(C1335-05_Unit_Economics!$B$21,0)</f>
        <v>12.4387398114558</v>
      </c>
      <c r="E1335" s="78" t="n">
        <f aca="false">D1335*EXP(-01_Inputs!$C$20*01_Inputs!$C$22)</f>
        <v>11.9033012885502</v>
      </c>
      <c r="F1335" s="80" t="n">
        <f aca="false">AVERAGE(E1334:E1335)</f>
        <v>15.6500487324943</v>
      </c>
    </row>
    <row r="1336" customFormat="false" ht="15" hidden="false" customHeight="false" outlineLevel="0" collapsed="false">
      <c r="A1336" s="76" t="n">
        <v>1325</v>
      </c>
      <c r="B1336" s="77" t="n">
        <v>-0.295317</v>
      </c>
      <c r="C1336" s="78" t="n">
        <f aca="false">05_Unit_Economics!$B$15*EXP((01_Inputs!$C$20-01_Inputs!$C$21^2/2)*01_Inputs!$C$22+01_Inputs!$C$21*SQRT(01_Inputs!$C$22)*B1336)</f>
        <v>48.8056644223989</v>
      </c>
      <c r="D1336" s="78" t="n">
        <f aca="false">MAX(C1336-05_Unit_Economics!$B$21,0)</f>
        <v>10.8980589478955</v>
      </c>
      <c r="E1336" s="78" t="n">
        <f aca="false">D1336*EXP(-01_Inputs!$C$20*01_Inputs!$C$22)</f>
        <v>10.4289406389631</v>
      </c>
      <c r="F1336" s="79"/>
    </row>
    <row r="1337" customFormat="false" ht="15" hidden="false" customHeight="false" outlineLevel="0" collapsed="false">
      <c r="A1337" s="76" t="n">
        <v>1326</v>
      </c>
      <c r="B1337" s="77" t="n">
        <v>0.295317</v>
      </c>
      <c r="C1337" s="78" t="n">
        <f aca="false">05_Unit_Economics!$B$15*EXP((01_Inputs!$C$20-01_Inputs!$C$21^2/2)*01_Inputs!$C$22+01_Inputs!$C$21*SQRT(01_Inputs!$C$22)*B1337)</f>
        <v>60.0134245894297</v>
      </c>
      <c r="D1337" s="78" t="n">
        <f aca="false">MAX(C1337-05_Unit_Economics!$B$21,0)</f>
        <v>22.1058191149263</v>
      </c>
      <c r="E1337" s="78" t="n">
        <f aca="false">D1337*EXP(-01_Inputs!$C$20*01_Inputs!$C$22)</f>
        <v>21.154251085212</v>
      </c>
      <c r="F1337" s="80" t="n">
        <f aca="false">AVERAGE(E1336:E1337)</f>
        <v>15.7915958620876</v>
      </c>
    </row>
    <row r="1338" customFormat="false" ht="15" hidden="false" customHeight="false" outlineLevel="0" collapsed="false">
      <c r="A1338" s="76" t="n">
        <v>1327</v>
      </c>
      <c r="B1338" s="77" t="n">
        <v>0.110952</v>
      </c>
      <c r="C1338" s="78" t="n">
        <f aca="false">05_Unit_Economics!$B$15*EXP((01_Inputs!$C$20-01_Inputs!$C$21^2/2)*01_Inputs!$C$22+01_Inputs!$C$21*SQRT(01_Inputs!$C$22)*B1338)</f>
        <v>56.2631915679032</v>
      </c>
      <c r="D1338" s="78" t="n">
        <f aca="false">MAX(C1338-05_Unit_Economics!$B$21,0)</f>
        <v>18.3555860933997</v>
      </c>
      <c r="E1338" s="78" t="n">
        <f aca="false">D1338*EXP(-01_Inputs!$C$20*01_Inputs!$C$22)</f>
        <v>17.5654507538161</v>
      </c>
      <c r="F1338" s="79"/>
    </row>
    <row r="1339" customFormat="false" ht="15" hidden="false" customHeight="false" outlineLevel="0" collapsed="false">
      <c r="A1339" s="76" t="n">
        <v>1328</v>
      </c>
      <c r="B1339" s="77" t="n">
        <v>-0.110952</v>
      </c>
      <c r="C1339" s="78" t="n">
        <f aca="false">05_Unit_Economics!$B$15*EXP((01_Inputs!$C$20-01_Inputs!$C$21^2/2)*01_Inputs!$C$22+01_Inputs!$C$21*SQRT(01_Inputs!$C$22)*B1339)</f>
        <v>52.058814648218</v>
      </c>
      <c r="D1339" s="78" t="n">
        <f aca="false">MAX(C1339-05_Unit_Economics!$B$21,0)</f>
        <v>14.1512091737145</v>
      </c>
      <c r="E1339" s="78" t="n">
        <f aca="false">D1339*EXP(-01_Inputs!$C$20*01_Inputs!$C$22)</f>
        <v>13.542055621815</v>
      </c>
      <c r="F1339" s="80" t="n">
        <f aca="false">AVERAGE(E1338:E1339)</f>
        <v>15.5537531878155</v>
      </c>
    </row>
    <row r="1340" customFormat="false" ht="15" hidden="false" customHeight="false" outlineLevel="0" collapsed="false">
      <c r="A1340" s="76" t="n">
        <v>1329</v>
      </c>
      <c r="B1340" s="77" t="n">
        <v>-0.283549</v>
      </c>
      <c r="C1340" s="78" t="n">
        <f aca="false">05_Unit_Economics!$B$15*EXP((01_Inputs!$C$20-01_Inputs!$C$21^2/2)*01_Inputs!$C$22+01_Inputs!$C$21*SQRT(01_Inputs!$C$22)*B1340)</f>
        <v>49.0070997441526</v>
      </c>
      <c r="D1340" s="78" t="n">
        <f aca="false">MAX(C1340-05_Unit_Economics!$B$21,0)</f>
        <v>11.0994942696491</v>
      </c>
      <c r="E1340" s="78" t="n">
        <f aca="false">D1340*EXP(-01_Inputs!$C$20*01_Inputs!$C$22)</f>
        <v>10.6217049672901</v>
      </c>
      <c r="F1340" s="79"/>
    </row>
    <row r="1341" customFormat="false" ht="15" hidden="false" customHeight="false" outlineLevel="0" collapsed="false">
      <c r="A1341" s="76" t="n">
        <v>1330</v>
      </c>
      <c r="B1341" s="77" t="n">
        <v>0.283549</v>
      </c>
      <c r="C1341" s="78" t="n">
        <f aca="false">05_Unit_Economics!$B$15*EXP((01_Inputs!$C$20-01_Inputs!$C$21^2/2)*01_Inputs!$C$22+01_Inputs!$C$21*SQRT(01_Inputs!$C$22)*B1341)</f>
        <v>59.7667496473331</v>
      </c>
      <c r="D1341" s="78" t="n">
        <f aca="false">MAX(C1341-05_Unit_Economics!$B$21,0)</f>
        <v>21.8591441728297</v>
      </c>
      <c r="E1341" s="78" t="n">
        <f aca="false">D1341*EXP(-01_Inputs!$C$20*01_Inputs!$C$22)</f>
        <v>20.9181945231632</v>
      </c>
      <c r="F1341" s="80" t="n">
        <f aca="false">AVERAGE(E1340:E1341)</f>
        <v>15.7699497452267</v>
      </c>
    </row>
    <row r="1342" customFormat="false" ht="15" hidden="false" customHeight="false" outlineLevel="0" collapsed="false">
      <c r="A1342" s="76" t="n">
        <v>1331</v>
      </c>
      <c r="B1342" s="77" t="n">
        <v>-2.320586</v>
      </c>
      <c r="C1342" s="78" t="n">
        <f aca="false">05_Unit_Economics!$B$15*EXP((01_Inputs!$C$20-01_Inputs!$C$21^2/2)*01_Inputs!$C$22+01_Inputs!$C$21*SQRT(01_Inputs!$C$22)*B1342)</f>
        <v>24.022772397073</v>
      </c>
      <c r="D1342" s="78" t="n">
        <f aca="false">MAX(C1342-05_Unit_Economics!$B$21,0)</f>
        <v>0</v>
      </c>
      <c r="E1342" s="78" t="n">
        <f aca="false">D1342*EXP(-01_Inputs!$C$20*01_Inputs!$C$22)</f>
        <v>0</v>
      </c>
      <c r="F1342" s="79"/>
    </row>
    <row r="1343" customFormat="false" ht="15" hidden="false" customHeight="false" outlineLevel="0" collapsed="false">
      <c r="A1343" s="76" t="n">
        <v>1332</v>
      </c>
      <c r="B1343" s="77" t="n">
        <v>2.320586</v>
      </c>
      <c r="C1343" s="78" t="n">
        <f aca="false">05_Unit_Economics!$B$15*EXP((01_Inputs!$C$20-01_Inputs!$C$21^2/2)*01_Inputs!$C$22+01_Inputs!$C$21*SQRT(01_Inputs!$C$22)*B1343)</f>
        <v>121.925771636063</v>
      </c>
      <c r="D1343" s="78" t="n">
        <f aca="false">MAX(C1343-05_Unit_Economics!$B$21,0)</f>
        <v>84.0181661615598</v>
      </c>
      <c r="E1343" s="78" t="n">
        <f aca="false">D1343*EXP(-01_Inputs!$C$20*01_Inputs!$C$22)</f>
        <v>80.4015166079327</v>
      </c>
      <c r="F1343" s="80" t="n">
        <f aca="false">AVERAGE(E1342:E1343)</f>
        <v>40.2007583039663</v>
      </c>
    </row>
    <row r="1344" customFormat="false" ht="15" hidden="false" customHeight="false" outlineLevel="0" collapsed="false">
      <c r="A1344" s="76" t="n">
        <v>1333</v>
      </c>
      <c r="B1344" s="77" t="n">
        <v>0.902045</v>
      </c>
      <c r="C1344" s="78" t="n">
        <f aca="false">05_Unit_Economics!$B$15*EXP((01_Inputs!$C$20-01_Inputs!$C$21^2/2)*01_Inputs!$C$22+01_Inputs!$C$21*SQRT(01_Inputs!$C$22)*B1344)</f>
        <v>74.2117935564449</v>
      </c>
      <c r="D1344" s="78" t="n">
        <f aca="false">MAX(C1344-05_Unit_Economics!$B$21,0)</f>
        <v>36.3041880819415</v>
      </c>
      <c r="E1344" s="78" t="n">
        <f aca="false">D1344*EXP(-01_Inputs!$C$20*01_Inputs!$C$22)</f>
        <v>34.7414364578597</v>
      </c>
      <c r="F1344" s="79"/>
    </row>
    <row r="1345" customFormat="false" ht="15" hidden="false" customHeight="false" outlineLevel="0" collapsed="false">
      <c r="A1345" s="76" t="n">
        <v>1334</v>
      </c>
      <c r="B1345" s="77" t="n">
        <v>-0.902045</v>
      </c>
      <c r="C1345" s="78" t="n">
        <f aca="false">05_Unit_Economics!$B$15*EXP((01_Inputs!$C$20-01_Inputs!$C$21^2/2)*01_Inputs!$C$22+01_Inputs!$C$21*SQRT(01_Inputs!$C$22)*B1345)</f>
        <v>39.4680538090335</v>
      </c>
      <c r="D1345" s="78" t="n">
        <f aca="false">MAX(C1345-05_Unit_Economics!$B$21,0)</f>
        <v>1.56044833453</v>
      </c>
      <c r="E1345" s="78" t="n">
        <f aca="false">D1345*EXP(-01_Inputs!$C$20*01_Inputs!$C$22)</f>
        <v>1.49327720916071</v>
      </c>
      <c r="F1345" s="80" t="n">
        <f aca="false">AVERAGE(E1344:E1345)</f>
        <v>18.1173568335102</v>
      </c>
    </row>
    <row r="1346" customFormat="false" ht="15" hidden="false" customHeight="false" outlineLevel="0" collapsed="false">
      <c r="A1346" s="76" t="n">
        <v>1335</v>
      </c>
      <c r="B1346" s="77" t="n">
        <v>-0.086704</v>
      </c>
      <c r="C1346" s="78" t="n">
        <f aca="false">05_Unit_Economics!$B$15*EXP((01_Inputs!$C$20-01_Inputs!$C$21^2/2)*01_Inputs!$C$22+01_Inputs!$C$21*SQRT(01_Inputs!$C$22)*B1346)</f>
        <v>52.5025074995127</v>
      </c>
      <c r="D1346" s="78" t="n">
        <f aca="false">MAX(C1346-05_Unit_Economics!$B$21,0)</f>
        <v>14.5949020250093</v>
      </c>
      <c r="E1346" s="78" t="n">
        <f aca="false">D1346*EXP(-01_Inputs!$C$20*01_Inputs!$C$22)</f>
        <v>13.966649251764</v>
      </c>
      <c r="F1346" s="79"/>
    </row>
    <row r="1347" customFormat="false" ht="15" hidden="false" customHeight="false" outlineLevel="0" collapsed="false">
      <c r="A1347" s="76" t="n">
        <v>1336</v>
      </c>
      <c r="B1347" s="77" t="n">
        <v>0.086704</v>
      </c>
      <c r="C1347" s="78" t="n">
        <f aca="false">05_Unit_Economics!$B$15*EXP((01_Inputs!$C$20-01_Inputs!$C$21^2/2)*01_Inputs!$C$22+01_Inputs!$C$21*SQRT(01_Inputs!$C$22)*B1347)</f>
        <v>55.787717593828</v>
      </c>
      <c r="D1347" s="78" t="n">
        <f aca="false">MAX(C1347-05_Unit_Economics!$B$21,0)</f>
        <v>17.8801121193245</v>
      </c>
      <c r="E1347" s="78" t="n">
        <f aca="false">D1347*EXP(-01_Inputs!$C$20*01_Inputs!$C$22)</f>
        <v>17.1104440526494</v>
      </c>
      <c r="F1347" s="80" t="n">
        <f aca="false">AVERAGE(E1346:E1347)</f>
        <v>15.5385466522067</v>
      </c>
    </row>
    <row r="1348" customFormat="false" ht="15" hidden="false" customHeight="false" outlineLevel="0" collapsed="false">
      <c r="A1348" s="76" t="n">
        <v>1337</v>
      </c>
      <c r="B1348" s="77" t="n">
        <v>-0.525543</v>
      </c>
      <c r="C1348" s="78" t="n">
        <f aca="false">05_Unit_Economics!$B$15*EXP((01_Inputs!$C$20-01_Inputs!$C$21^2/2)*01_Inputs!$C$22+01_Inputs!$C$21*SQRT(01_Inputs!$C$22)*B1348)</f>
        <v>45.0272238077194</v>
      </c>
      <c r="D1348" s="78" t="n">
        <f aca="false">MAX(C1348-05_Unit_Economics!$B$21,0)</f>
        <v>7.1196183332159</v>
      </c>
      <c r="E1348" s="78" t="n">
        <f aca="false">D1348*EXP(-01_Inputs!$C$20*01_Inputs!$C$22)</f>
        <v>6.81314693966861</v>
      </c>
      <c r="F1348" s="79"/>
    </row>
    <row r="1349" customFormat="false" ht="15" hidden="false" customHeight="false" outlineLevel="0" collapsed="false">
      <c r="A1349" s="76" t="n">
        <v>1338</v>
      </c>
      <c r="B1349" s="77" t="n">
        <v>0.525543</v>
      </c>
      <c r="C1349" s="78" t="n">
        <f aca="false">05_Unit_Economics!$B$15*EXP((01_Inputs!$C$20-01_Inputs!$C$21^2/2)*01_Inputs!$C$22+01_Inputs!$C$21*SQRT(01_Inputs!$C$22)*B1349)</f>
        <v>65.0494259619113</v>
      </c>
      <c r="D1349" s="78" t="n">
        <f aca="false">MAX(C1349-05_Unit_Economics!$B$21,0)</f>
        <v>27.1418204874079</v>
      </c>
      <c r="E1349" s="78" t="n">
        <f aca="false">D1349*EXP(-01_Inputs!$C$20*01_Inputs!$C$22)</f>
        <v>25.973472528448</v>
      </c>
      <c r="F1349" s="80" t="n">
        <f aca="false">AVERAGE(E1348:E1349)</f>
        <v>16.3933097340583</v>
      </c>
    </row>
    <row r="1350" customFormat="false" ht="15" hidden="false" customHeight="false" outlineLevel="0" collapsed="false">
      <c r="A1350" s="76" t="n">
        <v>1339</v>
      </c>
      <c r="B1350" s="77" t="n">
        <v>-0.331529</v>
      </c>
      <c r="C1350" s="78" t="n">
        <f aca="false">05_Unit_Economics!$B$15*EXP((01_Inputs!$C$20-01_Inputs!$C$21^2/2)*01_Inputs!$C$22+01_Inputs!$C$21*SQRT(01_Inputs!$C$22)*B1350)</f>
        <v>48.1909951193297</v>
      </c>
      <c r="D1350" s="78" t="n">
        <f aca="false">MAX(C1350-05_Unit_Economics!$B$21,0)</f>
        <v>10.2833896448262</v>
      </c>
      <c r="E1350" s="78" t="n">
        <f aca="false">D1350*EXP(-01_Inputs!$C$20*01_Inputs!$C$22)</f>
        <v>9.84073041685379</v>
      </c>
      <c r="F1350" s="79"/>
    </row>
    <row r="1351" customFormat="false" ht="15" hidden="false" customHeight="false" outlineLevel="0" collapsed="false">
      <c r="A1351" s="76" t="n">
        <v>1340</v>
      </c>
      <c r="B1351" s="77" t="n">
        <v>0.331529</v>
      </c>
      <c r="C1351" s="78" t="n">
        <f aca="false">05_Unit_Economics!$B$15*EXP((01_Inputs!$C$20-01_Inputs!$C$21^2/2)*01_Inputs!$C$22+01_Inputs!$C$21*SQRT(01_Inputs!$C$22)*B1351)</f>
        <v>60.7788873024499</v>
      </c>
      <c r="D1351" s="78" t="n">
        <f aca="false">MAX(C1351-05_Unit_Economics!$B$21,0)</f>
        <v>22.8712818279464</v>
      </c>
      <c r="E1351" s="78" t="n">
        <f aca="false">D1351*EXP(-01_Inputs!$C$20*01_Inputs!$C$22)</f>
        <v>21.8867636577347</v>
      </c>
      <c r="F1351" s="80" t="n">
        <f aca="false">AVERAGE(E1350:E1351)</f>
        <v>15.8637470372943</v>
      </c>
    </row>
    <row r="1352" customFormat="false" ht="15" hidden="false" customHeight="false" outlineLevel="0" collapsed="false">
      <c r="A1352" s="76" t="n">
        <v>1341</v>
      </c>
      <c r="B1352" s="77" t="n">
        <v>0.672334</v>
      </c>
      <c r="C1352" s="78" t="n">
        <f aca="false">05_Unit_Economics!$B$15*EXP((01_Inputs!$C$20-01_Inputs!$C$21^2/2)*01_Inputs!$C$22+01_Inputs!$C$21*SQRT(01_Inputs!$C$22)*B1352)</f>
        <v>68.4788015090695</v>
      </c>
      <c r="D1352" s="78" t="n">
        <f aca="false">MAX(C1352-05_Unit_Economics!$B$21,0)</f>
        <v>30.571196034566</v>
      </c>
      <c r="E1352" s="78" t="n">
        <f aca="false">D1352*EXP(-01_Inputs!$C$20*01_Inputs!$C$22)</f>
        <v>29.2552270299622</v>
      </c>
      <c r="F1352" s="79"/>
    </row>
    <row r="1353" customFormat="false" ht="15" hidden="false" customHeight="false" outlineLevel="0" collapsed="false">
      <c r="A1353" s="76" t="n">
        <v>1342</v>
      </c>
      <c r="B1353" s="77" t="n">
        <v>-0.672334</v>
      </c>
      <c r="C1353" s="78" t="n">
        <f aca="false">05_Unit_Economics!$B$15*EXP((01_Inputs!$C$20-01_Inputs!$C$21^2/2)*01_Inputs!$C$22+01_Inputs!$C$21*SQRT(01_Inputs!$C$22)*B1353)</f>
        <v>42.7722886032509</v>
      </c>
      <c r="D1353" s="78" t="n">
        <f aca="false">MAX(C1353-05_Unit_Economics!$B$21,0)</f>
        <v>4.86468312874743</v>
      </c>
      <c r="E1353" s="78" t="n">
        <f aca="false">D1353*EXP(-01_Inputs!$C$20*01_Inputs!$C$22)</f>
        <v>4.65527777190722</v>
      </c>
      <c r="F1353" s="80" t="n">
        <f aca="false">AVERAGE(E1352:E1353)</f>
        <v>16.9552524009347</v>
      </c>
    </row>
    <row r="1354" customFormat="false" ht="15" hidden="false" customHeight="false" outlineLevel="0" collapsed="false">
      <c r="A1354" s="76" t="n">
        <v>1343</v>
      </c>
      <c r="B1354" s="77" t="n">
        <v>0.922264</v>
      </c>
      <c r="C1354" s="78" t="n">
        <f aca="false">05_Unit_Economics!$B$15*EXP((01_Inputs!$C$20-01_Inputs!$C$21^2/2)*01_Inputs!$C$22+01_Inputs!$C$21*SQRT(01_Inputs!$C$22)*B1354)</f>
        <v>74.738827061704</v>
      </c>
      <c r="D1354" s="78" t="n">
        <f aca="false">MAX(C1354-05_Unit_Economics!$B$21,0)</f>
        <v>36.8312215872005</v>
      </c>
      <c r="E1354" s="78" t="n">
        <f aca="false">D1354*EXP(-01_Inputs!$C$20*01_Inputs!$C$22)</f>
        <v>35.2457832564382</v>
      </c>
      <c r="F1354" s="79"/>
    </row>
    <row r="1355" customFormat="false" ht="15" hidden="false" customHeight="false" outlineLevel="0" collapsed="false">
      <c r="A1355" s="76" t="n">
        <v>1344</v>
      </c>
      <c r="B1355" s="77" t="n">
        <v>-0.922264</v>
      </c>
      <c r="C1355" s="78" t="n">
        <f aca="false">05_Unit_Economics!$B$15*EXP((01_Inputs!$C$20-01_Inputs!$C$21^2/2)*01_Inputs!$C$22+01_Inputs!$C$21*SQRT(01_Inputs!$C$22)*B1355)</f>
        <v>39.1897381388189</v>
      </c>
      <c r="D1355" s="78" t="n">
        <f aca="false">MAX(C1355-05_Unit_Economics!$B$21,0)</f>
        <v>1.28213266431544</v>
      </c>
      <c r="E1355" s="78" t="n">
        <f aca="false">D1355*EXP(-01_Inputs!$C$20*01_Inputs!$C$22)</f>
        <v>1.22694192712212</v>
      </c>
      <c r="F1355" s="80" t="n">
        <f aca="false">AVERAGE(E1354:E1355)</f>
        <v>18.2363625917802</v>
      </c>
    </row>
    <row r="1356" customFormat="false" ht="15" hidden="false" customHeight="false" outlineLevel="0" collapsed="false">
      <c r="A1356" s="76" t="n">
        <v>1345</v>
      </c>
      <c r="B1356" s="77" t="n">
        <v>-1.708954</v>
      </c>
      <c r="C1356" s="78" t="n">
        <f aca="false">05_Unit_Economics!$B$15*EXP((01_Inputs!$C$20-01_Inputs!$C$21^2/2)*01_Inputs!$C$22+01_Inputs!$C$21*SQRT(01_Inputs!$C$22)*B1356)</f>
        <v>29.7572687640729</v>
      </c>
      <c r="D1356" s="78" t="n">
        <f aca="false">MAX(C1356-05_Unit_Economics!$B$21,0)</f>
        <v>0</v>
      </c>
      <c r="E1356" s="78" t="n">
        <f aca="false">D1356*EXP(-01_Inputs!$C$20*01_Inputs!$C$22)</f>
        <v>0</v>
      </c>
      <c r="F1356" s="79"/>
    </row>
    <row r="1357" customFormat="false" ht="15" hidden="false" customHeight="false" outlineLevel="0" collapsed="false">
      <c r="A1357" s="76" t="n">
        <v>1346</v>
      </c>
      <c r="B1357" s="77" t="n">
        <v>1.708954</v>
      </c>
      <c r="C1357" s="78" t="n">
        <f aca="false">05_Unit_Economics!$B$15*EXP((01_Inputs!$C$20-01_Inputs!$C$21^2/2)*01_Inputs!$C$22+01_Inputs!$C$21*SQRT(01_Inputs!$C$22)*B1357)</f>
        <v>98.4295663883958</v>
      </c>
      <c r="D1357" s="78" t="n">
        <f aca="false">MAX(C1357-05_Unit_Economics!$B$21,0)</f>
        <v>60.5219609138923</v>
      </c>
      <c r="E1357" s="78" t="n">
        <f aca="false">D1357*EXP(-01_Inputs!$C$20*01_Inputs!$C$22)</f>
        <v>57.9167300105783</v>
      </c>
      <c r="F1357" s="80" t="n">
        <f aca="false">AVERAGE(E1356:E1357)</f>
        <v>28.9583650052892</v>
      </c>
    </row>
    <row r="1358" customFormat="false" ht="15" hidden="false" customHeight="false" outlineLevel="0" collapsed="false">
      <c r="A1358" s="76" t="n">
        <v>1347</v>
      </c>
      <c r="B1358" s="77" t="n">
        <v>-1.394705</v>
      </c>
      <c r="C1358" s="78" t="n">
        <f aca="false">05_Unit_Economics!$B$15*EXP((01_Inputs!$C$20-01_Inputs!$C$21^2/2)*01_Inputs!$C$22+01_Inputs!$C$21*SQRT(01_Inputs!$C$22)*B1358)</f>
        <v>33.2169597174105</v>
      </c>
      <c r="D1358" s="78" t="n">
        <f aca="false">MAX(C1358-05_Unit_Economics!$B$21,0)</f>
        <v>0</v>
      </c>
      <c r="E1358" s="78" t="n">
        <f aca="false">D1358*EXP(-01_Inputs!$C$20*01_Inputs!$C$22)</f>
        <v>0</v>
      </c>
      <c r="F1358" s="79"/>
    </row>
    <row r="1359" customFormat="false" ht="15" hidden="false" customHeight="false" outlineLevel="0" collapsed="false">
      <c r="A1359" s="76" t="n">
        <v>1348</v>
      </c>
      <c r="B1359" s="77" t="n">
        <v>1.394705</v>
      </c>
      <c r="C1359" s="78" t="n">
        <f aca="false">05_Unit_Economics!$B$15*EXP((01_Inputs!$C$20-01_Inputs!$C$21^2/2)*01_Inputs!$C$22+01_Inputs!$C$21*SQRT(01_Inputs!$C$22)*B1359)</f>
        <v>88.1776985693074</v>
      </c>
      <c r="D1359" s="78" t="n">
        <f aca="false">MAX(C1359-05_Unit_Economics!$B$21,0)</f>
        <v>50.2700930948039</v>
      </c>
      <c r="E1359" s="78" t="n">
        <f aca="false">D1359*EXP(-01_Inputs!$C$20*01_Inputs!$C$22)</f>
        <v>48.1061645296111</v>
      </c>
      <c r="F1359" s="80" t="n">
        <f aca="false">AVERAGE(E1358:E1359)</f>
        <v>24.0530822648055</v>
      </c>
    </row>
    <row r="1360" customFormat="false" ht="15" hidden="false" customHeight="false" outlineLevel="0" collapsed="false">
      <c r="A1360" s="76" t="n">
        <v>1349</v>
      </c>
      <c r="B1360" s="77" t="n">
        <v>1.79629</v>
      </c>
      <c r="C1360" s="78" t="n">
        <f aca="false">05_Unit_Economics!$B$15*EXP((01_Inputs!$C$20-01_Inputs!$C$21^2/2)*01_Inputs!$C$22+01_Inputs!$C$21*SQRT(01_Inputs!$C$22)*B1360)</f>
        <v>101.484779376204</v>
      </c>
      <c r="D1360" s="78" t="n">
        <f aca="false">MAX(C1360-05_Unit_Economics!$B$21,0)</f>
        <v>63.5771739017006</v>
      </c>
      <c r="E1360" s="78" t="n">
        <f aca="false">D1360*EXP(-01_Inputs!$C$20*01_Inputs!$C$22)</f>
        <v>60.8404281701845</v>
      </c>
      <c r="F1360" s="79"/>
    </row>
    <row r="1361" customFormat="false" ht="15" hidden="false" customHeight="false" outlineLevel="0" collapsed="false">
      <c r="A1361" s="76" t="n">
        <v>1350</v>
      </c>
      <c r="B1361" s="77" t="n">
        <v>-1.79629</v>
      </c>
      <c r="C1361" s="78" t="n">
        <f aca="false">05_Unit_Economics!$B$15*EXP((01_Inputs!$C$20-01_Inputs!$C$21^2/2)*01_Inputs!$C$22+01_Inputs!$C$21*SQRT(01_Inputs!$C$22)*B1361)</f>
        <v>28.8614221694553</v>
      </c>
      <c r="D1361" s="78" t="n">
        <f aca="false">MAX(C1361-05_Unit_Economics!$B$21,0)</f>
        <v>0</v>
      </c>
      <c r="E1361" s="78" t="n">
        <f aca="false">D1361*EXP(-01_Inputs!$C$20*01_Inputs!$C$22)</f>
        <v>0</v>
      </c>
      <c r="F1361" s="80" t="n">
        <f aca="false">AVERAGE(E1360:E1361)</f>
        <v>30.4202140850923</v>
      </c>
    </row>
    <row r="1362" customFormat="false" ht="15" hidden="false" customHeight="false" outlineLevel="0" collapsed="false">
      <c r="A1362" s="76" t="n">
        <v>1351</v>
      </c>
      <c r="B1362" s="77" t="n">
        <v>0.748746</v>
      </c>
      <c r="C1362" s="78" t="n">
        <f aca="false">05_Unit_Economics!$B$15*EXP((01_Inputs!$C$20-01_Inputs!$C$21^2/2)*01_Inputs!$C$22+01_Inputs!$C$21*SQRT(01_Inputs!$C$22)*B1362)</f>
        <v>70.3349218679048</v>
      </c>
      <c r="D1362" s="78" t="n">
        <f aca="false">MAX(C1362-05_Unit_Economics!$B$21,0)</f>
        <v>32.4273163934013</v>
      </c>
      <c r="E1362" s="78" t="n">
        <f aca="false">D1362*EXP(-01_Inputs!$C$20*01_Inputs!$C$22)</f>
        <v>31.031448752896</v>
      </c>
      <c r="F1362" s="79"/>
    </row>
    <row r="1363" customFormat="false" ht="15" hidden="false" customHeight="false" outlineLevel="0" collapsed="false">
      <c r="A1363" s="76" t="n">
        <v>1352</v>
      </c>
      <c r="B1363" s="77" t="n">
        <v>-0.748746</v>
      </c>
      <c r="C1363" s="78" t="n">
        <f aca="false">05_Unit_Economics!$B$15*EXP((01_Inputs!$C$20-01_Inputs!$C$21^2/2)*01_Inputs!$C$22+01_Inputs!$C$21*SQRT(01_Inputs!$C$22)*B1363)</f>
        <v>41.6435389926439</v>
      </c>
      <c r="D1363" s="78" t="n">
        <f aca="false">MAX(C1363-05_Unit_Economics!$B$21,0)</f>
        <v>3.73593351814039</v>
      </c>
      <c r="E1363" s="78" t="n">
        <f aca="false">D1363*EXP(-01_Inputs!$C$20*01_Inputs!$C$22)</f>
        <v>3.57511636504064</v>
      </c>
      <c r="F1363" s="80" t="n">
        <f aca="false">AVERAGE(E1362:E1363)</f>
        <v>17.3032825589683</v>
      </c>
    </row>
    <row r="1364" customFormat="false" ht="15" hidden="false" customHeight="false" outlineLevel="0" collapsed="false">
      <c r="A1364" s="76" t="n">
        <v>1353</v>
      </c>
      <c r="B1364" s="77" t="n">
        <v>0.408608</v>
      </c>
      <c r="C1364" s="78" t="n">
        <f aca="false">05_Unit_Economics!$B$15*EXP((01_Inputs!$C$20-01_Inputs!$C$21^2/2)*01_Inputs!$C$22+01_Inputs!$C$21*SQRT(01_Inputs!$C$22)*B1364)</f>
        <v>62.4408763331462</v>
      </c>
      <c r="D1364" s="78" t="n">
        <f aca="false">MAX(C1364-05_Unit_Economics!$B$21,0)</f>
        <v>24.5332708586428</v>
      </c>
      <c r="E1364" s="78" t="n">
        <f aca="false">D1364*EXP(-01_Inputs!$C$20*01_Inputs!$C$22)</f>
        <v>23.4772106379364</v>
      </c>
      <c r="F1364" s="79"/>
    </row>
    <row r="1365" customFormat="false" ht="15" hidden="false" customHeight="false" outlineLevel="0" collapsed="false">
      <c r="A1365" s="76" t="n">
        <v>1354</v>
      </c>
      <c r="B1365" s="77" t="n">
        <v>-0.408608</v>
      </c>
      <c r="C1365" s="78" t="n">
        <f aca="false">05_Unit_Economics!$B$15*EXP((01_Inputs!$C$20-01_Inputs!$C$21^2/2)*01_Inputs!$C$22+01_Inputs!$C$21*SQRT(01_Inputs!$C$22)*B1365)</f>
        <v>46.9082952283266</v>
      </c>
      <c r="D1365" s="78" t="n">
        <f aca="false">MAX(C1365-05_Unit_Economics!$B$21,0)</f>
        <v>9.00068975382308</v>
      </c>
      <c r="E1365" s="78" t="n">
        <f aca="false">D1365*EXP(-01_Inputs!$C$20*01_Inputs!$C$22)</f>
        <v>8.6132456799081</v>
      </c>
      <c r="F1365" s="80" t="n">
        <f aca="false">AVERAGE(E1364:E1365)</f>
        <v>16.0452281589222</v>
      </c>
    </row>
    <row r="1366" customFormat="false" ht="15" hidden="false" customHeight="false" outlineLevel="0" collapsed="false">
      <c r="A1366" s="76" t="n">
        <v>1355</v>
      </c>
      <c r="B1366" s="77" t="n">
        <v>-0.326566</v>
      </c>
      <c r="C1366" s="78" t="n">
        <f aca="false">05_Unit_Economics!$B$15*EXP((01_Inputs!$C$20-01_Inputs!$C$21^2/2)*01_Inputs!$C$22+01_Inputs!$C$21*SQRT(01_Inputs!$C$22)*B1366)</f>
        <v>48.2747780338908</v>
      </c>
      <c r="D1366" s="78" t="n">
        <f aca="false">MAX(C1366-05_Unit_Economics!$B$21,0)</f>
        <v>10.3671725593873</v>
      </c>
      <c r="E1366" s="78" t="n">
        <f aca="false">D1366*EXP(-01_Inputs!$C$20*01_Inputs!$C$22)</f>
        <v>9.92090680851165</v>
      </c>
      <c r="F1366" s="79"/>
    </row>
    <row r="1367" customFormat="false" ht="15" hidden="false" customHeight="false" outlineLevel="0" collapsed="false">
      <c r="A1367" s="76" t="n">
        <v>1356</v>
      </c>
      <c r="B1367" s="77" t="n">
        <v>0.326566</v>
      </c>
      <c r="C1367" s="78" t="n">
        <f aca="false">05_Unit_Economics!$B$15*EXP((01_Inputs!$C$20-01_Inputs!$C$21^2/2)*01_Inputs!$C$22+01_Inputs!$C$21*SQRT(01_Inputs!$C$22)*B1367)</f>
        <v>60.6734029785571</v>
      </c>
      <c r="D1367" s="78" t="n">
        <f aca="false">MAX(C1367-05_Unit_Economics!$B$21,0)</f>
        <v>22.7657975040537</v>
      </c>
      <c r="E1367" s="78" t="n">
        <f aca="false">D1367*EXP(-01_Inputs!$C$20*01_Inputs!$C$22)</f>
        <v>21.7858200165342</v>
      </c>
      <c r="F1367" s="80" t="n">
        <f aca="false">AVERAGE(E1366:E1367)</f>
        <v>15.8533634125229</v>
      </c>
    </row>
    <row r="1368" customFormat="false" ht="15" hidden="false" customHeight="false" outlineLevel="0" collapsed="false">
      <c r="A1368" s="76" t="n">
        <v>1357</v>
      </c>
      <c r="B1368" s="77" t="n">
        <v>0.290495</v>
      </c>
      <c r="C1368" s="78" t="n">
        <f aca="false">05_Unit_Economics!$B$15*EXP((01_Inputs!$C$20-01_Inputs!$C$21^2/2)*01_Inputs!$C$22+01_Inputs!$C$21*SQRT(01_Inputs!$C$22)*B1368)</f>
        <v>59.9122253537459</v>
      </c>
      <c r="D1368" s="78" t="n">
        <f aca="false">MAX(C1368-05_Unit_Economics!$B$21,0)</f>
        <v>22.0046198792425</v>
      </c>
      <c r="E1368" s="78" t="n">
        <f aca="false">D1368*EXP(-01_Inputs!$C$20*01_Inputs!$C$22)</f>
        <v>21.0574080761311</v>
      </c>
      <c r="F1368" s="79"/>
    </row>
    <row r="1369" customFormat="false" ht="15" hidden="false" customHeight="false" outlineLevel="0" collapsed="false">
      <c r="A1369" s="76" t="n">
        <v>1358</v>
      </c>
      <c r="B1369" s="77" t="n">
        <v>-0.290495</v>
      </c>
      <c r="C1369" s="78" t="n">
        <f aca="false">05_Unit_Economics!$B$15*EXP((01_Inputs!$C$20-01_Inputs!$C$21^2/2)*01_Inputs!$C$22+01_Inputs!$C$21*SQRT(01_Inputs!$C$22)*B1369)</f>
        <v>48.8881032887142</v>
      </c>
      <c r="D1369" s="78" t="n">
        <f aca="false">MAX(C1369-05_Unit_Economics!$B$21,0)</f>
        <v>10.9804978142107</v>
      </c>
      <c r="E1369" s="78" t="n">
        <f aca="false">D1369*EXP(-01_Inputs!$C$20*01_Inputs!$C$22)</f>
        <v>10.5078308383331</v>
      </c>
      <c r="F1369" s="80" t="n">
        <f aca="false">AVERAGE(E1368:E1369)</f>
        <v>15.7826194572321</v>
      </c>
    </row>
    <row r="1370" customFormat="false" ht="15" hidden="false" customHeight="false" outlineLevel="0" collapsed="false">
      <c r="A1370" s="76" t="n">
        <v>1359</v>
      </c>
      <c r="B1370" s="77" t="n">
        <v>-0.816672</v>
      </c>
      <c r="C1370" s="78" t="n">
        <f aca="false">05_Unit_Economics!$B$15*EXP((01_Inputs!$C$20-01_Inputs!$C$21^2/2)*01_Inputs!$C$22+01_Inputs!$C$21*SQRT(01_Inputs!$C$22)*B1370)</f>
        <v>40.6651772482945</v>
      </c>
      <c r="D1370" s="78" t="n">
        <f aca="false">MAX(C1370-05_Unit_Economics!$B$21,0)</f>
        <v>2.75757177379106</v>
      </c>
      <c r="E1370" s="78" t="n">
        <f aca="false">D1370*EXP(-01_Inputs!$C$20*01_Inputs!$C$22)</f>
        <v>2.63886922194532</v>
      </c>
      <c r="F1370" s="79"/>
    </row>
    <row r="1371" customFormat="false" ht="15" hidden="false" customHeight="false" outlineLevel="0" collapsed="false">
      <c r="A1371" s="76" t="n">
        <v>1360</v>
      </c>
      <c r="B1371" s="77" t="n">
        <v>0.816672</v>
      </c>
      <c r="C1371" s="78" t="n">
        <f aca="false">05_Unit_Economics!$B$15*EXP((01_Inputs!$C$20-01_Inputs!$C$21^2/2)*01_Inputs!$C$22+01_Inputs!$C$21*SQRT(01_Inputs!$C$22)*B1371)</f>
        <v>72.0271067175415</v>
      </c>
      <c r="D1371" s="78" t="n">
        <f aca="false">MAX(C1371-05_Unit_Economics!$B$21,0)</f>
        <v>34.1195012430381</v>
      </c>
      <c r="E1371" s="78" t="n">
        <f aca="false">D1371*EXP(-01_Inputs!$C$20*01_Inputs!$C$22)</f>
        <v>32.6507917415318</v>
      </c>
      <c r="F1371" s="80" t="n">
        <f aca="false">AVERAGE(E1370:E1371)</f>
        <v>17.6448304817386</v>
      </c>
    </row>
    <row r="1372" customFormat="false" ht="15" hidden="false" customHeight="false" outlineLevel="0" collapsed="false">
      <c r="A1372" s="76" t="n">
        <v>1361</v>
      </c>
      <c r="B1372" s="77" t="n">
        <v>0.726727</v>
      </c>
      <c r="C1372" s="78" t="n">
        <f aca="false">05_Unit_Economics!$B$15*EXP((01_Inputs!$C$20-01_Inputs!$C$21^2/2)*01_Inputs!$C$22+01_Inputs!$C$21*SQRT(01_Inputs!$C$22)*B1372)</f>
        <v>69.794958568847</v>
      </c>
      <c r="D1372" s="78" t="n">
        <f aca="false">MAX(C1372-05_Unit_Economics!$B$21,0)</f>
        <v>31.8873530943435</v>
      </c>
      <c r="E1372" s="78" t="n">
        <f aca="false">D1372*EXP(-01_Inputs!$C$20*01_Inputs!$C$22)</f>
        <v>30.5147287369724</v>
      </c>
      <c r="F1372" s="79"/>
    </row>
    <row r="1373" customFormat="false" ht="15" hidden="false" customHeight="false" outlineLevel="0" collapsed="false">
      <c r="A1373" s="76" t="n">
        <v>1362</v>
      </c>
      <c r="B1373" s="77" t="n">
        <v>-0.726727</v>
      </c>
      <c r="C1373" s="78" t="n">
        <f aca="false">05_Unit_Economics!$B$15*EXP((01_Inputs!$C$20-01_Inputs!$C$21^2/2)*01_Inputs!$C$22+01_Inputs!$C$21*SQRT(01_Inputs!$C$22)*B1373)</f>
        <v>41.9657110113682</v>
      </c>
      <c r="D1373" s="78" t="n">
        <f aca="false">MAX(C1373-05_Unit_Economics!$B$21,0)</f>
        <v>4.05810553686476</v>
      </c>
      <c r="E1373" s="78" t="n">
        <f aca="false">D1373*EXP(-01_Inputs!$C$20*01_Inputs!$C$22)</f>
        <v>3.88342015334601</v>
      </c>
      <c r="F1373" s="80" t="n">
        <f aca="false">AVERAGE(E1372:E1373)</f>
        <v>17.1990744451592</v>
      </c>
    </row>
    <row r="1374" customFormat="false" ht="15" hidden="false" customHeight="false" outlineLevel="0" collapsed="false">
      <c r="A1374" s="76" t="n">
        <v>1363</v>
      </c>
      <c r="B1374" s="77" t="n">
        <v>-0.206784</v>
      </c>
      <c r="C1374" s="78" t="n">
        <f aca="false">05_Unit_Economics!$B$15*EXP((01_Inputs!$C$20-01_Inputs!$C$21^2/2)*01_Inputs!$C$22+01_Inputs!$C$21*SQRT(01_Inputs!$C$22)*B1374)</f>
        <v>50.3416582593976</v>
      </c>
      <c r="D1374" s="78" t="n">
        <f aca="false">MAX(C1374-05_Unit_Economics!$B$21,0)</f>
        <v>12.4340527848942</v>
      </c>
      <c r="E1374" s="78" t="n">
        <f aca="false">D1374*EXP(-01_Inputs!$C$20*01_Inputs!$C$22)</f>
        <v>11.8988160199332</v>
      </c>
      <c r="F1374" s="79"/>
    </row>
    <row r="1375" customFormat="false" ht="15" hidden="false" customHeight="false" outlineLevel="0" collapsed="false">
      <c r="A1375" s="76" t="n">
        <v>1364</v>
      </c>
      <c r="B1375" s="77" t="n">
        <v>0.206784</v>
      </c>
      <c r="C1375" s="78" t="n">
        <f aca="false">05_Unit_Economics!$B$15*EXP((01_Inputs!$C$20-01_Inputs!$C$21^2/2)*01_Inputs!$C$22+01_Inputs!$C$21*SQRT(01_Inputs!$C$22)*B1375)</f>
        <v>58.1823317431916</v>
      </c>
      <c r="D1375" s="78" t="n">
        <f aca="false">MAX(C1375-05_Unit_Economics!$B$21,0)</f>
        <v>20.2747262686881</v>
      </c>
      <c r="E1375" s="78" t="n">
        <f aca="false">D1375*EXP(-01_Inputs!$C$20*01_Inputs!$C$22)</f>
        <v>19.4019795395038</v>
      </c>
      <c r="F1375" s="80" t="n">
        <f aca="false">AVERAGE(E1374:E1375)</f>
        <v>15.6503977797185</v>
      </c>
    </row>
    <row r="1376" customFormat="false" ht="15" hidden="false" customHeight="false" outlineLevel="0" collapsed="false">
      <c r="A1376" s="76" t="n">
        <v>1365</v>
      </c>
      <c r="B1376" s="77" t="n">
        <v>0.346247</v>
      </c>
      <c r="C1376" s="78" t="n">
        <f aca="false">05_Unit_Economics!$B$15*EXP((01_Inputs!$C$20-01_Inputs!$C$21^2/2)*01_Inputs!$C$22+01_Inputs!$C$21*SQRT(01_Inputs!$C$22)*B1376)</f>
        <v>61.0927853820697</v>
      </c>
      <c r="D1376" s="78" t="n">
        <f aca="false">MAX(C1376-05_Unit_Economics!$B$21,0)</f>
        <v>23.1851799075662</v>
      </c>
      <c r="E1376" s="78" t="n">
        <f aca="false">D1376*EXP(-01_Inputs!$C$20*01_Inputs!$C$22)</f>
        <v>22.18714966727</v>
      </c>
      <c r="F1376" s="79"/>
    </row>
    <row r="1377" customFormat="false" ht="15" hidden="false" customHeight="false" outlineLevel="0" collapsed="false">
      <c r="A1377" s="76" t="n">
        <v>1366</v>
      </c>
      <c r="B1377" s="77" t="n">
        <v>-0.346247</v>
      </c>
      <c r="C1377" s="78" t="n">
        <f aca="false">05_Unit_Economics!$B$15*EXP((01_Inputs!$C$20-01_Inputs!$C$21^2/2)*01_Inputs!$C$22+01_Inputs!$C$21*SQRT(01_Inputs!$C$22)*B1377)</f>
        <v>47.9433871451914</v>
      </c>
      <c r="D1377" s="78" t="n">
        <f aca="false">MAX(C1377-05_Unit_Economics!$B$21,0)</f>
        <v>10.0357816706879</v>
      </c>
      <c r="E1377" s="78" t="n">
        <f aca="false">D1377*EXP(-01_Inputs!$C$20*01_Inputs!$C$22)</f>
        <v>9.60378098610024</v>
      </c>
      <c r="F1377" s="80" t="n">
        <f aca="false">AVERAGE(E1376:E1377)</f>
        <v>15.8954653266851</v>
      </c>
    </row>
    <row r="1378" customFormat="false" ht="15" hidden="false" customHeight="false" outlineLevel="0" collapsed="false">
      <c r="A1378" s="76" t="n">
        <v>1367</v>
      </c>
      <c r="B1378" s="77" t="n">
        <v>-1.612458</v>
      </c>
      <c r="C1378" s="78" t="n">
        <f aca="false">05_Unit_Economics!$B$15*EXP((01_Inputs!$C$20-01_Inputs!$C$21^2/2)*01_Inputs!$C$22+01_Inputs!$C$21*SQRT(01_Inputs!$C$22)*B1378)</f>
        <v>30.7794429468083</v>
      </c>
      <c r="D1378" s="78" t="n">
        <f aca="false">MAX(C1378-05_Unit_Economics!$B$21,0)</f>
        <v>0</v>
      </c>
      <c r="E1378" s="78" t="n">
        <f aca="false">D1378*EXP(-01_Inputs!$C$20*01_Inputs!$C$22)</f>
        <v>0</v>
      </c>
      <c r="F1378" s="79"/>
    </row>
    <row r="1379" customFormat="false" ht="15" hidden="false" customHeight="false" outlineLevel="0" collapsed="false">
      <c r="A1379" s="76" t="n">
        <v>1368</v>
      </c>
      <c r="B1379" s="77" t="n">
        <v>1.612458</v>
      </c>
      <c r="C1379" s="78" t="n">
        <f aca="false">05_Unit_Economics!$B$15*EXP((01_Inputs!$C$20-01_Inputs!$C$21^2/2)*01_Inputs!$C$22+01_Inputs!$C$21*SQRT(01_Inputs!$C$22)*B1379)</f>
        <v>95.1607560413754</v>
      </c>
      <c r="D1379" s="78" t="n">
        <f aca="false">MAX(C1379-05_Unit_Economics!$B$21,0)</f>
        <v>57.2531505668719</v>
      </c>
      <c r="E1379" s="78" t="n">
        <f aca="false">D1379*EXP(-01_Inputs!$C$20*01_Inputs!$C$22)</f>
        <v>54.7886290127683</v>
      </c>
      <c r="F1379" s="80" t="n">
        <f aca="false">AVERAGE(E1378:E1379)</f>
        <v>27.3943145063841</v>
      </c>
    </row>
    <row r="1380" customFormat="false" ht="15" hidden="false" customHeight="false" outlineLevel="0" collapsed="false">
      <c r="A1380" s="76" t="n">
        <v>1369</v>
      </c>
      <c r="B1380" s="77" t="n">
        <v>-0.265431</v>
      </c>
      <c r="C1380" s="78" t="n">
        <f aca="false">05_Unit_Economics!$B$15*EXP((01_Inputs!$C$20-01_Inputs!$C$21^2/2)*01_Inputs!$C$22+01_Inputs!$C$21*SQRT(01_Inputs!$C$22)*B1380)</f>
        <v>49.3188558906898</v>
      </c>
      <c r="D1380" s="78" t="n">
        <f aca="false">MAX(C1380-05_Unit_Economics!$B$21,0)</f>
        <v>11.4112504161864</v>
      </c>
      <c r="E1380" s="78" t="n">
        <f aca="false">D1380*EXP(-01_Inputs!$C$20*01_Inputs!$C$22)</f>
        <v>10.9200412454855</v>
      </c>
      <c r="F1380" s="79"/>
    </row>
    <row r="1381" customFormat="false" ht="15" hidden="false" customHeight="false" outlineLevel="0" collapsed="false">
      <c r="A1381" s="76" t="n">
        <v>1370</v>
      </c>
      <c r="B1381" s="77" t="n">
        <v>0.265431</v>
      </c>
      <c r="C1381" s="78" t="n">
        <f aca="false">05_Unit_Economics!$B$15*EXP((01_Inputs!$C$20-01_Inputs!$C$21^2/2)*01_Inputs!$C$22+01_Inputs!$C$21*SQRT(01_Inputs!$C$22)*B1381)</f>
        <v>59.3889498945894</v>
      </c>
      <c r="D1381" s="78" t="n">
        <f aca="false">MAX(C1381-05_Unit_Economics!$B$21,0)</f>
        <v>21.4813444200859</v>
      </c>
      <c r="E1381" s="78" t="n">
        <f aca="false">D1381*EXP(-01_Inputs!$C$20*01_Inputs!$C$22)</f>
        <v>20.5566575546427</v>
      </c>
      <c r="F1381" s="80" t="n">
        <f aca="false">AVERAGE(E1380:E1381)</f>
        <v>15.7383494000641</v>
      </c>
    </row>
    <row r="1382" customFormat="false" ht="15" hidden="false" customHeight="false" outlineLevel="0" collapsed="false">
      <c r="A1382" s="76" t="n">
        <v>1371</v>
      </c>
      <c r="B1382" s="77" t="n">
        <v>0.340492</v>
      </c>
      <c r="C1382" s="78" t="n">
        <f aca="false">05_Unit_Economics!$B$15*EXP((01_Inputs!$C$20-01_Inputs!$C$21^2/2)*01_Inputs!$C$22+01_Inputs!$C$21*SQRT(01_Inputs!$C$22)*B1382)</f>
        <v>60.969853088863</v>
      </c>
      <c r="D1382" s="78" t="n">
        <f aca="false">MAX(C1382-05_Unit_Economics!$B$21,0)</f>
        <v>23.0622476143596</v>
      </c>
      <c r="E1382" s="78" t="n">
        <f aca="false">D1382*EXP(-01_Inputs!$C$20*01_Inputs!$C$22)</f>
        <v>22.0695091227847</v>
      </c>
      <c r="F1382" s="79"/>
    </row>
    <row r="1383" customFormat="false" ht="15" hidden="false" customHeight="false" outlineLevel="0" collapsed="false">
      <c r="A1383" s="76" t="n">
        <v>1372</v>
      </c>
      <c r="B1383" s="77" t="n">
        <v>-0.340492</v>
      </c>
      <c r="C1383" s="78" t="n">
        <f aca="false">05_Unit_Economics!$B$15*EXP((01_Inputs!$C$20-01_Inputs!$C$21^2/2)*01_Inputs!$C$22+01_Inputs!$C$21*SQRT(01_Inputs!$C$22)*B1383)</f>
        <v>48.0400544361107</v>
      </c>
      <c r="D1383" s="78" t="n">
        <f aca="false">MAX(C1383-05_Unit_Economics!$B$21,0)</f>
        <v>10.1324489616072</v>
      </c>
      <c r="E1383" s="78" t="n">
        <f aca="false">D1383*EXP(-01_Inputs!$C$20*01_Inputs!$C$22)</f>
        <v>9.69628713270369</v>
      </c>
      <c r="F1383" s="80" t="n">
        <f aca="false">AVERAGE(E1382:E1383)</f>
        <v>15.8828981277442</v>
      </c>
    </row>
    <row r="1384" customFormat="false" ht="15" hidden="false" customHeight="false" outlineLevel="0" collapsed="false">
      <c r="A1384" s="76" t="n">
        <v>1373</v>
      </c>
      <c r="B1384" s="77" t="n">
        <v>-0.730313</v>
      </c>
      <c r="C1384" s="78" t="n">
        <f aca="false">05_Unit_Economics!$B$15*EXP((01_Inputs!$C$20-01_Inputs!$C$21^2/2)*01_Inputs!$C$22+01_Inputs!$C$21*SQRT(01_Inputs!$C$22)*B1384)</f>
        <v>41.9130728874425</v>
      </c>
      <c r="D1384" s="78" t="n">
        <f aca="false">MAX(C1384-05_Unit_Economics!$B$21,0)</f>
        <v>4.00546741293903</v>
      </c>
      <c r="E1384" s="78" t="n">
        <f aca="false">D1384*EXP(-01_Inputs!$C$20*01_Inputs!$C$22)</f>
        <v>3.83304789234133</v>
      </c>
      <c r="F1384" s="79"/>
    </row>
    <row r="1385" customFormat="false" ht="15" hidden="false" customHeight="false" outlineLevel="0" collapsed="false">
      <c r="A1385" s="76" t="n">
        <v>1374</v>
      </c>
      <c r="B1385" s="77" t="n">
        <v>0.730313</v>
      </c>
      <c r="C1385" s="78" t="n">
        <f aca="false">05_Unit_Economics!$B$15*EXP((01_Inputs!$C$20-01_Inputs!$C$21^2/2)*01_Inputs!$C$22+01_Inputs!$C$21*SQRT(01_Inputs!$C$22)*B1385)</f>
        <v>69.8826132175148</v>
      </c>
      <c r="D1385" s="78" t="n">
        <f aca="false">MAX(C1385-05_Unit_Economics!$B$21,0)</f>
        <v>31.9750077430114</v>
      </c>
      <c r="E1385" s="78" t="n">
        <f aca="false">D1385*EXP(-01_Inputs!$C$20*01_Inputs!$C$22)</f>
        <v>30.598610199906</v>
      </c>
      <c r="F1385" s="80" t="n">
        <f aca="false">AVERAGE(E1384:E1385)</f>
        <v>17.2158290461237</v>
      </c>
    </row>
    <row r="1386" customFormat="false" ht="15" hidden="false" customHeight="false" outlineLevel="0" collapsed="false">
      <c r="A1386" s="76" t="n">
        <v>1375</v>
      </c>
      <c r="B1386" s="77" t="n">
        <v>-1.5984</v>
      </c>
      <c r="C1386" s="78" t="n">
        <f aca="false">05_Unit_Economics!$B$15*EXP((01_Inputs!$C$20-01_Inputs!$C$21^2/2)*01_Inputs!$C$22+01_Inputs!$C$21*SQRT(01_Inputs!$C$22)*B1386)</f>
        <v>30.9312602269381</v>
      </c>
      <c r="D1386" s="78" t="n">
        <f aca="false">MAX(C1386-05_Unit_Economics!$B$21,0)</f>
        <v>0</v>
      </c>
      <c r="E1386" s="78" t="n">
        <f aca="false">D1386*EXP(-01_Inputs!$C$20*01_Inputs!$C$22)</f>
        <v>0</v>
      </c>
      <c r="F1386" s="79"/>
    </row>
    <row r="1387" customFormat="false" ht="15" hidden="false" customHeight="false" outlineLevel="0" collapsed="false">
      <c r="A1387" s="76" t="n">
        <v>1376</v>
      </c>
      <c r="B1387" s="77" t="n">
        <v>1.5984</v>
      </c>
      <c r="C1387" s="78" t="n">
        <f aca="false">05_Unit_Economics!$B$15*EXP((01_Inputs!$C$20-01_Inputs!$C$21^2/2)*01_Inputs!$C$22+01_Inputs!$C$21*SQRT(01_Inputs!$C$22)*B1387)</f>
        <v>94.6936865766557</v>
      </c>
      <c r="D1387" s="78" t="n">
        <f aca="false">MAX(C1387-05_Unit_Economics!$B$21,0)</f>
        <v>56.7860811021522</v>
      </c>
      <c r="E1387" s="78" t="n">
        <f aca="false">D1387*EXP(-01_Inputs!$C$20*01_Inputs!$C$22)</f>
        <v>54.3416650400899</v>
      </c>
      <c r="F1387" s="80" t="n">
        <f aca="false">AVERAGE(E1386:E1387)</f>
        <v>27.170832520045</v>
      </c>
    </row>
    <row r="1388" customFormat="false" ht="15" hidden="false" customHeight="false" outlineLevel="0" collapsed="false">
      <c r="A1388" s="76" t="n">
        <v>1377</v>
      </c>
      <c r="B1388" s="77" t="n">
        <v>-0.275255</v>
      </c>
      <c r="C1388" s="78" t="n">
        <f aca="false">05_Unit_Economics!$B$15*EXP((01_Inputs!$C$20-01_Inputs!$C$21^2/2)*01_Inputs!$C$22+01_Inputs!$C$21*SQRT(01_Inputs!$C$22)*B1388)</f>
        <v>49.1495691411591</v>
      </c>
      <c r="D1388" s="78" t="n">
        <f aca="false">MAX(C1388-05_Unit_Economics!$B$21,0)</f>
        <v>11.2419636666556</v>
      </c>
      <c r="E1388" s="78" t="n">
        <f aca="false">D1388*EXP(-01_Inputs!$C$20*01_Inputs!$C$22)</f>
        <v>10.7580416205743</v>
      </c>
      <c r="F1388" s="79"/>
    </row>
    <row r="1389" customFormat="false" ht="15" hidden="false" customHeight="false" outlineLevel="0" collapsed="false">
      <c r="A1389" s="76" t="n">
        <v>1378</v>
      </c>
      <c r="B1389" s="77" t="n">
        <v>0.275255</v>
      </c>
      <c r="C1389" s="78" t="n">
        <f aca="false">05_Unit_Economics!$B$15*EXP((01_Inputs!$C$20-01_Inputs!$C$21^2/2)*01_Inputs!$C$22+01_Inputs!$C$21*SQRT(01_Inputs!$C$22)*B1389)</f>
        <v>59.5935043283592</v>
      </c>
      <c r="D1389" s="78" t="n">
        <f aca="false">MAX(C1389-05_Unit_Economics!$B$21,0)</f>
        <v>21.6858988538557</v>
      </c>
      <c r="E1389" s="78" t="n">
        <f aca="false">D1389*EXP(-01_Inputs!$C$20*01_Inputs!$C$22)</f>
        <v>20.7524067295574</v>
      </c>
      <c r="F1389" s="80" t="n">
        <f aca="false">AVERAGE(E1388:E1389)</f>
        <v>15.7552241750659</v>
      </c>
    </row>
    <row r="1390" customFormat="false" ht="15" hidden="false" customHeight="false" outlineLevel="0" collapsed="false">
      <c r="A1390" s="76" t="n">
        <v>1379</v>
      </c>
      <c r="B1390" s="77" t="n">
        <v>-1.317924</v>
      </c>
      <c r="C1390" s="78" t="n">
        <f aca="false">05_Unit_Economics!$B$15*EXP((01_Inputs!$C$20-01_Inputs!$C$21^2/2)*01_Inputs!$C$22+01_Inputs!$C$21*SQRT(01_Inputs!$C$22)*B1390)</f>
        <v>34.1217131307199</v>
      </c>
      <c r="D1390" s="78" t="n">
        <f aca="false">MAX(C1390-05_Unit_Economics!$B$21,0)</f>
        <v>0</v>
      </c>
      <c r="E1390" s="78" t="n">
        <f aca="false">D1390*EXP(-01_Inputs!$C$20*01_Inputs!$C$22)</f>
        <v>0</v>
      </c>
      <c r="F1390" s="79"/>
    </row>
    <row r="1391" customFormat="false" ht="15" hidden="false" customHeight="false" outlineLevel="0" collapsed="false">
      <c r="A1391" s="76" t="n">
        <v>1380</v>
      </c>
      <c r="B1391" s="77" t="n">
        <v>1.317924</v>
      </c>
      <c r="C1391" s="78" t="n">
        <f aca="false">05_Unit_Economics!$B$15*EXP((01_Inputs!$C$20-01_Inputs!$C$21^2/2)*01_Inputs!$C$22+01_Inputs!$C$21*SQRT(01_Inputs!$C$22)*B1391)</f>
        <v>85.8396250542786</v>
      </c>
      <c r="D1391" s="78" t="n">
        <f aca="false">MAX(C1391-05_Unit_Economics!$B$21,0)</f>
        <v>47.9320195797751</v>
      </c>
      <c r="E1391" s="78" t="n">
        <f aca="false">D1391*EXP(-01_Inputs!$C$20*01_Inputs!$C$22)</f>
        <v>45.8687358265414</v>
      </c>
      <c r="F1391" s="80" t="n">
        <f aca="false">AVERAGE(E1390:E1391)</f>
        <v>22.9343679132707</v>
      </c>
    </row>
    <row r="1392" customFormat="false" ht="15" hidden="false" customHeight="false" outlineLevel="0" collapsed="false">
      <c r="A1392" s="76" t="n">
        <v>1381</v>
      </c>
      <c r="B1392" s="77" t="n">
        <v>1.128713</v>
      </c>
      <c r="C1392" s="78" t="n">
        <f aca="false">05_Unit_Economics!$B$15*EXP((01_Inputs!$C$20-01_Inputs!$C$21^2/2)*01_Inputs!$C$22+01_Inputs!$C$21*SQRT(01_Inputs!$C$22)*B1392)</f>
        <v>80.3391364638329</v>
      </c>
      <c r="D1392" s="78" t="n">
        <f aca="false">MAX(C1392-05_Unit_Economics!$B$21,0)</f>
        <v>42.4315309893295</v>
      </c>
      <c r="E1392" s="78" t="n">
        <f aca="false">D1392*EXP(-01_Inputs!$C$20*01_Inputs!$C$22)</f>
        <v>40.605021501879</v>
      </c>
      <c r="F1392" s="79"/>
    </row>
    <row r="1393" customFormat="false" ht="15" hidden="false" customHeight="false" outlineLevel="0" collapsed="false">
      <c r="A1393" s="76" t="n">
        <v>1382</v>
      </c>
      <c r="B1393" s="77" t="n">
        <v>-1.128713</v>
      </c>
      <c r="C1393" s="78" t="n">
        <f aca="false">05_Unit_Economics!$B$15*EXP((01_Inputs!$C$20-01_Inputs!$C$21^2/2)*01_Inputs!$C$22+01_Inputs!$C$21*SQRT(01_Inputs!$C$22)*B1393)</f>
        <v>36.4578857860792</v>
      </c>
      <c r="D1393" s="78" t="n">
        <f aca="false">MAX(C1393-05_Unit_Economics!$B$21,0)</f>
        <v>0</v>
      </c>
      <c r="E1393" s="78" t="n">
        <f aca="false">D1393*EXP(-01_Inputs!$C$20*01_Inputs!$C$22)</f>
        <v>0</v>
      </c>
      <c r="F1393" s="80" t="n">
        <f aca="false">AVERAGE(E1392:E1393)</f>
        <v>20.3025107509395</v>
      </c>
    </row>
    <row r="1394" customFormat="false" ht="15" hidden="false" customHeight="false" outlineLevel="0" collapsed="false">
      <c r="A1394" s="76" t="n">
        <v>1383</v>
      </c>
      <c r="B1394" s="77" t="n">
        <v>-0.222539</v>
      </c>
      <c r="C1394" s="78" t="n">
        <f aca="false">05_Unit_Economics!$B$15*EXP((01_Inputs!$C$20-01_Inputs!$C$21^2/2)*01_Inputs!$C$22+01_Inputs!$C$21*SQRT(01_Inputs!$C$22)*B1394)</f>
        <v>50.0648257336873</v>
      </c>
      <c r="D1394" s="78" t="n">
        <f aca="false">MAX(C1394-05_Unit_Economics!$B$21,0)</f>
        <v>12.1572202591838</v>
      </c>
      <c r="E1394" s="78" t="n">
        <f aca="false">D1394*EXP(-01_Inputs!$C$20*01_Inputs!$C$22)</f>
        <v>11.6339000388975</v>
      </c>
      <c r="F1394" s="79"/>
    </row>
    <row r="1395" customFormat="false" ht="15" hidden="false" customHeight="false" outlineLevel="0" collapsed="false">
      <c r="A1395" s="76" t="n">
        <v>1384</v>
      </c>
      <c r="B1395" s="77" t="n">
        <v>0.222539</v>
      </c>
      <c r="C1395" s="78" t="n">
        <f aca="false">05_Unit_Economics!$B$15*EXP((01_Inputs!$C$20-01_Inputs!$C$21^2/2)*01_Inputs!$C$22+01_Inputs!$C$21*SQRT(01_Inputs!$C$22)*B1395)</f>
        <v>58.5040498678858</v>
      </c>
      <c r="D1395" s="78" t="n">
        <f aca="false">MAX(C1395-05_Unit_Economics!$B$21,0)</f>
        <v>20.5964443933823</v>
      </c>
      <c r="E1395" s="78" t="n">
        <f aca="false">D1395*EXP(-01_Inputs!$C$20*01_Inputs!$C$22)</f>
        <v>19.7098489721207</v>
      </c>
      <c r="F1395" s="80" t="n">
        <f aca="false">AVERAGE(E1394:E1395)</f>
        <v>15.6718745055091</v>
      </c>
    </row>
    <row r="1396" customFormat="false" ht="15" hidden="false" customHeight="false" outlineLevel="0" collapsed="false">
      <c r="A1396" s="76" t="n">
        <v>1385</v>
      </c>
      <c r="B1396" s="77" t="n">
        <v>-1.760356</v>
      </c>
      <c r="C1396" s="78" t="n">
        <f aca="false">05_Unit_Economics!$B$15*EXP((01_Inputs!$C$20-01_Inputs!$C$21^2/2)*01_Inputs!$C$22+01_Inputs!$C$21*SQRT(01_Inputs!$C$22)*B1396)</f>
        <v>29.2267016165464</v>
      </c>
      <c r="D1396" s="78" t="n">
        <f aca="false">MAX(C1396-05_Unit_Economics!$B$21,0)</f>
        <v>0</v>
      </c>
      <c r="E1396" s="78" t="n">
        <f aca="false">D1396*EXP(-01_Inputs!$C$20*01_Inputs!$C$22)</f>
        <v>0</v>
      </c>
      <c r="F1396" s="79"/>
    </row>
    <row r="1397" customFormat="false" ht="15" hidden="false" customHeight="false" outlineLevel="0" collapsed="false">
      <c r="A1397" s="76" t="n">
        <v>1386</v>
      </c>
      <c r="B1397" s="77" t="n">
        <v>1.760356</v>
      </c>
      <c r="C1397" s="78" t="n">
        <f aca="false">05_Unit_Economics!$B$15*EXP((01_Inputs!$C$20-01_Inputs!$C$21^2/2)*01_Inputs!$C$22+01_Inputs!$C$21*SQRT(01_Inputs!$C$22)*B1397)</f>
        <v>100.216408261835</v>
      </c>
      <c r="D1397" s="78" t="n">
        <f aca="false">MAX(C1397-05_Unit_Economics!$B$21,0)</f>
        <v>62.3088027873317</v>
      </c>
      <c r="E1397" s="78" t="n">
        <f aca="false">D1397*EXP(-01_Inputs!$C$20*01_Inputs!$C$22)</f>
        <v>59.6266554127447</v>
      </c>
      <c r="F1397" s="80" t="n">
        <f aca="false">AVERAGE(E1396:E1397)</f>
        <v>29.8133277063723</v>
      </c>
    </row>
    <row r="1398" customFormat="false" ht="15" hidden="false" customHeight="false" outlineLevel="0" collapsed="false">
      <c r="A1398" s="76" t="n">
        <v>1387</v>
      </c>
      <c r="B1398" s="77" t="n">
        <v>-0.633099</v>
      </c>
      <c r="C1398" s="78" t="n">
        <f aca="false">05_Unit_Economics!$B$15*EXP((01_Inputs!$C$20-01_Inputs!$C$21^2/2)*01_Inputs!$C$22+01_Inputs!$C$21*SQRT(01_Inputs!$C$22)*B1398)</f>
        <v>43.3636997727031</v>
      </c>
      <c r="D1398" s="78" t="n">
        <f aca="false">MAX(C1398-05_Unit_Economics!$B$21,0)</f>
        <v>5.45609429819966</v>
      </c>
      <c r="E1398" s="78" t="n">
        <f aca="false">D1398*EXP(-01_Inputs!$C$20*01_Inputs!$C$22)</f>
        <v>5.22123103100829</v>
      </c>
      <c r="F1398" s="79"/>
    </row>
    <row r="1399" customFormat="false" ht="15" hidden="false" customHeight="false" outlineLevel="0" collapsed="false">
      <c r="A1399" s="76" t="n">
        <v>1388</v>
      </c>
      <c r="B1399" s="77" t="n">
        <v>0.633099</v>
      </c>
      <c r="C1399" s="78" t="n">
        <f aca="false">05_Unit_Economics!$B$15*EXP((01_Inputs!$C$20-01_Inputs!$C$21^2/2)*01_Inputs!$C$22+01_Inputs!$C$21*SQRT(01_Inputs!$C$22)*B1399)</f>
        <v>67.5448607176829</v>
      </c>
      <c r="D1399" s="78" t="n">
        <f aca="false">MAX(C1399-05_Unit_Economics!$B$21,0)</f>
        <v>29.6372552431795</v>
      </c>
      <c r="E1399" s="78" t="n">
        <f aca="false">D1399*EXP(-01_Inputs!$C$20*01_Inputs!$C$22)</f>
        <v>28.3614886935994</v>
      </c>
      <c r="F1399" s="80" t="n">
        <f aca="false">AVERAGE(E1398:E1399)</f>
        <v>16.7913598623038</v>
      </c>
    </row>
    <row r="1400" customFormat="false" ht="15" hidden="false" customHeight="false" outlineLevel="0" collapsed="false">
      <c r="A1400" s="76" t="n">
        <v>1389</v>
      </c>
      <c r="B1400" s="77" t="n">
        <v>-0.273373</v>
      </c>
      <c r="C1400" s="78" t="n">
        <f aca="false">05_Unit_Economics!$B$15*EXP((01_Inputs!$C$20-01_Inputs!$C$21^2/2)*01_Inputs!$C$22+01_Inputs!$C$21*SQRT(01_Inputs!$C$22)*B1400)</f>
        <v>49.1819546273413</v>
      </c>
      <c r="D1400" s="78" t="n">
        <f aca="false">MAX(C1400-05_Unit_Economics!$B$21,0)</f>
        <v>11.2743491528378</v>
      </c>
      <c r="E1400" s="78" t="n">
        <f aca="false">D1400*EXP(-01_Inputs!$C$20*01_Inputs!$C$22)</f>
        <v>10.789033039741</v>
      </c>
      <c r="F1400" s="79"/>
    </row>
    <row r="1401" customFormat="false" ht="15" hidden="false" customHeight="false" outlineLevel="0" collapsed="false">
      <c r="A1401" s="76" t="n">
        <v>1390</v>
      </c>
      <c r="B1401" s="77" t="n">
        <v>0.273373</v>
      </c>
      <c r="C1401" s="78" t="n">
        <f aca="false">05_Unit_Economics!$B$15*EXP((01_Inputs!$C$20-01_Inputs!$C$21^2/2)*01_Inputs!$C$22+01_Inputs!$C$21*SQRT(01_Inputs!$C$22)*B1401)</f>
        <v>59.5542630126043</v>
      </c>
      <c r="D1401" s="78" t="n">
        <f aca="false">MAX(C1401-05_Unit_Economics!$B$21,0)</f>
        <v>21.6466575381008</v>
      </c>
      <c r="E1401" s="78" t="n">
        <f aca="false">D1401*EXP(-01_Inputs!$C$20*01_Inputs!$C$22)</f>
        <v>20.7148545971493</v>
      </c>
      <c r="F1401" s="80" t="n">
        <f aca="false">AVERAGE(E1400:E1401)</f>
        <v>15.7519438184452</v>
      </c>
    </row>
    <row r="1402" customFormat="false" ht="15" hidden="false" customHeight="false" outlineLevel="0" collapsed="false">
      <c r="A1402" s="76" t="n">
        <v>1391</v>
      </c>
      <c r="B1402" s="77" t="n">
        <v>-0.08183</v>
      </c>
      <c r="C1402" s="78" t="n">
        <f aca="false">05_Unit_Economics!$B$15*EXP((01_Inputs!$C$20-01_Inputs!$C$21^2/2)*01_Inputs!$C$22+01_Inputs!$C$21*SQRT(01_Inputs!$C$22)*B1402)</f>
        <v>52.5921479641519</v>
      </c>
      <c r="D1402" s="78" t="n">
        <f aca="false">MAX(C1402-05_Unit_Economics!$B$21,0)</f>
        <v>14.6845424896485</v>
      </c>
      <c r="E1402" s="78" t="n">
        <f aca="false">D1402*EXP(-01_Inputs!$C$20*01_Inputs!$C$22)</f>
        <v>14.0524310491502</v>
      </c>
      <c r="F1402" s="79"/>
    </row>
    <row r="1403" customFormat="false" ht="15" hidden="false" customHeight="false" outlineLevel="0" collapsed="false">
      <c r="A1403" s="76" t="n">
        <v>1392</v>
      </c>
      <c r="B1403" s="77" t="n">
        <v>0.08183</v>
      </c>
      <c r="C1403" s="78" t="n">
        <f aca="false">05_Unit_Economics!$B$15*EXP((01_Inputs!$C$20-01_Inputs!$C$21^2/2)*01_Inputs!$C$22+01_Inputs!$C$21*SQRT(01_Inputs!$C$22)*B1403)</f>
        <v>55.69263045402</v>
      </c>
      <c r="D1403" s="78" t="n">
        <f aca="false">MAX(C1403-05_Unit_Economics!$B$21,0)</f>
        <v>17.7850249795165</v>
      </c>
      <c r="E1403" s="78" t="n">
        <f aca="false">D1403*EXP(-01_Inputs!$C$20*01_Inputs!$C$22)</f>
        <v>17.0194500379053</v>
      </c>
      <c r="F1403" s="80" t="n">
        <f aca="false">AVERAGE(E1402:E1403)</f>
        <v>15.5359405435277</v>
      </c>
    </row>
    <row r="1404" customFormat="false" ht="15" hidden="false" customHeight="false" outlineLevel="0" collapsed="false">
      <c r="A1404" s="76" t="n">
        <v>1393</v>
      </c>
      <c r="B1404" s="77" t="n">
        <v>0.292411</v>
      </c>
      <c r="C1404" s="78" t="n">
        <f aca="false">05_Unit_Economics!$B$15*EXP((01_Inputs!$C$20-01_Inputs!$C$21^2/2)*01_Inputs!$C$22+01_Inputs!$C$21*SQRT(01_Inputs!$C$22)*B1404)</f>
        <v>59.9524159664744</v>
      </c>
      <c r="D1404" s="78" t="n">
        <f aca="false">MAX(C1404-05_Unit_Economics!$B$21,0)</f>
        <v>22.044810491971</v>
      </c>
      <c r="E1404" s="78" t="n">
        <f aca="false">D1404*EXP(-01_Inputs!$C$20*01_Inputs!$C$22)</f>
        <v>21.095868642035</v>
      </c>
      <c r="F1404" s="79"/>
    </row>
    <row r="1405" customFormat="false" ht="15" hidden="false" customHeight="false" outlineLevel="0" collapsed="false">
      <c r="A1405" s="76" t="n">
        <v>1394</v>
      </c>
      <c r="B1405" s="77" t="n">
        <v>-0.292411</v>
      </c>
      <c r="C1405" s="78" t="n">
        <f aca="false">05_Unit_Economics!$B$15*EXP((01_Inputs!$C$20-01_Inputs!$C$21^2/2)*01_Inputs!$C$22+01_Inputs!$C$21*SQRT(01_Inputs!$C$22)*B1405)</f>
        <v>48.8553299167886</v>
      </c>
      <c r="D1405" s="78" t="n">
        <f aca="false">MAX(C1405-05_Unit_Economics!$B$21,0)</f>
        <v>10.9477244422851</v>
      </c>
      <c r="E1405" s="78" t="n">
        <f aca="false">D1405*EXP(-01_Inputs!$C$20*01_Inputs!$C$22)</f>
        <v>10.4764682303691</v>
      </c>
      <c r="F1405" s="80" t="n">
        <f aca="false">AVERAGE(E1404:E1405)</f>
        <v>15.786168436202</v>
      </c>
    </row>
    <row r="1406" customFormat="false" ht="15" hidden="false" customHeight="false" outlineLevel="0" collapsed="false">
      <c r="A1406" s="76" t="n">
        <v>1395</v>
      </c>
      <c r="B1406" s="77" t="n">
        <v>-0.850759</v>
      </c>
      <c r="C1406" s="78" t="n">
        <f aca="false">05_Unit_Economics!$B$15*EXP((01_Inputs!$C$20-01_Inputs!$C$21^2/2)*01_Inputs!$C$22+01_Inputs!$C$21*SQRT(01_Inputs!$C$22)*B1406)</f>
        <v>40.1829059614818</v>
      </c>
      <c r="D1406" s="78" t="n">
        <f aca="false">MAX(C1406-05_Unit_Economics!$B$21,0)</f>
        <v>2.27530048697836</v>
      </c>
      <c r="E1406" s="78" t="n">
        <f aca="false">D1406*EXP(-01_Inputs!$C$20*01_Inputs!$C$22)</f>
        <v>2.17735780545429</v>
      </c>
      <c r="F1406" s="79"/>
    </row>
    <row r="1407" customFormat="false" ht="15" hidden="false" customHeight="false" outlineLevel="0" collapsed="false">
      <c r="A1407" s="76" t="n">
        <v>1396</v>
      </c>
      <c r="B1407" s="77" t="n">
        <v>0.850759</v>
      </c>
      <c r="C1407" s="78" t="n">
        <f aca="false">05_Unit_Economics!$B$15*EXP((01_Inputs!$C$20-01_Inputs!$C$21^2/2)*01_Inputs!$C$22+01_Inputs!$C$21*SQRT(01_Inputs!$C$22)*B1407)</f>
        <v>72.8915689711019</v>
      </c>
      <c r="D1407" s="78" t="n">
        <f aca="false">MAX(C1407-05_Unit_Economics!$B$21,0)</f>
        <v>34.9839634965984</v>
      </c>
      <c r="E1407" s="78" t="n">
        <f aca="false">D1407*EXP(-01_Inputs!$C$20*01_Inputs!$C$22)</f>
        <v>33.4780423161624</v>
      </c>
      <c r="F1407" s="80" t="n">
        <f aca="false">AVERAGE(E1406:E1407)</f>
        <v>17.8277000608084</v>
      </c>
    </row>
    <row r="1408" customFormat="false" ht="15" hidden="false" customHeight="false" outlineLevel="0" collapsed="false">
      <c r="A1408" s="76" t="n">
        <v>1397</v>
      </c>
      <c r="B1408" s="77" t="n">
        <v>2.038668</v>
      </c>
      <c r="C1408" s="78" t="n">
        <f aca="false">05_Unit_Economics!$B$15*EXP((01_Inputs!$C$20-01_Inputs!$C$21^2/2)*01_Inputs!$C$22+01_Inputs!$C$21*SQRT(01_Inputs!$C$22)*B1408)</f>
        <v>110.469683997516</v>
      </c>
      <c r="D1408" s="78" t="n">
        <f aca="false">MAX(C1408-05_Unit_Economics!$B$21,0)</f>
        <v>72.5620785230129</v>
      </c>
      <c r="E1408" s="78" t="n">
        <f aca="false">D1408*EXP(-01_Inputs!$C$20*01_Inputs!$C$22)</f>
        <v>69.4385682050672</v>
      </c>
      <c r="F1408" s="79"/>
    </row>
    <row r="1409" customFormat="false" ht="15" hidden="false" customHeight="false" outlineLevel="0" collapsed="false">
      <c r="A1409" s="76" t="n">
        <v>1398</v>
      </c>
      <c r="B1409" s="77" t="n">
        <v>-2.038668</v>
      </c>
      <c r="C1409" s="78" t="n">
        <f aca="false">05_Unit_Economics!$B$15*EXP((01_Inputs!$C$20-01_Inputs!$C$21^2/2)*01_Inputs!$C$22+01_Inputs!$C$21*SQRT(01_Inputs!$C$22)*B1409)</f>
        <v>26.5140168357547</v>
      </c>
      <c r="D1409" s="78" t="n">
        <f aca="false">MAX(C1409-05_Unit_Economics!$B$21,0)</f>
        <v>0</v>
      </c>
      <c r="E1409" s="78" t="n">
        <f aca="false">D1409*EXP(-01_Inputs!$C$20*01_Inputs!$C$22)</f>
        <v>0</v>
      </c>
      <c r="F1409" s="80" t="n">
        <f aca="false">AVERAGE(E1408:E1409)</f>
        <v>34.7192841025336</v>
      </c>
    </row>
    <row r="1410" customFormat="false" ht="15" hidden="false" customHeight="false" outlineLevel="0" collapsed="false">
      <c r="A1410" s="76" t="n">
        <v>1399</v>
      </c>
      <c r="B1410" s="77" t="n">
        <v>0.293586</v>
      </c>
      <c r="C1410" s="78" t="n">
        <f aca="false">05_Unit_Economics!$B$15*EXP((01_Inputs!$C$20-01_Inputs!$C$21^2/2)*01_Inputs!$C$22+01_Inputs!$C$21*SQRT(01_Inputs!$C$22)*B1410)</f>
        <v>59.9770764680087</v>
      </c>
      <c r="D1410" s="78" t="n">
        <f aca="false">MAX(C1410-05_Unit_Economics!$B$21,0)</f>
        <v>22.0694709935052</v>
      </c>
      <c r="E1410" s="78" t="n">
        <f aca="false">D1410*EXP(-01_Inputs!$C$20*01_Inputs!$C$22)</f>
        <v>21.1194676065715</v>
      </c>
      <c r="F1410" s="79"/>
    </row>
    <row r="1411" customFormat="false" ht="15" hidden="false" customHeight="false" outlineLevel="0" collapsed="false">
      <c r="A1411" s="76" t="n">
        <v>1400</v>
      </c>
      <c r="B1411" s="77" t="n">
        <v>-0.293586</v>
      </c>
      <c r="C1411" s="78" t="n">
        <f aca="false">05_Unit_Economics!$B$15*EXP((01_Inputs!$C$20-01_Inputs!$C$21^2/2)*01_Inputs!$C$22+01_Inputs!$C$21*SQRT(01_Inputs!$C$22)*B1411)</f>
        <v>48.835242293161</v>
      </c>
      <c r="D1411" s="78" t="n">
        <f aca="false">MAX(C1411-05_Unit_Economics!$B$21,0)</f>
        <v>10.9276368186575</v>
      </c>
      <c r="E1411" s="78" t="n">
        <f aca="false">D1411*EXP(-01_Inputs!$C$20*01_Inputs!$C$22)</f>
        <v>10.4572452994425</v>
      </c>
      <c r="F1411" s="80" t="n">
        <f aca="false">AVERAGE(E1410:E1411)</f>
        <v>15.788356453007</v>
      </c>
    </row>
    <row r="1412" customFormat="false" ht="15" hidden="false" customHeight="false" outlineLevel="0" collapsed="false">
      <c r="A1412" s="76" t="n">
        <v>1401</v>
      </c>
      <c r="B1412" s="77" t="n">
        <v>-0.640407</v>
      </c>
      <c r="C1412" s="78" t="n">
        <f aca="false">05_Unit_Economics!$B$15*EXP((01_Inputs!$C$20-01_Inputs!$C$21^2/2)*01_Inputs!$C$22+01_Inputs!$C$21*SQRT(01_Inputs!$C$22)*B1412)</f>
        <v>43.2529258306125</v>
      </c>
      <c r="D1412" s="78" t="n">
        <f aca="false">MAX(C1412-05_Unit_Economics!$B$21,0)</f>
        <v>5.34532035610898</v>
      </c>
      <c r="E1412" s="78" t="n">
        <f aca="false">D1412*EXP(-01_Inputs!$C$20*01_Inputs!$C$22)</f>
        <v>5.11522546873972</v>
      </c>
      <c r="F1412" s="79"/>
    </row>
    <row r="1413" customFormat="false" ht="15" hidden="false" customHeight="false" outlineLevel="0" collapsed="false">
      <c r="A1413" s="76" t="n">
        <v>1402</v>
      </c>
      <c r="B1413" s="77" t="n">
        <v>0.640407</v>
      </c>
      <c r="C1413" s="78" t="n">
        <f aca="false">05_Unit_Economics!$B$15*EXP((01_Inputs!$C$20-01_Inputs!$C$21^2/2)*01_Inputs!$C$22+01_Inputs!$C$21*SQRT(01_Inputs!$C$22)*B1413)</f>
        <v>67.7178481016802</v>
      </c>
      <c r="D1413" s="78" t="n">
        <f aca="false">MAX(C1413-05_Unit_Economics!$B$21,0)</f>
        <v>29.8102426271767</v>
      </c>
      <c r="E1413" s="78" t="n">
        <f aca="false">D1413*EXP(-01_Inputs!$C$20*01_Inputs!$C$22)</f>
        <v>28.5270296553084</v>
      </c>
      <c r="F1413" s="80" t="n">
        <f aca="false">AVERAGE(E1412:E1413)</f>
        <v>16.8211275620241</v>
      </c>
    </row>
    <row r="1414" customFormat="false" ht="15" hidden="false" customHeight="false" outlineLevel="0" collapsed="false">
      <c r="A1414" s="76" t="n">
        <v>1403</v>
      </c>
      <c r="B1414" s="77" t="n">
        <v>-0.376771</v>
      </c>
      <c r="C1414" s="78" t="n">
        <f aca="false">05_Unit_Economics!$B$15*EXP((01_Inputs!$C$20-01_Inputs!$C$21^2/2)*01_Inputs!$C$22+01_Inputs!$C$21*SQRT(01_Inputs!$C$22)*B1414)</f>
        <v>47.4339150557334</v>
      </c>
      <c r="D1414" s="78" t="n">
        <f aca="false">MAX(C1414-05_Unit_Economics!$B$21,0)</f>
        <v>9.5263095812299</v>
      </c>
      <c r="E1414" s="78" t="n">
        <f aca="false">D1414*EXP(-01_Inputs!$C$20*01_Inputs!$C$22)</f>
        <v>9.11623965387136</v>
      </c>
      <c r="F1414" s="79"/>
    </row>
    <row r="1415" customFormat="false" ht="15" hidden="false" customHeight="false" outlineLevel="0" collapsed="false">
      <c r="A1415" s="76" t="n">
        <v>1404</v>
      </c>
      <c r="B1415" s="77" t="n">
        <v>0.376771</v>
      </c>
      <c r="C1415" s="78" t="n">
        <f aca="false">05_Unit_Economics!$B$15*EXP((01_Inputs!$C$20-01_Inputs!$C$21^2/2)*01_Inputs!$C$22+01_Inputs!$C$21*SQRT(01_Inputs!$C$22)*B1415)</f>
        <v>61.7489629078513</v>
      </c>
      <c r="D1415" s="78" t="n">
        <f aca="false">MAX(C1415-05_Unit_Economics!$B$21,0)</f>
        <v>23.8413574333479</v>
      </c>
      <c r="E1415" s="78" t="n">
        <f aca="false">D1415*EXP(-01_Inputs!$C$20*01_Inputs!$C$22)</f>
        <v>22.8150813473717</v>
      </c>
      <c r="F1415" s="80" t="n">
        <f aca="false">AVERAGE(E1414:E1415)</f>
        <v>15.9656605006215</v>
      </c>
    </row>
    <row r="1416" customFormat="false" ht="15" hidden="false" customHeight="false" outlineLevel="0" collapsed="false">
      <c r="A1416" s="76" t="n">
        <v>1405</v>
      </c>
      <c r="B1416" s="77" t="n">
        <v>0.257817</v>
      </c>
      <c r="C1416" s="78" t="n">
        <f aca="false">05_Unit_Economics!$B$15*EXP((01_Inputs!$C$20-01_Inputs!$C$21^2/2)*01_Inputs!$C$22+01_Inputs!$C$21*SQRT(01_Inputs!$C$22)*B1416)</f>
        <v>59.2308949758299</v>
      </c>
      <c r="D1416" s="78" t="n">
        <f aca="false">MAX(C1416-05_Unit_Economics!$B$21,0)</f>
        <v>21.3232895013264</v>
      </c>
      <c r="E1416" s="78" t="n">
        <f aca="false">D1416*EXP(-01_Inputs!$C$20*01_Inputs!$C$22)</f>
        <v>20.4054062746378</v>
      </c>
      <c r="F1416" s="79"/>
    </row>
    <row r="1417" customFormat="false" ht="15" hidden="false" customHeight="false" outlineLevel="0" collapsed="false">
      <c r="A1417" s="76" t="n">
        <v>1406</v>
      </c>
      <c r="B1417" s="77" t="n">
        <v>-0.257817</v>
      </c>
      <c r="C1417" s="78" t="n">
        <f aca="false">05_Unit_Economics!$B$15*EXP((01_Inputs!$C$20-01_Inputs!$C$21^2/2)*01_Inputs!$C$22+01_Inputs!$C$21*SQRT(01_Inputs!$C$22)*B1417)</f>
        <v>49.4504609890814</v>
      </c>
      <c r="D1417" s="78" t="n">
        <f aca="false">MAX(C1417-05_Unit_Economics!$B$21,0)</f>
        <v>11.5428555145779</v>
      </c>
      <c r="E1417" s="78" t="n">
        <f aca="false">D1417*EXP(-01_Inputs!$C$20*01_Inputs!$C$22)</f>
        <v>11.0459812652149</v>
      </c>
      <c r="F1417" s="80" t="n">
        <f aca="false">AVERAGE(E1416:E1417)</f>
        <v>15.7256937699263</v>
      </c>
    </row>
    <row r="1418" customFormat="false" ht="15" hidden="false" customHeight="false" outlineLevel="0" collapsed="false">
      <c r="A1418" s="76" t="n">
        <v>1407</v>
      </c>
      <c r="B1418" s="77" t="n">
        <v>-1.8087</v>
      </c>
      <c r="C1418" s="78" t="n">
        <f aca="false">05_Unit_Economics!$B$15*EXP((01_Inputs!$C$20-01_Inputs!$C$21^2/2)*01_Inputs!$C$22+01_Inputs!$C$21*SQRT(01_Inputs!$C$22)*B1418)</f>
        <v>28.7363344382012</v>
      </c>
      <c r="D1418" s="78" t="n">
        <f aca="false">MAX(C1418-05_Unit_Economics!$B$21,0)</f>
        <v>0</v>
      </c>
      <c r="E1418" s="78" t="n">
        <f aca="false">D1418*EXP(-01_Inputs!$C$20*01_Inputs!$C$22)</f>
        <v>0</v>
      </c>
      <c r="F1418" s="79"/>
    </row>
    <row r="1419" customFormat="false" ht="15" hidden="false" customHeight="false" outlineLevel="0" collapsed="false">
      <c r="A1419" s="76" t="n">
        <v>1408</v>
      </c>
      <c r="B1419" s="77" t="n">
        <v>1.8087</v>
      </c>
      <c r="C1419" s="78" t="n">
        <f aca="false">05_Unit_Economics!$B$15*EXP((01_Inputs!$C$20-01_Inputs!$C$21^2/2)*01_Inputs!$C$22+01_Inputs!$C$21*SQRT(01_Inputs!$C$22)*B1419)</f>
        <v>101.92653720848</v>
      </c>
      <c r="D1419" s="78" t="n">
        <f aca="false">MAX(C1419-05_Unit_Economics!$B$21,0)</f>
        <v>64.018931733977</v>
      </c>
      <c r="E1419" s="78" t="n">
        <f aca="false">D1419*EXP(-01_Inputs!$C$20*01_Inputs!$C$22)</f>
        <v>61.2631700760261</v>
      </c>
      <c r="F1419" s="80" t="n">
        <f aca="false">AVERAGE(E1418:E1419)</f>
        <v>30.6315850380131</v>
      </c>
    </row>
    <row r="1420" customFormat="false" ht="15" hidden="false" customHeight="false" outlineLevel="0" collapsed="false">
      <c r="A1420" s="76" t="n">
        <v>1409</v>
      </c>
      <c r="B1420" s="77" t="n">
        <v>-0.100143</v>
      </c>
      <c r="C1420" s="78" t="n">
        <f aca="false">05_Unit_Economics!$B$15*EXP((01_Inputs!$C$20-01_Inputs!$C$21^2/2)*01_Inputs!$C$22+01_Inputs!$C$21*SQRT(01_Inputs!$C$22)*B1420)</f>
        <v>52.2561339617951</v>
      </c>
      <c r="D1420" s="78" t="n">
        <f aca="false">MAX(C1420-05_Unit_Economics!$B$21,0)</f>
        <v>14.3485284872917</v>
      </c>
      <c r="E1420" s="78" t="n">
        <f aca="false">D1420*EXP(-01_Inputs!$C$20*01_Inputs!$C$22)</f>
        <v>13.7308811198285</v>
      </c>
      <c r="F1420" s="79"/>
    </row>
    <row r="1421" customFormat="false" ht="15" hidden="false" customHeight="false" outlineLevel="0" collapsed="false">
      <c r="A1421" s="76" t="n">
        <v>1410</v>
      </c>
      <c r="B1421" s="77" t="n">
        <v>0.100143</v>
      </c>
      <c r="C1421" s="78" t="n">
        <f aca="false">05_Unit_Economics!$B$15*EXP((01_Inputs!$C$20-01_Inputs!$C$21^2/2)*01_Inputs!$C$22+01_Inputs!$C$21*SQRT(01_Inputs!$C$22)*B1421)</f>
        <v>56.05074159317</v>
      </c>
      <c r="D1421" s="78" t="n">
        <f aca="false">MAX(C1421-05_Unit_Economics!$B$21,0)</f>
        <v>18.1431361186665</v>
      </c>
      <c r="E1421" s="78" t="n">
        <f aca="false">D1421*EXP(-01_Inputs!$C$20*01_Inputs!$C$22)</f>
        <v>17.3621459097301</v>
      </c>
      <c r="F1421" s="80" t="n">
        <f aca="false">AVERAGE(E1420:E1421)</f>
        <v>15.5465135147793</v>
      </c>
    </row>
    <row r="1422" customFormat="false" ht="15" hidden="false" customHeight="false" outlineLevel="0" collapsed="false">
      <c r="A1422" s="76" t="n">
        <v>1411</v>
      </c>
      <c r="B1422" s="77" t="n">
        <v>0.715282</v>
      </c>
      <c r="C1422" s="78" t="n">
        <f aca="false">05_Unit_Economics!$B$15*EXP((01_Inputs!$C$20-01_Inputs!$C$21^2/2)*01_Inputs!$C$22+01_Inputs!$C$21*SQRT(01_Inputs!$C$22)*B1422)</f>
        <v>69.5159366327197</v>
      </c>
      <c r="D1422" s="78" t="n">
        <f aca="false">MAX(C1422-05_Unit_Economics!$B$21,0)</f>
        <v>31.6083311582162</v>
      </c>
      <c r="E1422" s="78" t="n">
        <f aca="false">D1422*EXP(-01_Inputs!$C$20*01_Inputs!$C$22)</f>
        <v>30.2477175909736</v>
      </c>
      <c r="F1422" s="79"/>
    </row>
    <row r="1423" customFormat="false" ht="15" hidden="false" customHeight="false" outlineLevel="0" collapsed="false">
      <c r="A1423" s="76" t="n">
        <v>1412</v>
      </c>
      <c r="B1423" s="77" t="n">
        <v>-0.715282</v>
      </c>
      <c r="C1423" s="78" t="n">
        <f aca="false">05_Unit_Economics!$B$15*EXP((01_Inputs!$C$20-01_Inputs!$C$21^2/2)*01_Inputs!$C$22+01_Inputs!$C$21*SQRT(01_Inputs!$C$22)*B1423)</f>
        <v>42.1341522998632</v>
      </c>
      <c r="D1423" s="78" t="n">
        <f aca="false">MAX(C1423-05_Unit_Economics!$B$21,0)</f>
        <v>4.22654682535977</v>
      </c>
      <c r="E1423" s="78" t="n">
        <f aca="false">D1423*EXP(-01_Inputs!$C$20*01_Inputs!$C$22)</f>
        <v>4.04461071097317</v>
      </c>
      <c r="F1423" s="80" t="n">
        <f aca="false">AVERAGE(E1422:E1423)</f>
        <v>17.1461641509734</v>
      </c>
    </row>
    <row r="1424" customFormat="false" ht="15" hidden="false" customHeight="false" outlineLevel="0" collapsed="false">
      <c r="A1424" s="76" t="n">
        <v>1413</v>
      </c>
      <c r="B1424" s="77" t="n">
        <v>-0.516867</v>
      </c>
      <c r="C1424" s="78" t="n">
        <f aca="false">05_Unit_Economics!$B$15*EXP((01_Inputs!$C$20-01_Inputs!$C$21^2/2)*01_Inputs!$C$22+01_Inputs!$C$21*SQRT(01_Inputs!$C$22)*B1424)</f>
        <v>45.1641612824775</v>
      </c>
      <c r="D1424" s="78" t="n">
        <f aca="false">MAX(C1424-05_Unit_Economics!$B$21,0)</f>
        <v>7.25655580797402</v>
      </c>
      <c r="E1424" s="78" t="n">
        <f aca="false">D1424*EXP(-01_Inputs!$C$20*01_Inputs!$C$22)</f>
        <v>6.94418979806476</v>
      </c>
      <c r="F1424" s="79"/>
    </row>
    <row r="1425" customFormat="false" ht="15" hidden="false" customHeight="false" outlineLevel="0" collapsed="false">
      <c r="A1425" s="76" t="n">
        <v>1414</v>
      </c>
      <c r="B1425" s="77" t="n">
        <v>0.516867</v>
      </c>
      <c r="C1425" s="78" t="n">
        <f aca="false">05_Unit_Economics!$B$15*EXP((01_Inputs!$C$20-01_Inputs!$C$21^2/2)*01_Inputs!$C$22+01_Inputs!$C$21*SQRT(01_Inputs!$C$22)*B1425)</f>
        <v>64.852196480111</v>
      </c>
      <c r="D1425" s="78" t="n">
        <f aca="false">MAX(C1425-05_Unit_Economics!$B$21,0)</f>
        <v>26.9445910056075</v>
      </c>
      <c r="E1425" s="78" t="n">
        <f aca="false">D1425*EXP(-01_Inputs!$C$20*01_Inputs!$C$22)</f>
        <v>25.7847329953088</v>
      </c>
      <c r="F1425" s="80" t="n">
        <f aca="false">AVERAGE(E1424:E1425)</f>
        <v>16.3644613966868</v>
      </c>
    </row>
    <row r="1426" customFormat="false" ht="15" hidden="false" customHeight="false" outlineLevel="0" collapsed="false">
      <c r="A1426" s="76" t="n">
        <v>1415</v>
      </c>
      <c r="B1426" s="77" t="n">
        <v>-0.536444</v>
      </c>
      <c r="C1426" s="78" t="n">
        <f aca="false">05_Unit_Economics!$B$15*EXP((01_Inputs!$C$20-01_Inputs!$C$21^2/2)*01_Inputs!$C$22+01_Inputs!$C$21*SQRT(01_Inputs!$C$22)*B1426)</f>
        <v>44.855756501261</v>
      </c>
      <c r="D1426" s="78" t="n">
        <f aca="false">MAX(C1426-05_Unit_Economics!$B$21,0)</f>
        <v>6.94815102675756</v>
      </c>
      <c r="E1426" s="78" t="n">
        <f aca="false">D1426*EXP(-01_Inputs!$C$20*01_Inputs!$C$22)</f>
        <v>6.64906062217606</v>
      </c>
      <c r="F1426" s="79"/>
    </row>
    <row r="1427" customFormat="false" ht="15" hidden="false" customHeight="false" outlineLevel="0" collapsed="false">
      <c r="A1427" s="76" t="n">
        <v>1416</v>
      </c>
      <c r="B1427" s="77" t="n">
        <v>0.536444</v>
      </c>
      <c r="C1427" s="78" t="n">
        <f aca="false">05_Unit_Economics!$B$15*EXP((01_Inputs!$C$20-01_Inputs!$C$21^2/2)*01_Inputs!$C$22+01_Inputs!$C$21*SQRT(01_Inputs!$C$22)*B1427)</f>
        <v>65.298086350819</v>
      </c>
      <c r="D1427" s="78" t="n">
        <f aca="false">MAX(C1427-05_Unit_Economics!$B$21,0)</f>
        <v>27.3904808763155</v>
      </c>
      <c r="E1427" s="78" t="n">
        <f aca="false">D1427*EXP(-01_Inputs!$C$20*01_Inputs!$C$22)</f>
        <v>26.2114290716799</v>
      </c>
      <c r="F1427" s="80" t="n">
        <f aca="false">AVERAGE(E1426:E1427)</f>
        <v>16.430244846928</v>
      </c>
    </row>
    <row r="1428" customFormat="false" ht="15" hidden="false" customHeight="false" outlineLevel="0" collapsed="false">
      <c r="A1428" s="76" t="n">
        <v>1417</v>
      </c>
      <c r="B1428" s="77" t="n">
        <v>-0.148683</v>
      </c>
      <c r="C1428" s="78" t="n">
        <f aca="false">05_Unit_Economics!$B$15*EXP((01_Inputs!$C$20-01_Inputs!$C$21^2/2)*01_Inputs!$C$22+01_Inputs!$C$21*SQRT(01_Inputs!$C$22)*B1428)</f>
        <v>51.3758532192519</v>
      </c>
      <c r="D1428" s="78" t="n">
        <f aca="false">MAX(C1428-05_Unit_Economics!$B$21,0)</f>
        <v>13.4682477447484</v>
      </c>
      <c r="E1428" s="78" t="n">
        <f aca="false">D1428*EXP(-01_Inputs!$C$20*01_Inputs!$C$22)</f>
        <v>12.8884929795644</v>
      </c>
      <c r="F1428" s="79"/>
    </row>
    <row r="1429" customFormat="false" ht="15" hidden="false" customHeight="false" outlineLevel="0" collapsed="false">
      <c r="A1429" s="76" t="n">
        <v>1418</v>
      </c>
      <c r="B1429" s="77" t="n">
        <v>0.148683</v>
      </c>
      <c r="C1429" s="78" t="n">
        <f aca="false">05_Unit_Economics!$B$15*EXP((01_Inputs!$C$20-01_Inputs!$C$21^2/2)*01_Inputs!$C$22+01_Inputs!$C$21*SQRT(01_Inputs!$C$22)*B1429)</f>
        <v>57.011122498557</v>
      </c>
      <c r="D1429" s="78" t="n">
        <f aca="false">MAX(C1429-05_Unit_Economics!$B$21,0)</f>
        <v>19.1035170240535</v>
      </c>
      <c r="E1429" s="78" t="n">
        <f aca="false">D1429*EXP(-01_Inputs!$C$20*01_Inputs!$C$22)</f>
        <v>18.2811862178217</v>
      </c>
      <c r="F1429" s="80" t="n">
        <f aca="false">AVERAGE(E1428:E1429)</f>
        <v>15.5848395986931</v>
      </c>
    </row>
    <row r="1430" customFormat="false" ht="15" hidden="false" customHeight="false" outlineLevel="0" collapsed="false">
      <c r="A1430" s="76" t="n">
        <v>1419</v>
      </c>
      <c r="B1430" s="77" t="n">
        <v>0.002145</v>
      </c>
      <c r="C1430" s="78" t="n">
        <f aca="false">05_Unit_Economics!$B$15*EXP((01_Inputs!$C$20-01_Inputs!$C$21^2/2)*01_Inputs!$C$22+01_Inputs!$C$21*SQRT(01_Inputs!$C$22)*B1430)</f>
        <v>54.160836873163</v>
      </c>
      <c r="D1430" s="78" t="n">
        <f aca="false">MAX(C1430-05_Unit_Economics!$B$21,0)</f>
        <v>16.2532313986596</v>
      </c>
      <c r="E1430" s="78" t="n">
        <f aca="false">D1430*EXP(-01_Inputs!$C$20*01_Inputs!$C$22)</f>
        <v>15.5535941086724</v>
      </c>
      <c r="F1430" s="79"/>
    </row>
    <row r="1431" customFormat="false" ht="15" hidden="false" customHeight="false" outlineLevel="0" collapsed="false">
      <c r="A1431" s="76" t="n">
        <v>1420</v>
      </c>
      <c r="B1431" s="77" t="n">
        <v>-0.002145</v>
      </c>
      <c r="C1431" s="78" t="n">
        <f aca="false">05_Unit_Economics!$B$15*EXP((01_Inputs!$C$20-01_Inputs!$C$21^2/2)*01_Inputs!$C$22+01_Inputs!$C$21*SQRT(01_Inputs!$C$22)*B1431)</f>
        <v>54.0795753989168</v>
      </c>
      <c r="D1431" s="78" t="n">
        <f aca="false">MAX(C1431-05_Unit_Economics!$B$21,0)</f>
        <v>16.1719699244133</v>
      </c>
      <c r="E1431" s="78" t="n">
        <f aca="false">D1431*EXP(-01_Inputs!$C$20*01_Inputs!$C$22)</f>
        <v>15.4758306193024</v>
      </c>
      <c r="F1431" s="80" t="n">
        <f aca="false">AVERAGE(E1430:E1431)</f>
        <v>15.5147123639874</v>
      </c>
    </row>
    <row r="1432" customFormat="false" ht="15" hidden="false" customHeight="false" outlineLevel="0" collapsed="false">
      <c r="A1432" s="76" t="n">
        <v>1421</v>
      </c>
      <c r="B1432" s="77" t="n">
        <v>0.237263</v>
      </c>
      <c r="C1432" s="78" t="n">
        <f aca="false">05_Unit_Economics!$B$15*EXP((01_Inputs!$C$20-01_Inputs!$C$21^2/2)*01_Inputs!$C$22+01_Inputs!$C$21*SQRT(01_Inputs!$C$22)*B1432)</f>
        <v>58.8063228362642</v>
      </c>
      <c r="D1432" s="78" t="n">
        <f aca="false">MAX(C1432-05_Unit_Economics!$B$21,0)</f>
        <v>20.8987173617607</v>
      </c>
      <c r="E1432" s="78" t="n">
        <f aca="false">D1432*EXP(-01_Inputs!$C$20*01_Inputs!$C$22)</f>
        <v>19.9991102854476</v>
      </c>
      <c r="F1432" s="79"/>
    </row>
    <row r="1433" customFormat="false" ht="15" hidden="false" customHeight="false" outlineLevel="0" collapsed="false">
      <c r="A1433" s="76" t="n">
        <v>1422</v>
      </c>
      <c r="B1433" s="77" t="n">
        <v>-0.237263</v>
      </c>
      <c r="C1433" s="78" t="n">
        <f aca="false">05_Unit_Economics!$B$15*EXP((01_Inputs!$C$20-01_Inputs!$C$21^2/2)*01_Inputs!$C$22+01_Inputs!$C$21*SQRT(01_Inputs!$C$22)*B1433)</f>
        <v>49.8074853193239</v>
      </c>
      <c r="D1433" s="78" t="n">
        <f aca="false">MAX(C1433-05_Unit_Economics!$B$21,0)</f>
        <v>11.8998798448205</v>
      </c>
      <c r="E1433" s="78" t="n">
        <f aca="false">D1433*EXP(-01_Inputs!$C$20*01_Inputs!$C$22)</f>
        <v>11.3876371109547</v>
      </c>
      <c r="F1433" s="80" t="n">
        <f aca="false">AVERAGE(E1432:E1433)</f>
        <v>15.6933736982011</v>
      </c>
    </row>
    <row r="1434" customFormat="false" ht="15" hidden="false" customHeight="false" outlineLevel="0" collapsed="false">
      <c r="A1434" s="76" t="n">
        <v>1423</v>
      </c>
      <c r="B1434" s="77" t="n">
        <v>-0.712099</v>
      </c>
      <c r="C1434" s="78" t="n">
        <f aca="false">05_Unit_Economics!$B$15*EXP((01_Inputs!$C$20-01_Inputs!$C$21^2/2)*01_Inputs!$C$22+01_Inputs!$C$21*SQRT(01_Inputs!$C$22)*B1434)</f>
        <v>42.1811180084493</v>
      </c>
      <c r="D1434" s="78" t="n">
        <f aca="false">MAX(C1434-05_Unit_Economics!$B$21,0)</f>
        <v>4.2735125339458</v>
      </c>
      <c r="E1434" s="78" t="n">
        <f aca="false">D1434*EXP(-01_Inputs!$C$20*01_Inputs!$C$22)</f>
        <v>4.0895547316701</v>
      </c>
      <c r="F1434" s="79"/>
    </row>
    <row r="1435" customFormat="false" ht="15" hidden="false" customHeight="false" outlineLevel="0" collapsed="false">
      <c r="A1435" s="76" t="n">
        <v>1424</v>
      </c>
      <c r="B1435" s="77" t="n">
        <v>0.712099</v>
      </c>
      <c r="C1435" s="78" t="n">
        <f aca="false">05_Unit_Economics!$B$15*EXP((01_Inputs!$C$20-01_Inputs!$C$21^2/2)*01_Inputs!$C$22+01_Inputs!$C$21*SQRT(01_Inputs!$C$22)*B1435)</f>
        <v>69.4385355258708</v>
      </c>
      <c r="D1435" s="78" t="n">
        <f aca="false">MAX(C1435-05_Unit_Economics!$B$21,0)</f>
        <v>31.5309300513673</v>
      </c>
      <c r="E1435" s="78" t="n">
        <f aca="false">D1435*EXP(-01_Inputs!$C$20*01_Inputs!$C$22)</f>
        <v>30.1736482954618</v>
      </c>
      <c r="F1435" s="80" t="n">
        <f aca="false">AVERAGE(E1434:E1435)</f>
        <v>17.1316015135659</v>
      </c>
    </row>
    <row r="1436" customFormat="false" ht="15" hidden="false" customHeight="false" outlineLevel="0" collapsed="false">
      <c r="A1436" s="76" t="n">
        <v>1425</v>
      </c>
      <c r="B1436" s="77" t="n">
        <v>0.959571</v>
      </c>
      <c r="C1436" s="78" t="n">
        <f aca="false">05_Unit_Economics!$B$15*EXP((01_Inputs!$C$20-01_Inputs!$C$21^2/2)*01_Inputs!$C$22+01_Inputs!$C$21*SQRT(01_Inputs!$C$22)*B1436)</f>
        <v>75.7211247540948</v>
      </c>
      <c r="D1436" s="78" t="n">
        <f aca="false">MAX(C1436-05_Unit_Economics!$B$21,0)</f>
        <v>37.8135192795913</v>
      </c>
      <c r="E1436" s="78" t="n">
        <f aca="false">D1436*EXP(-01_Inputs!$C$20*01_Inputs!$C$22)</f>
        <v>36.1857969205882</v>
      </c>
      <c r="F1436" s="79"/>
    </row>
    <row r="1437" customFormat="false" ht="15" hidden="false" customHeight="false" outlineLevel="0" collapsed="false">
      <c r="A1437" s="76" t="n">
        <v>1426</v>
      </c>
      <c r="B1437" s="77" t="n">
        <v>-0.959571</v>
      </c>
      <c r="C1437" s="78" t="n">
        <f aca="false">05_Unit_Economics!$B$15*EXP((01_Inputs!$C$20-01_Inputs!$C$21^2/2)*01_Inputs!$C$22+01_Inputs!$C$21*SQRT(01_Inputs!$C$22)*B1437)</f>
        <v>38.6813464652381</v>
      </c>
      <c r="D1437" s="78" t="n">
        <f aca="false">MAX(C1437-05_Unit_Economics!$B$21,0)</f>
        <v>0.773740990734581</v>
      </c>
      <c r="E1437" s="78" t="n">
        <f aca="false">D1437*EXP(-01_Inputs!$C$20*01_Inputs!$C$22)</f>
        <v>0.740434503142573</v>
      </c>
      <c r="F1437" s="80" t="n">
        <f aca="false">AVERAGE(E1436:E1437)</f>
        <v>18.4631157118654</v>
      </c>
    </row>
    <row r="1438" customFormat="false" ht="15" hidden="false" customHeight="false" outlineLevel="0" collapsed="false">
      <c r="A1438" s="76" t="n">
        <v>1427</v>
      </c>
      <c r="B1438" s="77" t="n">
        <v>0.910676</v>
      </c>
      <c r="C1438" s="78" t="n">
        <f aca="false">05_Unit_Economics!$B$15*EXP((01_Inputs!$C$20-01_Inputs!$C$21^2/2)*01_Inputs!$C$22+01_Inputs!$C$21*SQRT(01_Inputs!$C$22)*B1438)</f>
        <v>74.4363152053815</v>
      </c>
      <c r="D1438" s="78" t="n">
        <f aca="false">MAX(C1438-05_Unit_Economics!$B$21,0)</f>
        <v>36.5287097308781</v>
      </c>
      <c r="E1438" s="78" t="n">
        <f aca="false">D1438*EXP(-01_Inputs!$C$20*01_Inputs!$C$22)</f>
        <v>34.956293338348</v>
      </c>
      <c r="F1438" s="79"/>
    </row>
    <row r="1439" customFormat="false" ht="15" hidden="false" customHeight="false" outlineLevel="0" collapsed="false">
      <c r="A1439" s="76" t="n">
        <v>1428</v>
      </c>
      <c r="B1439" s="77" t="n">
        <v>-0.910676</v>
      </c>
      <c r="C1439" s="78" t="n">
        <f aca="false">05_Unit_Economics!$B$15*EXP((01_Inputs!$C$20-01_Inputs!$C$21^2/2)*01_Inputs!$C$22+01_Inputs!$C$21*SQRT(01_Inputs!$C$22)*B1439)</f>
        <v>39.3490066410339</v>
      </c>
      <c r="D1439" s="78" t="n">
        <f aca="false">MAX(C1439-05_Unit_Economics!$B$21,0)</f>
        <v>1.44140116653045</v>
      </c>
      <c r="E1439" s="78" t="n">
        <f aca="false">D1439*EXP(-01_Inputs!$C$20*01_Inputs!$C$22)</f>
        <v>1.37935455061758</v>
      </c>
      <c r="F1439" s="80" t="n">
        <f aca="false">AVERAGE(E1438:E1439)</f>
        <v>18.1678239444828</v>
      </c>
    </row>
    <row r="1440" customFormat="false" ht="15" hidden="false" customHeight="false" outlineLevel="0" collapsed="false">
      <c r="A1440" s="76" t="n">
        <v>1429</v>
      </c>
      <c r="B1440" s="77" t="n">
        <v>-1.454567</v>
      </c>
      <c r="C1440" s="78" t="n">
        <f aca="false">05_Unit_Economics!$B$15*EXP((01_Inputs!$C$20-01_Inputs!$C$21^2/2)*01_Inputs!$C$22+01_Inputs!$C$21*SQRT(01_Inputs!$C$22)*B1440)</f>
        <v>32.5282479770637</v>
      </c>
      <c r="D1440" s="78" t="n">
        <f aca="false">MAX(C1440-05_Unit_Economics!$B$21,0)</f>
        <v>0</v>
      </c>
      <c r="E1440" s="78" t="n">
        <f aca="false">D1440*EXP(-01_Inputs!$C$20*01_Inputs!$C$22)</f>
        <v>0</v>
      </c>
      <c r="F1440" s="79"/>
    </row>
    <row r="1441" customFormat="false" ht="15" hidden="false" customHeight="false" outlineLevel="0" collapsed="false">
      <c r="A1441" s="76" t="n">
        <v>1430</v>
      </c>
      <c r="B1441" s="77" t="n">
        <v>1.454567</v>
      </c>
      <c r="C1441" s="78" t="n">
        <f aca="false">05_Unit_Economics!$B$15*EXP((01_Inputs!$C$20-01_Inputs!$C$21^2/2)*01_Inputs!$C$22+01_Inputs!$C$21*SQRT(01_Inputs!$C$22)*B1441)</f>
        <v>90.0446609794645</v>
      </c>
      <c r="D1441" s="78" t="n">
        <f aca="false">MAX(C1441-05_Unit_Economics!$B$21,0)</f>
        <v>52.137055504961</v>
      </c>
      <c r="E1441" s="78" t="n">
        <f aca="false">D1441*EXP(-01_Inputs!$C$20*01_Inputs!$C$22)</f>
        <v>49.8927615964644</v>
      </c>
      <c r="F1441" s="80" t="n">
        <f aca="false">AVERAGE(E1440:E1441)</f>
        <v>24.9463807982322</v>
      </c>
    </row>
    <row r="1442" customFormat="false" ht="15" hidden="false" customHeight="false" outlineLevel="0" collapsed="false">
      <c r="A1442" s="76" t="n">
        <v>1431</v>
      </c>
      <c r="B1442" s="77" t="n">
        <v>1.327554</v>
      </c>
      <c r="C1442" s="78" t="n">
        <f aca="false">05_Unit_Economics!$B$15*EXP((01_Inputs!$C$20-01_Inputs!$C$21^2/2)*01_Inputs!$C$22+01_Inputs!$C$21*SQRT(01_Inputs!$C$22)*B1442)</f>
        <v>86.1294356394522</v>
      </c>
      <c r="D1442" s="78" t="n">
        <f aca="false">MAX(C1442-05_Unit_Economics!$B$21,0)</f>
        <v>48.2218301649487</v>
      </c>
      <c r="E1442" s="78" t="n">
        <f aca="false">D1442*EXP(-01_Inputs!$C$20*01_Inputs!$C$22)</f>
        <v>46.1460712129408</v>
      </c>
      <c r="F1442" s="79"/>
    </row>
    <row r="1443" customFormat="false" ht="15" hidden="false" customHeight="false" outlineLevel="0" collapsed="false">
      <c r="A1443" s="76" t="n">
        <v>1432</v>
      </c>
      <c r="B1443" s="77" t="n">
        <v>-1.327554</v>
      </c>
      <c r="C1443" s="78" t="n">
        <f aca="false">05_Unit_Economics!$B$15*EXP((01_Inputs!$C$20-01_Inputs!$C$21^2/2)*01_Inputs!$C$22+01_Inputs!$C$21*SQRT(01_Inputs!$C$22)*B1443)</f>
        <v>34.0068994949853</v>
      </c>
      <c r="D1443" s="78" t="n">
        <f aca="false">MAX(C1443-05_Unit_Economics!$B$21,0)</f>
        <v>0</v>
      </c>
      <c r="E1443" s="78" t="n">
        <f aca="false">D1443*EXP(-01_Inputs!$C$20*01_Inputs!$C$22)</f>
        <v>0</v>
      </c>
      <c r="F1443" s="80" t="n">
        <f aca="false">AVERAGE(E1442:E1443)</f>
        <v>23.0730356064704</v>
      </c>
    </row>
    <row r="1444" customFormat="false" ht="15" hidden="false" customHeight="false" outlineLevel="0" collapsed="false">
      <c r="A1444" s="76" t="n">
        <v>1433</v>
      </c>
      <c r="B1444" s="77" t="n">
        <v>-0.515995</v>
      </c>
      <c r="C1444" s="78" t="n">
        <f aca="false">05_Unit_Economics!$B$15*EXP((01_Inputs!$C$20-01_Inputs!$C$21^2/2)*01_Inputs!$C$22+01_Inputs!$C$21*SQRT(01_Inputs!$C$22)*B1444)</f>
        <v>45.1779474881689</v>
      </c>
      <c r="D1444" s="78" t="n">
        <f aca="false">MAX(C1444-05_Unit_Economics!$B$21,0)</f>
        <v>7.27034201366541</v>
      </c>
      <c r="E1444" s="78" t="n">
        <f aca="false">D1444*EXP(-01_Inputs!$C$20*01_Inputs!$C$22)</f>
        <v>6.95738256215967</v>
      </c>
      <c r="F1444" s="79"/>
    </row>
    <row r="1445" customFormat="false" ht="15" hidden="false" customHeight="false" outlineLevel="0" collapsed="false">
      <c r="A1445" s="76" t="n">
        <v>1434</v>
      </c>
      <c r="B1445" s="77" t="n">
        <v>0.515995</v>
      </c>
      <c r="C1445" s="78" t="n">
        <f aca="false">05_Unit_Economics!$B$15*EXP((01_Inputs!$C$20-01_Inputs!$C$21^2/2)*01_Inputs!$C$22+01_Inputs!$C$21*SQRT(01_Inputs!$C$22)*B1445)</f>
        <v>64.8324066098331</v>
      </c>
      <c r="D1445" s="78" t="n">
        <f aca="false">MAX(C1445-05_Unit_Economics!$B$21,0)</f>
        <v>26.9248011353296</v>
      </c>
      <c r="E1445" s="78" t="n">
        <f aca="false">D1445*EXP(-01_Inputs!$C$20*01_Inputs!$C$22)</f>
        <v>25.7657950006285</v>
      </c>
      <c r="F1445" s="80" t="n">
        <f aca="false">AVERAGE(E1444:E1445)</f>
        <v>16.3615887813941</v>
      </c>
    </row>
    <row r="1446" customFormat="false" ht="15" hidden="false" customHeight="false" outlineLevel="0" collapsed="false">
      <c r="A1446" s="76" t="n">
        <v>1435</v>
      </c>
      <c r="B1446" s="77" t="n">
        <v>0.723085</v>
      </c>
      <c r="C1446" s="78" t="n">
        <f aca="false">05_Unit_Economics!$B$15*EXP((01_Inputs!$C$20-01_Inputs!$C$21^2/2)*01_Inputs!$C$22+01_Inputs!$C$21*SQRT(01_Inputs!$C$22)*B1446)</f>
        <v>69.706047614595</v>
      </c>
      <c r="D1446" s="78" t="n">
        <f aca="false">MAX(C1446-05_Unit_Economics!$B$21,0)</f>
        <v>31.7984421400915</v>
      </c>
      <c r="E1446" s="78" t="n">
        <f aca="false">D1446*EXP(-01_Inputs!$C$20*01_Inputs!$C$22)</f>
        <v>30.4296450474383</v>
      </c>
      <c r="F1446" s="79"/>
    </row>
    <row r="1447" customFormat="false" ht="15" hidden="false" customHeight="false" outlineLevel="0" collapsed="false">
      <c r="A1447" s="76" t="n">
        <v>1436</v>
      </c>
      <c r="B1447" s="77" t="n">
        <v>-0.723085</v>
      </c>
      <c r="C1447" s="78" t="n">
        <f aca="false">05_Unit_Economics!$B$15*EXP((01_Inputs!$C$20-01_Inputs!$C$21^2/2)*01_Inputs!$C$22+01_Inputs!$C$21*SQRT(01_Inputs!$C$22)*B1447)</f>
        <v>42.0192388118902</v>
      </c>
      <c r="D1447" s="78" t="n">
        <f aca="false">MAX(C1447-05_Unit_Economics!$B$21,0)</f>
        <v>4.11163333738669</v>
      </c>
      <c r="E1447" s="78" t="n">
        <f aca="false">D1447*EXP(-01_Inputs!$C$20*01_Inputs!$C$22)</f>
        <v>3.9346437938903</v>
      </c>
      <c r="F1447" s="80" t="n">
        <f aca="false">AVERAGE(E1446:E1447)</f>
        <v>17.1821444206643</v>
      </c>
    </row>
    <row r="1448" customFormat="false" ht="15" hidden="false" customHeight="false" outlineLevel="0" collapsed="false">
      <c r="A1448" s="76" t="n">
        <v>1437</v>
      </c>
      <c r="B1448" s="77" t="n">
        <v>1.035435</v>
      </c>
      <c r="C1448" s="78" t="n">
        <f aca="false">05_Unit_Economics!$B$15*EXP((01_Inputs!$C$20-01_Inputs!$C$21^2/2)*01_Inputs!$C$22+01_Inputs!$C$21*SQRT(01_Inputs!$C$22)*B1448)</f>
        <v>77.758633006792</v>
      </c>
      <c r="D1448" s="78" t="n">
        <f aca="false">MAX(C1448-05_Unit_Economics!$B$21,0)</f>
        <v>39.8510275322886</v>
      </c>
      <c r="E1448" s="78" t="n">
        <f aca="false">D1448*EXP(-01_Inputs!$C$20*01_Inputs!$C$22)</f>
        <v>38.1355985063909</v>
      </c>
      <c r="F1448" s="79"/>
    </row>
    <row r="1449" customFormat="false" ht="15" hidden="false" customHeight="false" outlineLevel="0" collapsed="false">
      <c r="A1449" s="76" t="n">
        <v>1438</v>
      </c>
      <c r="B1449" s="77" t="n">
        <v>-1.035435</v>
      </c>
      <c r="C1449" s="78" t="n">
        <f aca="false">05_Unit_Economics!$B$15*EXP((01_Inputs!$C$20-01_Inputs!$C$21^2/2)*01_Inputs!$C$22+01_Inputs!$C$21*SQRT(01_Inputs!$C$22)*B1449)</f>
        <v>37.6677797447238</v>
      </c>
      <c r="D1449" s="78" t="n">
        <f aca="false">MAX(C1449-05_Unit_Economics!$B$21,0)</f>
        <v>0</v>
      </c>
      <c r="E1449" s="78" t="n">
        <f aca="false">D1449*EXP(-01_Inputs!$C$20*01_Inputs!$C$22)</f>
        <v>0</v>
      </c>
      <c r="F1449" s="80" t="n">
        <f aca="false">AVERAGE(E1448:E1449)</f>
        <v>19.0677992531954</v>
      </c>
    </row>
    <row r="1450" customFormat="false" ht="15" hidden="false" customHeight="false" outlineLevel="0" collapsed="false">
      <c r="A1450" s="76" t="n">
        <v>1439</v>
      </c>
      <c r="B1450" s="77" t="n">
        <v>1.729781</v>
      </c>
      <c r="C1450" s="78" t="n">
        <f aca="false">05_Unit_Economics!$B$15*EXP((01_Inputs!$C$20-01_Inputs!$C$21^2/2)*01_Inputs!$C$22+01_Inputs!$C$21*SQRT(01_Inputs!$C$22)*B1450)</f>
        <v>99.14968523759</v>
      </c>
      <c r="D1450" s="78" t="n">
        <f aca="false">MAX(C1450-05_Unit_Economics!$B$21,0)</f>
        <v>61.2420797630865</v>
      </c>
      <c r="E1450" s="78" t="n">
        <f aca="false">D1450*EXP(-01_Inputs!$C$20*01_Inputs!$C$22)</f>
        <v>58.6058505931657</v>
      </c>
      <c r="F1450" s="79"/>
    </row>
    <row r="1451" customFormat="false" ht="15" hidden="false" customHeight="false" outlineLevel="0" collapsed="false">
      <c r="A1451" s="76" t="n">
        <v>1440</v>
      </c>
      <c r="B1451" s="77" t="n">
        <v>-1.729781</v>
      </c>
      <c r="C1451" s="78" t="n">
        <f aca="false">05_Unit_Economics!$B$15*EXP((01_Inputs!$C$20-01_Inputs!$C$21^2/2)*01_Inputs!$C$22+01_Inputs!$C$21*SQRT(01_Inputs!$C$22)*B1451)</f>
        <v>29.5411433161081</v>
      </c>
      <c r="D1451" s="78" t="n">
        <f aca="false">MAX(C1451-05_Unit_Economics!$B$21,0)</f>
        <v>0</v>
      </c>
      <c r="E1451" s="78" t="n">
        <f aca="false">D1451*EXP(-01_Inputs!$C$20*01_Inputs!$C$22)</f>
        <v>0</v>
      </c>
      <c r="F1451" s="80" t="n">
        <f aca="false">AVERAGE(E1450:E1451)</f>
        <v>29.3029252965828</v>
      </c>
    </row>
    <row r="1452" customFormat="false" ht="15" hidden="false" customHeight="false" outlineLevel="0" collapsed="false">
      <c r="A1452" s="76" t="n">
        <v>1441</v>
      </c>
      <c r="B1452" s="77" t="n">
        <v>1.025453</v>
      </c>
      <c r="C1452" s="78" t="n">
        <f aca="false">05_Unit_Economics!$B$15*EXP((01_Inputs!$C$20-01_Inputs!$C$21^2/2)*01_Inputs!$C$22+01_Inputs!$C$21*SQRT(01_Inputs!$C$22)*B1452)</f>
        <v>77.4874416770759</v>
      </c>
      <c r="D1452" s="78" t="n">
        <f aca="false">MAX(C1452-05_Unit_Economics!$B$21,0)</f>
        <v>39.5798362025724</v>
      </c>
      <c r="E1452" s="78" t="n">
        <f aca="false">D1452*EXP(-01_Inputs!$C$20*01_Inputs!$C$22)</f>
        <v>37.8760808901866</v>
      </c>
      <c r="F1452" s="79"/>
    </row>
    <row r="1453" customFormat="false" ht="15" hidden="false" customHeight="false" outlineLevel="0" collapsed="false">
      <c r="A1453" s="76" t="n">
        <v>1442</v>
      </c>
      <c r="B1453" s="77" t="n">
        <v>-1.025453</v>
      </c>
      <c r="C1453" s="78" t="n">
        <f aca="false">05_Unit_Economics!$B$15*EXP((01_Inputs!$C$20-01_Inputs!$C$21^2/2)*01_Inputs!$C$22+01_Inputs!$C$21*SQRT(01_Inputs!$C$22)*B1453)</f>
        <v>37.7996098200926</v>
      </c>
      <c r="D1453" s="78" t="n">
        <f aca="false">MAX(C1453-05_Unit_Economics!$B$21,0)</f>
        <v>0</v>
      </c>
      <c r="E1453" s="78" t="n">
        <f aca="false">D1453*EXP(-01_Inputs!$C$20*01_Inputs!$C$22)</f>
        <v>0</v>
      </c>
      <c r="F1453" s="80" t="n">
        <f aca="false">AVERAGE(E1452:E1453)</f>
        <v>18.9380404450933</v>
      </c>
    </row>
    <row r="1454" customFormat="false" ht="15" hidden="false" customHeight="false" outlineLevel="0" collapsed="false">
      <c r="A1454" s="76" t="n">
        <v>1443</v>
      </c>
      <c r="B1454" s="77" t="n">
        <v>-1.049664</v>
      </c>
      <c r="C1454" s="78" t="n">
        <f aca="false">05_Unit_Economics!$B$15*EXP((01_Inputs!$C$20-01_Inputs!$C$21^2/2)*01_Inputs!$C$22+01_Inputs!$C$21*SQRT(01_Inputs!$C$22)*B1454)</f>
        <v>37.4806548930971</v>
      </c>
      <c r="D1454" s="78" t="n">
        <f aca="false">MAX(C1454-05_Unit_Economics!$B$21,0)</f>
        <v>0</v>
      </c>
      <c r="E1454" s="78" t="n">
        <f aca="false">D1454*EXP(-01_Inputs!$C$20*01_Inputs!$C$22)</f>
        <v>0</v>
      </c>
      <c r="F1454" s="79"/>
    </row>
    <row r="1455" customFormat="false" ht="15" hidden="false" customHeight="false" outlineLevel="0" collapsed="false">
      <c r="A1455" s="76" t="n">
        <v>1444</v>
      </c>
      <c r="B1455" s="77" t="n">
        <v>1.049664</v>
      </c>
      <c r="C1455" s="78" t="n">
        <f aca="false">05_Unit_Economics!$B$15*EXP((01_Inputs!$C$20-01_Inputs!$C$21^2/2)*01_Inputs!$C$22+01_Inputs!$C$21*SQRT(01_Inputs!$C$22)*B1455)</f>
        <v>78.1468485463975</v>
      </c>
      <c r="D1455" s="78" t="n">
        <f aca="false">MAX(C1455-05_Unit_Economics!$B$21,0)</f>
        <v>40.2392430718941</v>
      </c>
      <c r="E1455" s="78" t="n">
        <f aca="false">D1455*EXP(-01_Inputs!$C$20*01_Inputs!$C$22)</f>
        <v>38.5071029033689</v>
      </c>
      <c r="F1455" s="80" t="n">
        <f aca="false">AVERAGE(E1454:E1455)</f>
        <v>19.2535514516845</v>
      </c>
    </row>
    <row r="1456" customFormat="false" ht="15" hidden="false" customHeight="false" outlineLevel="0" collapsed="false">
      <c r="A1456" s="76" t="n">
        <v>1445</v>
      </c>
      <c r="B1456" s="77" t="n">
        <v>-1.635198</v>
      </c>
      <c r="C1456" s="78" t="n">
        <f aca="false">05_Unit_Economics!$B$15*EXP((01_Inputs!$C$20-01_Inputs!$C$21^2/2)*01_Inputs!$C$22+01_Inputs!$C$21*SQRT(01_Inputs!$C$22)*B1456)</f>
        <v>30.5354416515833</v>
      </c>
      <c r="D1456" s="78" t="n">
        <f aca="false">MAX(C1456-05_Unit_Economics!$B$21,0)</f>
        <v>0</v>
      </c>
      <c r="E1456" s="78" t="n">
        <f aca="false">D1456*EXP(-01_Inputs!$C$20*01_Inputs!$C$22)</f>
        <v>0</v>
      </c>
      <c r="F1456" s="79"/>
    </row>
    <row r="1457" customFormat="false" ht="15" hidden="false" customHeight="false" outlineLevel="0" collapsed="false">
      <c r="A1457" s="76" t="n">
        <v>1446</v>
      </c>
      <c r="B1457" s="77" t="n">
        <v>1.635198</v>
      </c>
      <c r="C1457" s="78" t="n">
        <f aca="false">05_Unit_Economics!$B$15*EXP((01_Inputs!$C$20-01_Inputs!$C$21^2/2)*01_Inputs!$C$22+01_Inputs!$C$21*SQRT(01_Inputs!$C$22)*B1457)</f>
        <v>95.9211625222647</v>
      </c>
      <c r="D1457" s="78" t="n">
        <f aca="false">MAX(C1457-05_Unit_Economics!$B$21,0)</f>
        <v>58.0135570477613</v>
      </c>
      <c r="E1457" s="78" t="n">
        <f aca="false">D1457*EXP(-01_Inputs!$C$20*01_Inputs!$C$22)</f>
        <v>55.5163030039435</v>
      </c>
      <c r="F1457" s="80" t="n">
        <f aca="false">AVERAGE(E1456:E1457)</f>
        <v>27.7581515019718</v>
      </c>
    </row>
    <row r="1458" customFormat="false" ht="15" hidden="false" customHeight="false" outlineLevel="0" collapsed="false">
      <c r="A1458" s="76" t="n">
        <v>1447</v>
      </c>
      <c r="B1458" s="77" t="n">
        <v>-0.537425</v>
      </c>
      <c r="C1458" s="78" t="n">
        <f aca="false">05_Unit_Economics!$B$15*EXP((01_Inputs!$C$20-01_Inputs!$C$21^2/2)*01_Inputs!$C$22+01_Inputs!$C$21*SQRT(01_Inputs!$C$22)*B1458)</f>
        <v>44.8403579209689</v>
      </c>
      <c r="D1458" s="78" t="n">
        <f aca="false">MAX(C1458-05_Unit_Economics!$B$21,0)</f>
        <v>6.93275244646539</v>
      </c>
      <c r="E1458" s="78" t="n">
        <f aca="false">D1458*EXP(-01_Inputs!$C$20*01_Inputs!$C$22)</f>
        <v>6.634324889826</v>
      </c>
      <c r="F1458" s="79"/>
    </row>
    <row r="1459" customFormat="false" ht="15" hidden="false" customHeight="false" outlineLevel="0" collapsed="false">
      <c r="A1459" s="76" t="n">
        <v>1448</v>
      </c>
      <c r="B1459" s="77" t="n">
        <v>0.537425</v>
      </c>
      <c r="C1459" s="78" t="n">
        <f aca="false">05_Unit_Economics!$B$15*EXP((01_Inputs!$C$20-01_Inputs!$C$21^2/2)*01_Inputs!$C$22+01_Inputs!$C$21*SQRT(01_Inputs!$C$22)*B1459)</f>
        <v>65.3205102981784</v>
      </c>
      <c r="D1459" s="78" t="n">
        <f aca="false">MAX(C1459-05_Unit_Economics!$B$21,0)</f>
        <v>27.4129048236749</v>
      </c>
      <c r="E1459" s="78" t="n">
        <f aca="false">D1459*EXP(-01_Inputs!$C$20*01_Inputs!$C$22)</f>
        <v>26.2328877568477</v>
      </c>
      <c r="F1459" s="80" t="n">
        <f aca="false">AVERAGE(E1458:E1459)</f>
        <v>16.4336063233369</v>
      </c>
    </row>
    <row r="1460" customFormat="false" ht="15" hidden="false" customHeight="false" outlineLevel="0" collapsed="false">
      <c r="A1460" s="76" t="n">
        <v>1449</v>
      </c>
      <c r="B1460" s="77" t="n">
        <v>1.778301</v>
      </c>
      <c r="C1460" s="78" t="n">
        <f aca="false">05_Unit_Economics!$B$15*EXP((01_Inputs!$C$20-01_Inputs!$C$21^2/2)*01_Inputs!$C$22+01_Inputs!$C$21*SQRT(01_Inputs!$C$22)*B1460)</f>
        <v>100.847823272278</v>
      </c>
      <c r="D1460" s="78" t="n">
        <f aca="false">MAX(C1460-05_Unit_Economics!$B$21,0)</f>
        <v>62.9402177977748</v>
      </c>
      <c r="E1460" s="78" t="n">
        <f aca="false">D1460*EXP(-01_Inputs!$C$20*01_Inputs!$C$22)</f>
        <v>60.2308905057961</v>
      </c>
      <c r="F1460" s="79"/>
    </row>
    <row r="1461" customFormat="false" ht="15" hidden="false" customHeight="false" outlineLevel="0" collapsed="false">
      <c r="A1461" s="76" t="n">
        <v>1450</v>
      </c>
      <c r="B1461" s="77" t="n">
        <v>-1.778301</v>
      </c>
      <c r="C1461" s="78" t="n">
        <f aca="false">05_Unit_Economics!$B$15*EXP((01_Inputs!$C$20-01_Inputs!$C$21^2/2)*01_Inputs!$C$22+01_Inputs!$C$21*SQRT(01_Inputs!$C$22)*B1461)</f>
        <v>29.0437112702242</v>
      </c>
      <c r="D1461" s="78" t="n">
        <f aca="false">MAX(C1461-05_Unit_Economics!$B$21,0)</f>
        <v>0</v>
      </c>
      <c r="E1461" s="78" t="n">
        <f aca="false">D1461*EXP(-01_Inputs!$C$20*01_Inputs!$C$22)</f>
        <v>0</v>
      </c>
      <c r="F1461" s="80" t="n">
        <f aca="false">AVERAGE(E1460:E1461)</f>
        <v>30.1154452528981</v>
      </c>
    </row>
    <row r="1462" customFormat="false" ht="15" hidden="false" customHeight="false" outlineLevel="0" collapsed="false">
      <c r="A1462" s="76" t="n">
        <v>1451</v>
      </c>
      <c r="B1462" s="77" t="n">
        <v>0.590168</v>
      </c>
      <c r="C1462" s="78" t="n">
        <f aca="false">05_Unit_Economics!$B$15*EXP((01_Inputs!$C$20-01_Inputs!$C$21^2/2)*01_Inputs!$C$22+01_Inputs!$C$21*SQRT(01_Inputs!$C$22)*B1462)</f>
        <v>66.5375287344664</v>
      </c>
      <c r="D1462" s="78" t="n">
        <f aca="false">MAX(C1462-05_Unit_Economics!$B$21,0)</f>
        <v>28.629923259963</v>
      </c>
      <c r="E1462" s="78" t="n">
        <f aca="false">D1462*EXP(-01_Inputs!$C$20*01_Inputs!$C$22)</f>
        <v>27.3975183657712</v>
      </c>
      <c r="F1462" s="79"/>
    </row>
    <row r="1463" customFormat="false" ht="15" hidden="false" customHeight="false" outlineLevel="0" collapsed="false">
      <c r="A1463" s="76" t="n">
        <v>1452</v>
      </c>
      <c r="B1463" s="77" t="n">
        <v>-0.590168</v>
      </c>
      <c r="C1463" s="78" t="n">
        <f aca="false">05_Unit_Economics!$B$15*EXP((01_Inputs!$C$20-01_Inputs!$C$21^2/2)*01_Inputs!$C$22+01_Inputs!$C$21*SQRT(01_Inputs!$C$22)*B1463)</f>
        <v>44.0201960767057</v>
      </c>
      <c r="D1463" s="78" t="n">
        <f aca="false">MAX(C1463-05_Unit_Economics!$B$21,0)</f>
        <v>6.11259060220223</v>
      </c>
      <c r="E1463" s="78" t="n">
        <f aca="false">D1463*EXP(-01_Inputs!$C$20*01_Inputs!$C$22)</f>
        <v>5.84946776718997</v>
      </c>
      <c r="F1463" s="80" t="n">
        <f aca="false">AVERAGE(E1462:E1463)</f>
        <v>16.6234930664806</v>
      </c>
    </row>
    <row r="1464" customFormat="false" ht="15" hidden="false" customHeight="false" outlineLevel="0" collapsed="false">
      <c r="A1464" s="76" t="n">
        <v>1453</v>
      </c>
      <c r="B1464" s="77" t="n">
        <v>0.449474</v>
      </c>
      <c r="C1464" s="78" t="n">
        <f aca="false">05_Unit_Economics!$B$15*EXP((01_Inputs!$C$20-01_Inputs!$C$21^2/2)*01_Inputs!$C$22+01_Inputs!$C$21*SQRT(01_Inputs!$C$22)*B1464)</f>
        <v>63.3403920278016</v>
      </c>
      <c r="D1464" s="78" t="n">
        <f aca="false">MAX(C1464-05_Unit_Economics!$B$21,0)</f>
        <v>25.4327865532981</v>
      </c>
      <c r="E1464" s="78" t="n">
        <f aca="false">D1464*EXP(-01_Inputs!$C$20*01_Inputs!$C$22)</f>
        <v>24.3380057417459</v>
      </c>
      <c r="F1464" s="79"/>
    </row>
    <row r="1465" customFormat="false" ht="15" hidden="false" customHeight="false" outlineLevel="0" collapsed="false">
      <c r="A1465" s="76" t="n">
        <v>1454</v>
      </c>
      <c r="B1465" s="77" t="n">
        <v>-0.449474</v>
      </c>
      <c r="C1465" s="78" t="n">
        <f aca="false">05_Unit_Economics!$B$15*EXP((01_Inputs!$C$20-01_Inputs!$C$21^2/2)*01_Inputs!$C$22+01_Inputs!$C$21*SQRT(01_Inputs!$C$22)*B1465)</f>
        <v>46.2421366142642</v>
      </c>
      <c r="D1465" s="78" t="n">
        <f aca="false">MAX(C1465-05_Unit_Economics!$B$21,0)</f>
        <v>8.33453113976074</v>
      </c>
      <c r="E1465" s="78" t="n">
        <f aca="false">D1465*EXP(-01_Inputs!$C$20*01_Inputs!$C$22)</f>
        <v>7.97576255787638</v>
      </c>
      <c r="F1465" s="80" t="n">
        <f aca="false">AVERAGE(E1464:E1465)</f>
        <v>16.1568841498111</v>
      </c>
    </row>
    <row r="1466" customFormat="false" ht="15" hidden="false" customHeight="false" outlineLevel="0" collapsed="false">
      <c r="A1466" s="76" t="n">
        <v>1455</v>
      </c>
      <c r="B1466" s="77" t="n">
        <v>0.965215</v>
      </c>
      <c r="C1466" s="78" t="n">
        <f aca="false">05_Unit_Economics!$B$15*EXP((01_Inputs!$C$20-01_Inputs!$C$21^2/2)*01_Inputs!$C$22+01_Inputs!$C$21*SQRT(01_Inputs!$C$22)*B1466)</f>
        <v>75.8708521009456</v>
      </c>
      <c r="D1466" s="78" t="n">
        <f aca="false">MAX(C1466-05_Unit_Economics!$B$21,0)</f>
        <v>37.9632466264421</v>
      </c>
      <c r="E1466" s="78" t="n">
        <f aca="false">D1466*EXP(-01_Inputs!$C$20*01_Inputs!$C$22)</f>
        <v>36.3290790976991</v>
      </c>
      <c r="F1466" s="79"/>
    </row>
    <row r="1467" customFormat="false" ht="15" hidden="false" customHeight="false" outlineLevel="0" collapsed="false">
      <c r="A1467" s="76" t="n">
        <v>1456</v>
      </c>
      <c r="B1467" s="77" t="n">
        <v>-0.965215</v>
      </c>
      <c r="C1467" s="78" t="n">
        <f aca="false">05_Unit_Economics!$B$15*EXP((01_Inputs!$C$20-01_Inputs!$C$21^2/2)*01_Inputs!$C$22+01_Inputs!$C$21*SQRT(01_Inputs!$C$22)*B1467)</f>
        <v>38.6050107550347</v>
      </c>
      <c r="D1467" s="78" t="n">
        <f aca="false">MAX(C1467-05_Unit_Economics!$B$21,0)</f>
        <v>0.69740528053125</v>
      </c>
      <c r="E1467" s="78" t="n">
        <f aca="false">D1467*EXP(-01_Inputs!$C$20*01_Inputs!$C$22)</f>
        <v>0.66738474316698</v>
      </c>
      <c r="F1467" s="80" t="n">
        <f aca="false">AVERAGE(E1466:E1467)</f>
        <v>18.498231920433</v>
      </c>
    </row>
    <row r="1468" customFormat="false" ht="15" hidden="false" customHeight="false" outlineLevel="0" collapsed="false">
      <c r="A1468" s="76" t="n">
        <v>1457</v>
      </c>
      <c r="B1468" s="77" t="n">
        <v>0.924668</v>
      </c>
      <c r="C1468" s="78" t="n">
        <f aca="false">05_Unit_Economics!$B$15*EXP((01_Inputs!$C$20-01_Inputs!$C$21^2/2)*01_Inputs!$C$22+01_Inputs!$C$21*SQRT(01_Inputs!$C$22)*B1468)</f>
        <v>74.8017387740395</v>
      </c>
      <c r="D1468" s="78" t="n">
        <f aca="false">MAX(C1468-05_Unit_Economics!$B$21,0)</f>
        <v>36.8941332995361</v>
      </c>
      <c r="E1468" s="78" t="n">
        <f aca="false">D1468*EXP(-01_Inputs!$C$20*01_Inputs!$C$22)</f>
        <v>35.3059868685292</v>
      </c>
      <c r="F1468" s="79"/>
    </row>
    <row r="1469" customFormat="false" ht="15" hidden="false" customHeight="false" outlineLevel="0" collapsed="false">
      <c r="A1469" s="76" t="n">
        <v>1458</v>
      </c>
      <c r="B1469" s="77" t="n">
        <v>-0.924668</v>
      </c>
      <c r="C1469" s="78" t="n">
        <f aca="false">05_Unit_Economics!$B$15*EXP((01_Inputs!$C$20-01_Inputs!$C$21^2/2)*01_Inputs!$C$22+01_Inputs!$C$21*SQRT(01_Inputs!$C$22)*B1469)</f>
        <v>39.1567777615242</v>
      </c>
      <c r="D1469" s="78" t="n">
        <f aca="false">MAX(C1469-05_Unit_Economics!$B$21,0)</f>
        <v>1.24917228702071</v>
      </c>
      <c r="E1469" s="78" t="n">
        <f aca="false">D1469*EXP(-01_Inputs!$C$20*01_Inputs!$C$22)</f>
        <v>1.19540036363012</v>
      </c>
      <c r="F1469" s="80" t="n">
        <f aca="false">AVERAGE(E1468:E1469)</f>
        <v>18.2506936160796</v>
      </c>
    </row>
    <row r="1470" customFormat="false" ht="15" hidden="false" customHeight="false" outlineLevel="0" collapsed="false">
      <c r="A1470" s="76" t="n">
        <v>1459</v>
      </c>
      <c r="B1470" s="77" t="n">
        <v>0.639952</v>
      </c>
      <c r="C1470" s="78" t="n">
        <f aca="false">05_Unit_Economics!$B$15*EXP((01_Inputs!$C$20-01_Inputs!$C$21^2/2)*01_Inputs!$C$22+01_Inputs!$C$21*SQRT(01_Inputs!$C$22)*B1470)</f>
        <v>67.7070648930058</v>
      </c>
      <c r="D1470" s="78" t="n">
        <f aca="false">MAX(C1470-05_Unit_Economics!$B$21,0)</f>
        <v>29.7994594185023</v>
      </c>
      <c r="E1470" s="78" t="n">
        <f aca="false">D1470*EXP(-01_Inputs!$C$20*01_Inputs!$C$22)</f>
        <v>28.5167106210932</v>
      </c>
      <c r="F1470" s="79"/>
    </row>
    <row r="1471" customFormat="false" ht="15" hidden="false" customHeight="false" outlineLevel="0" collapsed="false">
      <c r="A1471" s="76" t="n">
        <v>1460</v>
      </c>
      <c r="B1471" s="77" t="n">
        <v>-0.639952</v>
      </c>
      <c r="C1471" s="78" t="n">
        <f aca="false">05_Unit_Economics!$B$15*EXP((01_Inputs!$C$20-01_Inputs!$C$21^2/2)*01_Inputs!$C$22+01_Inputs!$C$21*SQRT(01_Inputs!$C$22)*B1471)</f>
        <v>43.2598144075394</v>
      </c>
      <c r="D1471" s="78" t="n">
        <f aca="false">MAX(C1471-05_Unit_Economics!$B$21,0)</f>
        <v>5.35220893303588</v>
      </c>
      <c r="E1471" s="78" t="n">
        <f aca="false">D1471*EXP(-01_Inputs!$C$20*01_Inputs!$C$22)</f>
        <v>5.12181751969128</v>
      </c>
      <c r="F1471" s="80" t="n">
        <f aca="false">AVERAGE(E1470:E1471)</f>
        <v>16.8192640703922</v>
      </c>
    </row>
    <row r="1472" customFormat="false" ht="15" hidden="false" customHeight="false" outlineLevel="0" collapsed="false">
      <c r="A1472" s="76" t="n">
        <v>1461</v>
      </c>
      <c r="B1472" s="77" t="n">
        <v>0.616369</v>
      </c>
      <c r="C1472" s="78" t="n">
        <f aca="false">05_Unit_Economics!$B$15*EXP((01_Inputs!$C$20-01_Inputs!$C$21^2/2)*01_Inputs!$C$22+01_Inputs!$C$21*SQRT(01_Inputs!$C$22)*B1472)</f>
        <v>67.1505074802028</v>
      </c>
      <c r="D1472" s="78" t="n">
        <f aca="false">MAX(C1472-05_Unit_Economics!$B$21,0)</f>
        <v>29.2429020056993</v>
      </c>
      <c r="E1472" s="78" t="n">
        <f aca="false">D1472*EXP(-01_Inputs!$C$20*01_Inputs!$C$22)</f>
        <v>27.9841108023504</v>
      </c>
      <c r="F1472" s="79"/>
    </row>
    <row r="1473" customFormat="false" ht="15" hidden="false" customHeight="false" outlineLevel="0" collapsed="false">
      <c r="A1473" s="76" t="n">
        <v>1462</v>
      </c>
      <c r="B1473" s="77" t="n">
        <v>-0.616369</v>
      </c>
      <c r="C1473" s="78" t="n">
        <f aca="false">05_Unit_Economics!$B$15*EXP((01_Inputs!$C$20-01_Inputs!$C$21^2/2)*01_Inputs!$C$22+01_Inputs!$C$21*SQRT(01_Inputs!$C$22)*B1473)</f>
        <v>43.6183607728382</v>
      </c>
      <c r="D1473" s="78" t="n">
        <f aca="false">MAX(C1473-05_Unit_Economics!$B$21,0)</f>
        <v>5.71075529833468</v>
      </c>
      <c r="E1473" s="78" t="n">
        <f aca="false">D1473*EXP(-01_Inputs!$C$20*01_Inputs!$C$22)</f>
        <v>5.46492988290154</v>
      </c>
      <c r="F1473" s="80" t="n">
        <f aca="false">AVERAGE(E1472:E1473)</f>
        <v>16.724520342626</v>
      </c>
    </row>
    <row r="1474" customFormat="false" ht="15" hidden="false" customHeight="false" outlineLevel="0" collapsed="false">
      <c r="A1474" s="76" t="n">
        <v>1463</v>
      </c>
      <c r="B1474" s="77" t="n">
        <v>0.089692</v>
      </c>
      <c r="C1474" s="78" t="n">
        <f aca="false">05_Unit_Economics!$B$15*EXP((01_Inputs!$C$20-01_Inputs!$C$21^2/2)*01_Inputs!$C$22+01_Inputs!$C$21*SQRT(01_Inputs!$C$22)*B1474)</f>
        <v>55.8460909069728</v>
      </c>
      <c r="D1474" s="78" t="n">
        <f aca="false">MAX(C1474-05_Unit_Economics!$B$21,0)</f>
        <v>17.9384854324694</v>
      </c>
      <c r="E1474" s="78" t="n">
        <f aca="false">D1474*EXP(-01_Inputs!$C$20*01_Inputs!$C$22)</f>
        <v>17.1663046256741</v>
      </c>
      <c r="F1474" s="79"/>
    </row>
    <row r="1475" customFormat="false" ht="15" hidden="false" customHeight="false" outlineLevel="0" collapsed="false">
      <c r="A1475" s="76" t="n">
        <v>1464</v>
      </c>
      <c r="B1475" s="77" t="n">
        <v>-0.089692</v>
      </c>
      <c r="C1475" s="78" t="n">
        <f aca="false">05_Unit_Economics!$B$15*EXP((01_Inputs!$C$20-01_Inputs!$C$21^2/2)*01_Inputs!$C$22+01_Inputs!$C$21*SQRT(01_Inputs!$C$22)*B1475)</f>
        <v>52.447629078098</v>
      </c>
      <c r="D1475" s="78" t="n">
        <f aca="false">MAX(C1475-05_Unit_Economics!$B$21,0)</f>
        <v>14.5400236035945</v>
      </c>
      <c r="E1475" s="78" t="n">
        <f aca="false">D1475*EXP(-01_Inputs!$C$20*01_Inputs!$C$22)</f>
        <v>13.9141331292113</v>
      </c>
      <c r="F1475" s="80" t="n">
        <f aca="false">AVERAGE(E1474:E1475)</f>
        <v>15.5402188774427</v>
      </c>
    </row>
    <row r="1476" customFormat="false" ht="15" hidden="false" customHeight="false" outlineLevel="0" collapsed="false">
      <c r="A1476" s="76" t="n">
        <v>1465</v>
      </c>
      <c r="B1476" s="77" t="n">
        <v>0.374963</v>
      </c>
      <c r="C1476" s="78" t="n">
        <f aca="false">05_Unit_Economics!$B$15*EXP((01_Inputs!$C$20-01_Inputs!$C$21^2/2)*01_Inputs!$C$22+01_Inputs!$C$21*SQRT(01_Inputs!$C$22)*B1476)</f>
        <v>61.7099005247648</v>
      </c>
      <c r="D1476" s="78" t="n">
        <f aca="false">MAX(C1476-05_Unit_Economics!$B$21,0)</f>
        <v>23.8022950502613</v>
      </c>
      <c r="E1476" s="78" t="n">
        <f aca="false">D1476*EXP(-01_Inputs!$C$20*01_Inputs!$C$22)</f>
        <v>22.7777004452887</v>
      </c>
      <c r="F1476" s="79"/>
    </row>
    <row r="1477" customFormat="false" ht="15" hidden="false" customHeight="false" outlineLevel="0" collapsed="false">
      <c r="A1477" s="76" t="n">
        <v>1466</v>
      </c>
      <c r="B1477" s="77" t="n">
        <v>-0.374963</v>
      </c>
      <c r="C1477" s="78" t="n">
        <f aca="false">05_Unit_Economics!$B$15*EXP((01_Inputs!$C$20-01_Inputs!$C$21^2/2)*01_Inputs!$C$22+01_Inputs!$C$21*SQRT(01_Inputs!$C$22)*B1477)</f>
        <v>47.463940736304</v>
      </c>
      <c r="D1477" s="78" t="n">
        <f aca="false">MAX(C1477-05_Unit_Economics!$B$21,0)</f>
        <v>9.55633526180056</v>
      </c>
      <c r="E1477" s="78" t="n">
        <f aca="false">D1477*EXP(-01_Inputs!$C$20*01_Inputs!$C$22)</f>
        <v>9.14497284771927</v>
      </c>
      <c r="F1477" s="80" t="n">
        <f aca="false">AVERAGE(E1476:E1477)</f>
        <v>15.961336646504</v>
      </c>
    </row>
    <row r="1478" customFormat="false" ht="15" hidden="false" customHeight="false" outlineLevel="0" collapsed="false">
      <c r="A1478" s="76" t="n">
        <v>1467</v>
      </c>
      <c r="B1478" s="77" t="n">
        <v>0.812585</v>
      </c>
      <c r="C1478" s="78" t="n">
        <f aca="false">05_Unit_Economics!$B$15*EXP((01_Inputs!$C$20-01_Inputs!$C$21^2/2)*01_Inputs!$C$22+01_Inputs!$C$21*SQRT(01_Inputs!$C$22)*B1478)</f>
        <v>71.9241491980852</v>
      </c>
      <c r="D1478" s="78" t="n">
        <f aca="false">MAX(C1478-05_Unit_Economics!$B$21,0)</f>
        <v>34.0165437235817</v>
      </c>
      <c r="E1478" s="78" t="n">
        <f aca="false">D1478*EXP(-01_Inputs!$C$20*01_Inputs!$C$22)</f>
        <v>32.5522661358364</v>
      </c>
      <c r="F1478" s="79"/>
    </row>
    <row r="1479" customFormat="false" ht="15" hidden="false" customHeight="false" outlineLevel="0" collapsed="false">
      <c r="A1479" s="76" t="n">
        <v>1468</v>
      </c>
      <c r="B1479" s="77" t="n">
        <v>-0.812585</v>
      </c>
      <c r="C1479" s="78" t="n">
        <f aca="false">05_Unit_Economics!$B$15*EXP((01_Inputs!$C$20-01_Inputs!$C$21^2/2)*01_Inputs!$C$22+01_Inputs!$C$21*SQRT(01_Inputs!$C$22)*B1479)</f>
        <v>40.7233883752167</v>
      </c>
      <c r="D1479" s="78" t="n">
        <f aca="false">MAX(C1479-05_Unit_Economics!$B$21,0)</f>
        <v>2.81578290071322</v>
      </c>
      <c r="E1479" s="78" t="n">
        <f aca="false">D1479*EXP(-01_Inputs!$C$20*01_Inputs!$C$22)</f>
        <v>2.69457459022245</v>
      </c>
      <c r="F1479" s="80" t="n">
        <f aca="false">AVERAGE(E1478:E1479)</f>
        <v>17.6234203630294</v>
      </c>
    </row>
    <row r="1480" customFormat="false" ht="15" hidden="false" customHeight="false" outlineLevel="0" collapsed="false">
      <c r="A1480" s="76" t="n">
        <v>1469</v>
      </c>
      <c r="B1480" s="77" t="n">
        <v>0.634172</v>
      </c>
      <c r="C1480" s="78" t="n">
        <f aca="false">05_Unit_Economics!$B$15*EXP((01_Inputs!$C$20-01_Inputs!$C$21^2/2)*01_Inputs!$C$22+01_Inputs!$C$21*SQRT(01_Inputs!$C$22)*B1480)</f>
        <v>67.5702319539112</v>
      </c>
      <c r="D1480" s="78" t="n">
        <f aca="false">MAX(C1480-05_Unit_Economics!$B$21,0)</f>
        <v>29.6626264794077</v>
      </c>
      <c r="E1480" s="78" t="n">
        <f aca="false">D1480*EXP(-01_Inputs!$C$20*01_Inputs!$C$22)</f>
        <v>28.385767798514</v>
      </c>
      <c r="F1480" s="79"/>
    </row>
    <row r="1481" customFormat="false" ht="15" hidden="false" customHeight="false" outlineLevel="0" collapsed="false">
      <c r="A1481" s="76" t="n">
        <v>1470</v>
      </c>
      <c r="B1481" s="77" t="n">
        <v>-0.634172</v>
      </c>
      <c r="C1481" s="78" t="n">
        <f aca="false">05_Unit_Economics!$B$15*EXP((01_Inputs!$C$20-01_Inputs!$C$21^2/2)*01_Inputs!$C$22+01_Inputs!$C$21*SQRT(01_Inputs!$C$22)*B1481)</f>
        <v>43.3474175928312</v>
      </c>
      <c r="D1481" s="78" t="n">
        <f aca="false">MAX(C1481-05_Unit_Economics!$B$21,0)</f>
        <v>5.43981211832771</v>
      </c>
      <c r="E1481" s="78" t="n">
        <f aca="false">D1481*EXP(-01_Inputs!$C$20*01_Inputs!$C$22)</f>
        <v>5.20564973454354</v>
      </c>
      <c r="F1481" s="80" t="n">
        <f aca="false">AVERAGE(E1480:E1481)</f>
        <v>16.7957087665288</v>
      </c>
    </row>
    <row r="1482" customFormat="false" ht="15" hidden="false" customHeight="false" outlineLevel="0" collapsed="false">
      <c r="A1482" s="76" t="n">
        <v>1471</v>
      </c>
      <c r="B1482" s="77" t="n">
        <v>-0.218896</v>
      </c>
      <c r="C1482" s="78" t="n">
        <f aca="false">05_Unit_Economics!$B$15*EXP((01_Inputs!$C$20-01_Inputs!$C$21^2/2)*01_Inputs!$C$22+01_Inputs!$C$21*SQRT(01_Inputs!$C$22)*B1482)</f>
        <v>50.1287016035491</v>
      </c>
      <c r="D1482" s="78" t="n">
        <f aca="false">MAX(C1482-05_Unit_Economics!$B$21,0)</f>
        <v>12.2210961290456</v>
      </c>
      <c r="E1482" s="78" t="n">
        <f aca="false">D1482*EXP(-01_Inputs!$C$20*01_Inputs!$C$22)</f>
        <v>11.6950263053488</v>
      </c>
      <c r="F1482" s="79"/>
    </row>
    <row r="1483" customFormat="false" ht="15" hidden="false" customHeight="false" outlineLevel="0" collapsed="false">
      <c r="A1483" s="76" t="n">
        <v>1472</v>
      </c>
      <c r="B1483" s="77" t="n">
        <v>0.218896</v>
      </c>
      <c r="C1483" s="78" t="n">
        <f aca="false">05_Unit_Economics!$B$15*EXP((01_Inputs!$C$20-01_Inputs!$C$21^2/2)*01_Inputs!$C$22+01_Inputs!$C$21*SQRT(01_Inputs!$C$22)*B1483)</f>
        <v>58.4295018154486</v>
      </c>
      <c r="D1483" s="78" t="n">
        <f aca="false">MAX(C1483-05_Unit_Economics!$B$21,0)</f>
        <v>20.5218963409451</v>
      </c>
      <c r="E1483" s="78" t="n">
        <f aca="false">D1483*EXP(-01_Inputs!$C$20*01_Inputs!$C$22)</f>
        <v>19.6385099183191</v>
      </c>
      <c r="F1483" s="80" t="n">
        <f aca="false">AVERAGE(E1482:E1483)</f>
        <v>15.6667681118339</v>
      </c>
    </row>
    <row r="1484" customFormat="false" ht="15" hidden="false" customHeight="false" outlineLevel="0" collapsed="false">
      <c r="A1484" s="76" t="n">
        <v>1473</v>
      </c>
      <c r="B1484" s="77" t="n">
        <v>-1.158505</v>
      </c>
      <c r="C1484" s="78" t="n">
        <f aca="false">05_Unit_Economics!$B$15*EXP((01_Inputs!$C$20-01_Inputs!$C$21^2/2)*01_Inputs!$C$22+01_Inputs!$C$21*SQRT(01_Inputs!$C$22)*B1484)</f>
        <v>36.0797072176912</v>
      </c>
      <c r="D1484" s="78" t="n">
        <f aca="false">MAX(C1484-05_Unit_Economics!$B$21,0)</f>
        <v>0</v>
      </c>
      <c r="E1484" s="78" t="n">
        <f aca="false">D1484*EXP(-01_Inputs!$C$20*01_Inputs!$C$22)</f>
        <v>0</v>
      </c>
      <c r="F1484" s="79"/>
    </row>
    <row r="1485" customFormat="false" ht="15" hidden="false" customHeight="false" outlineLevel="0" collapsed="false">
      <c r="A1485" s="76" t="n">
        <v>1474</v>
      </c>
      <c r="B1485" s="77" t="n">
        <v>1.158505</v>
      </c>
      <c r="C1485" s="78" t="n">
        <f aca="false">05_Unit_Economics!$B$15*EXP((01_Inputs!$C$20-01_Inputs!$C$21^2/2)*01_Inputs!$C$22+01_Inputs!$C$21*SQRT(01_Inputs!$C$22)*B1485)</f>
        <v>81.1812314240304</v>
      </c>
      <c r="D1485" s="78" t="n">
        <f aca="false">MAX(C1485-05_Unit_Economics!$B$21,0)</f>
        <v>43.273625949527</v>
      </c>
      <c r="E1485" s="78" t="n">
        <f aca="false">D1485*EXP(-01_Inputs!$C$20*01_Inputs!$C$22)</f>
        <v>41.4108676066082</v>
      </c>
      <c r="F1485" s="80" t="n">
        <f aca="false">AVERAGE(E1484:E1485)</f>
        <v>20.7054338033041</v>
      </c>
    </row>
    <row r="1486" customFormat="false" ht="15" hidden="false" customHeight="false" outlineLevel="0" collapsed="false">
      <c r="A1486" s="76" t="n">
        <v>1475</v>
      </c>
      <c r="B1486" s="77" t="n">
        <v>0.17646</v>
      </c>
      <c r="C1486" s="78" t="n">
        <f aca="false">05_Unit_Economics!$B$15*EXP((01_Inputs!$C$20-01_Inputs!$C$21^2/2)*01_Inputs!$C$22+01_Inputs!$C$21*SQRT(01_Inputs!$C$22)*B1486)</f>
        <v>57.5680847737996</v>
      </c>
      <c r="D1486" s="78" t="n">
        <f aca="false">MAX(C1486-05_Unit_Economics!$B$21,0)</f>
        <v>19.6604792992961</v>
      </c>
      <c r="E1486" s="78" t="n">
        <f aca="false">D1486*EXP(-01_Inputs!$C$20*01_Inputs!$C$22)</f>
        <v>18.8141734712783</v>
      </c>
      <c r="F1486" s="79"/>
    </row>
    <row r="1487" customFormat="false" ht="15" hidden="false" customHeight="false" outlineLevel="0" collapsed="false">
      <c r="A1487" s="76" t="n">
        <v>1476</v>
      </c>
      <c r="B1487" s="77" t="n">
        <v>-0.17646</v>
      </c>
      <c r="C1487" s="78" t="n">
        <f aca="false">05_Unit_Economics!$B$15*EXP((01_Inputs!$C$20-01_Inputs!$C$21^2/2)*01_Inputs!$C$22+01_Inputs!$C$21*SQRT(01_Inputs!$C$22)*B1487)</f>
        <v>50.878799822149</v>
      </c>
      <c r="D1487" s="78" t="n">
        <f aca="false">MAX(C1487-05_Unit_Economics!$B$21,0)</f>
        <v>12.9711943476455</v>
      </c>
      <c r="E1487" s="78" t="n">
        <f aca="false">D1487*EXP(-01_Inputs!$C$20*01_Inputs!$C$22)</f>
        <v>12.4128357641314</v>
      </c>
      <c r="F1487" s="80" t="n">
        <f aca="false">AVERAGE(E1486:E1487)</f>
        <v>15.6135046177049</v>
      </c>
    </row>
    <row r="1488" customFormat="false" ht="15" hidden="false" customHeight="false" outlineLevel="0" collapsed="false">
      <c r="A1488" s="76" t="n">
        <v>1477</v>
      </c>
      <c r="B1488" s="77" t="n">
        <v>-0.896302</v>
      </c>
      <c r="C1488" s="78" t="n">
        <f aca="false">05_Unit_Economics!$B$15*EXP((01_Inputs!$C$20-01_Inputs!$C$21^2/2)*01_Inputs!$C$22+01_Inputs!$C$21*SQRT(01_Inputs!$C$22)*B1488)</f>
        <v>39.5474663554492</v>
      </c>
      <c r="D1488" s="78" t="n">
        <f aca="false">MAX(C1488-05_Unit_Economics!$B$21,0)</f>
        <v>1.63986088094576</v>
      </c>
      <c r="E1488" s="78" t="n">
        <f aca="false">D1488*EXP(-01_Inputs!$C$20*01_Inputs!$C$22)</f>
        <v>1.56927135972628</v>
      </c>
      <c r="F1488" s="79"/>
    </row>
    <row r="1489" customFormat="false" ht="15" hidden="false" customHeight="false" outlineLevel="0" collapsed="false">
      <c r="A1489" s="76" t="n">
        <v>1478</v>
      </c>
      <c r="B1489" s="77" t="n">
        <v>0.896302</v>
      </c>
      <c r="C1489" s="78" t="n">
        <f aca="false">05_Unit_Economics!$B$15*EXP((01_Inputs!$C$20-01_Inputs!$C$21^2/2)*01_Inputs!$C$22+01_Inputs!$C$21*SQRT(01_Inputs!$C$22)*B1489)</f>
        <v>74.062773959401</v>
      </c>
      <c r="D1489" s="78" t="n">
        <f aca="false">MAX(C1489-05_Unit_Economics!$B$21,0)</f>
        <v>36.1551684848975</v>
      </c>
      <c r="E1489" s="78" t="n">
        <f aca="false">D1489*EXP(-01_Inputs!$C$20*01_Inputs!$C$22)</f>
        <v>34.5988315647275</v>
      </c>
      <c r="F1489" s="80" t="n">
        <f aca="false">AVERAGE(E1488:E1489)</f>
        <v>18.0840514622269</v>
      </c>
    </row>
    <row r="1490" customFormat="false" ht="15" hidden="false" customHeight="false" outlineLevel="0" collapsed="false">
      <c r="A1490" s="76" t="n">
        <v>1479</v>
      </c>
      <c r="B1490" s="77" t="n">
        <v>0.672764</v>
      </c>
      <c r="C1490" s="78" t="n">
        <f aca="false">05_Unit_Economics!$B$15*EXP((01_Inputs!$C$20-01_Inputs!$C$21^2/2)*01_Inputs!$C$22+01_Inputs!$C$21*SQRT(01_Inputs!$C$22)*B1490)</f>
        <v>68.4891083442665</v>
      </c>
      <c r="D1490" s="78" t="n">
        <f aca="false">MAX(C1490-05_Unit_Economics!$B$21,0)</f>
        <v>30.581502869763</v>
      </c>
      <c r="E1490" s="78" t="n">
        <f aca="false">D1490*EXP(-01_Inputs!$C$20*01_Inputs!$C$22)</f>
        <v>29.265090196693</v>
      </c>
      <c r="F1490" s="79"/>
    </row>
    <row r="1491" customFormat="false" ht="15" hidden="false" customHeight="false" outlineLevel="0" collapsed="false">
      <c r="A1491" s="76" t="n">
        <v>1480</v>
      </c>
      <c r="B1491" s="77" t="n">
        <v>-0.672764</v>
      </c>
      <c r="C1491" s="78" t="n">
        <f aca="false">05_Unit_Economics!$B$15*EXP((01_Inputs!$C$20-01_Inputs!$C$21^2/2)*01_Inputs!$C$22+01_Inputs!$C$21*SQRT(01_Inputs!$C$22)*B1491)</f>
        <v>42.7658518581933</v>
      </c>
      <c r="D1491" s="78" t="n">
        <f aca="false">MAX(C1491-05_Unit_Economics!$B$21,0)</f>
        <v>4.85824638368986</v>
      </c>
      <c r="E1491" s="78" t="n">
        <f aca="false">D1491*EXP(-01_Inputs!$C$20*01_Inputs!$C$22)</f>
        <v>4.64911810325113</v>
      </c>
      <c r="F1491" s="80" t="n">
        <f aca="false">AVERAGE(E1490:E1491)</f>
        <v>16.9571041499721</v>
      </c>
    </row>
    <row r="1492" customFormat="false" ht="15" hidden="false" customHeight="false" outlineLevel="0" collapsed="false">
      <c r="A1492" s="76" t="n">
        <v>1481</v>
      </c>
      <c r="B1492" s="77" t="n">
        <v>-0.259381</v>
      </c>
      <c r="C1492" s="78" t="n">
        <f aca="false">05_Unit_Economics!$B$15*EXP((01_Inputs!$C$20-01_Inputs!$C$21^2/2)*01_Inputs!$C$22+01_Inputs!$C$21*SQRT(01_Inputs!$C$22)*B1492)</f>
        <v>49.4233992142195</v>
      </c>
      <c r="D1492" s="78" t="n">
        <f aca="false">MAX(C1492-05_Unit_Economics!$B$21,0)</f>
        <v>11.515793739716</v>
      </c>
      <c r="E1492" s="78" t="n">
        <f aca="false">D1492*EXP(-01_Inputs!$C$20*01_Inputs!$C$22)</f>
        <v>11.0200843926646</v>
      </c>
      <c r="F1492" s="79"/>
    </row>
    <row r="1493" customFormat="false" ht="15" hidden="false" customHeight="false" outlineLevel="0" collapsed="false">
      <c r="A1493" s="76" t="n">
        <v>1482</v>
      </c>
      <c r="B1493" s="77" t="n">
        <v>0.259381</v>
      </c>
      <c r="C1493" s="78" t="n">
        <f aca="false">05_Unit_Economics!$B$15*EXP((01_Inputs!$C$20-01_Inputs!$C$21^2/2)*01_Inputs!$C$22+01_Inputs!$C$21*SQRT(01_Inputs!$C$22)*B1493)</f>
        <v>59.263326843532</v>
      </c>
      <c r="D1493" s="78" t="n">
        <f aca="false">MAX(C1493-05_Unit_Economics!$B$21,0)</f>
        <v>21.3557213690285</v>
      </c>
      <c r="E1493" s="78" t="n">
        <f aca="false">D1493*EXP(-01_Inputs!$C$20*01_Inputs!$C$22)</f>
        <v>20.4364420787836</v>
      </c>
      <c r="F1493" s="80" t="n">
        <f aca="false">AVERAGE(E1492:E1493)</f>
        <v>15.7282632357241</v>
      </c>
    </row>
    <row r="1494" customFormat="false" ht="15" hidden="false" customHeight="false" outlineLevel="0" collapsed="false">
      <c r="A1494" s="76" t="n">
        <v>1483</v>
      </c>
      <c r="B1494" s="77" t="n">
        <v>1.969844</v>
      </c>
      <c r="C1494" s="78" t="n">
        <f aca="false">05_Unit_Economics!$B$15*EXP((01_Inputs!$C$20-01_Inputs!$C$21^2/2)*01_Inputs!$C$22+01_Inputs!$C$21*SQRT(01_Inputs!$C$22)*B1494)</f>
        <v>107.840440331947</v>
      </c>
      <c r="D1494" s="78" t="n">
        <f aca="false">MAX(C1494-05_Unit_Economics!$B$21,0)</f>
        <v>69.9328348574432</v>
      </c>
      <c r="E1494" s="78" t="n">
        <f aca="false">D1494*EXP(-01_Inputs!$C$20*01_Inputs!$C$22)</f>
        <v>66.9225030741393</v>
      </c>
      <c r="F1494" s="79"/>
    </row>
    <row r="1495" customFormat="false" ht="15" hidden="false" customHeight="false" outlineLevel="0" collapsed="false">
      <c r="A1495" s="76" t="n">
        <v>1484</v>
      </c>
      <c r="B1495" s="77" t="n">
        <v>-1.969844</v>
      </c>
      <c r="C1495" s="78" t="n">
        <f aca="false">05_Unit_Economics!$B$15*EXP((01_Inputs!$C$20-01_Inputs!$C$21^2/2)*01_Inputs!$C$22+01_Inputs!$C$21*SQRT(01_Inputs!$C$22)*B1495)</f>
        <v>27.1604516110545</v>
      </c>
      <c r="D1495" s="78" t="n">
        <f aca="false">MAX(C1495-05_Unit_Economics!$B$21,0)</f>
        <v>0</v>
      </c>
      <c r="E1495" s="78" t="n">
        <f aca="false">D1495*EXP(-01_Inputs!$C$20*01_Inputs!$C$22)</f>
        <v>0</v>
      </c>
      <c r="F1495" s="80" t="n">
        <f aca="false">AVERAGE(E1494:E1495)</f>
        <v>33.4612515370697</v>
      </c>
    </row>
    <row r="1496" customFormat="false" ht="15" hidden="false" customHeight="false" outlineLevel="0" collapsed="false">
      <c r="A1496" s="76" t="n">
        <v>1485</v>
      </c>
      <c r="B1496" s="77" t="n">
        <v>0.918752</v>
      </c>
      <c r="C1496" s="78" t="n">
        <f aca="false">05_Unit_Economics!$B$15*EXP((01_Inputs!$C$20-01_Inputs!$C$21^2/2)*01_Inputs!$C$22+01_Inputs!$C$21*SQRT(01_Inputs!$C$22)*B1496)</f>
        <v>74.6470145350189</v>
      </c>
      <c r="D1496" s="78" t="n">
        <f aca="false">MAX(C1496-05_Unit_Economics!$B$21,0)</f>
        <v>36.7394090605154</v>
      </c>
      <c r="E1496" s="78" t="n">
        <f aca="false">D1496*EXP(-01_Inputs!$C$20*01_Inputs!$C$22)</f>
        <v>35.1579228956813</v>
      </c>
      <c r="F1496" s="79"/>
    </row>
    <row r="1497" customFormat="false" ht="15" hidden="false" customHeight="false" outlineLevel="0" collapsed="false">
      <c r="A1497" s="76" t="n">
        <v>1486</v>
      </c>
      <c r="B1497" s="77" t="n">
        <v>-0.918752</v>
      </c>
      <c r="C1497" s="78" t="n">
        <f aca="false">05_Unit_Economics!$B$15*EXP((01_Inputs!$C$20-01_Inputs!$C$21^2/2)*01_Inputs!$C$22+01_Inputs!$C$21*SQRT(01_Inputs!$C$22)*B1497)</f>
        <v>39.2379397836009</v>
      </c>
      <c r="D1497" s="78" t="n">
        <f aca="false">MAX(C1497-05_Unit_Economics!$B$21,0)</f>
        <v>1.33033430909744</v>
      </c>
      <c r="E1497" s="78" t="n">
        <f aca="false">D1497*EXP(-01_Inputs!$C$20*01_Inputs!$C$22)</f>
        <v>1.27306868185296</v>
      </c>
      <c r="F1497" s="80" t="n">
        <f aca="false">AVERAGE(E1496:E1497)</f>
        <v>18.2154957887671</v>
      </c>
    </row>
    <row r="1498" customFormat="false" ht="15" hidden="false" customHeight="false" outlineLevel="0" collapsed="false">
      <c r="A1498" s="76" t="n">
        <v>1487</v>
      </c>
      <c r="B1498" s="77" t="n">
        <v>0.360722</v>
      </c>
      <c r="C1498" s="78" t="n">
        <f aca="false">05_Unit_Economics!$B$15*EXP((01_Inputs!$C$20-01_Inputs!$C$21^2/2)*01_Inputs!$C$22+01_Inputs!$C$21*SQRT(01_Inputs!$C$22)*B1498)</f>
        <v>61.4030820625948</v>
      </c>
      <c r="D1498" s="78" t="n">
        <f aca="false">MAX(C1498-05_Unit_Economics!$B$21,0)</f>
        <v>23.4954765880914</v>
      </c>
      <c r="E1498" s="78" t="n">
        <f aca="false">D1498*EXP(-01_Inputs!$C$20*01_Inputs!$C$22)</f>
        <v>22.4840893036893</v>
      </c>
      <c r="F1498" s="79"/>
    </row>
    <row r="1499" customFormat="false" ht="15" hidden="false" customHeight="false" outlineLevel="0" collapsed="false">
      <c r="A1499" s="76" t="n">
        <v>1488</v>
      </c>
      <c r="B1499" s="77" t="n">
        <v>-0.360722</v>
      </c>
      <c r="C1499" s="78" t="n">
        <f aca="false">05_Unit_Economics!$B$15*EXP((01_Inputs!$C$20-01_Inputs!$C$21^2/2)*01_Inputs!$C$22+01_Inputs!$C$21*SQRT(01_Inputs!$C$22)*B1499)</f>
        <v>47.7011082011292</v>
      </c>
      <c r="D1499" s="78" t="n">
        <f aca="false">MAX(C1499-05_Unit_Economics!$B$21,0)</f>
        <v>9.79350272662575</v>
      </c>
      <c r="E1499" s="78" t="n">
        <f aca="false">D1499*EXP(-01_Inputs!$C$20*01_Inputs!$C$22)</f>
        <v>9.37193119176758</v>
      </c>
      <c r="F1499" s="80" t="n">
        <f aca="false">AVERAGE(E1498:E1499)</f>
        <v>15.9280102477285</v>
      </c>
    </row>
    <row r="1500" customFormat="false" ht="15" hidden="false" customHeight="false" outlineLevel="0" collapsed="false">
      <c r="A1500" s="76" t="n">
        <v>1489</v>
      </c>
      <c r="B1500" s="77" t="n">
        <v>0.354654</v>
      </c>
      <c r="C1500" s="78" t="n">
        <f aca="false">05_Unit_Economics!$B$15*EXP((01_Inputs!$C$20-01_Inputs!$C$21^2/2)*01_Inputs!$C$22+01_Inputs!$C$21*SQRT(01_Inputs!$C$22)*B1500)</f>
        <v>61.2728125790402</v>
      </c>
      <c r="D1500" s="78" t="n">
        <f aca="false">MAX(C1500-05_Unit_Economics!$B$21,0)</f>
        <v>23.3652071045367</v>
      </c>
      <c r="E1500" s="78" t="n">
        <f aca="false">D1500*EXP(-01_Inputs!$C$20*01_Inputs!$C$22)</f>
        <v>22.3594274058638</v>
      </c>
      <c r="F1500" s="79"/>
    </row>
    <row r="1501" customFormat="false" ht="15" hidden="false" customHeight="false" outlineLevel="0" collapsed="false">
      <c r="A1501" s="76" t="n">
        <v>1490</v>
      </c>
      <c r="B1501" s="77" t="n">
        <v>-0.354654</v>
      </c>
      <c r="C1501" s="78" t="n">
        <f aca="false">05_Unit_Economics!$B$15*EXP((01_Inputs!$C$20-01_Inputs!$C$21^2/2)*01_Inputs!$C$22+01_Inputs!$C$21*SQRT(01_Inputs!$C$22)*B1501)</f>
        <v>47.8025234694806</v>
      </c>
      <c r="D1501" s="78" t="n">
        <f aca="false">MAX(C1501-05_Unit_Economics!$B$21,0)</f>
        <v>9.89491799497709</v>
      </c>
      <c r="E1501" s="78" t="n">
        <f aca="false">D1501*EXP(-01_Inputs!$C$20*01_Inputs!$C$22)</f>
        <v>9.46898093416459</v>
      </c>
      <c r="F1501" s="80" t="n">
        <f aca="false">AVERAGE(E1500:E1501)</f>
        <v>15.9142041700142</v>
      </c>
    </row>
    <row r="1502" customFormat="false" ht="15" hidden="false" customHeight="false" outlineLevel="0" collapsed="false">
      <c r="A1502" s="76" t="n">
        <v>1491</v>
      </c>
      <c r="B1502" s="77" t="n">
        <v>0.589874</v>
      </c>
      <c r="C1502" s="78" t="n">
        <f aca="false">05_Unit_Economics!$B$15*EXP((01_Inputs!$C$20-01_Inputs!$C$21^2/2)*01_Inputs!$C$22+01_Inputs!$C$21*SQRT(01_Inputs!$C$22)*B1502)</f>
        <v>66.5306823750109</v>
      </c>
      <c r="D1502" s="78" t="n">
        <f aca="false">MAX(C1502-05_Unit_Economics!$B$21,0)</f>
        <v>28.6230769005074</v>
      </c>
      <c r="E1502" s="78" t="n">
        <f aca="false">D1502*EXP(-01_Inputs!$C$20*01_Inputs!$C$22)</f>
        <v>27.3909667149959</v>
      </c>
      <c r="F1502" s="79"/>
    </row>
    <row r="1503" customFormat="false" ht="15" hidden="false" customHeight="false" outlineLevel="0" collapsed="false">
      <c r="A1503" s="76" t="n">
        <v>1492</v>
      </c>
      <c r="B1503" s="77" t="n">
        <v>-0.589874</v>
      </c>
      <c r="C1503" s="78" t="n">
        <f aca="false">05_Unit_Economics!$B$15*EXP((01_Inputs!$C$20-01_Inputs!$C$21^2/2)*01_Inputs!$C$22+01_Inputs!$C$21*SQRT(01_Inputs!$C$22)*B1503)</f>
        <v>44.0247259879419</v>
      </c>
      <c r="D1503" s="78" t="n">
        <f aca="false">MAX(C1503-05_Unit_Economics!$B$21,0)</f>
        <v>6.11712051343845</v>
      </c>
      <c r="E1503" s="78" t="n">
        <f aca="false">D1503*EXP(-01_Inputs!$C$20*01_Inputs!$C$22)</f>
        <v>5.85380268367448</v>
      </c>
      <c r="F1503" s="80" t="n">
        <f aca="false">AVERAGE(E1502:E1503)</f>
        <v>16.6223846993352</v>
      </c>
    </row>
    <row r="1504" customFormat="false" ht="15" hidden="false" customHeight="false" outlineLevel="0" collapsed="false">
      <c r="A1504" s="76" t="n">
        <v>1493</v>
      </c>
      <c r="B1504" s="77" t="n">
        <v>-0.12048</v>
      </c>
      <c r="C1504" s="78" t="n">
        <f aca="false">05_Unit_Economics!$B$15*EXP((01_Inputs!$C$20-01_Inputs!$C$21^2/2)*01_Inputs!$C$22+01_Inputs!$C$21*SQRT(01_Inputs!$C$22)*B1504)</f>
        <v>51.8854980618248</v>
      </c>
      <c r="D1504" s="78" t="n">
        <f aca="false">MAX(C1504-05_Unit_Economics!$B$21,0)</f>
        <v>13.9778925873213</v>
      </c>
      <c r="E1504" s="78" t="n">
        <f aca="false">D1504*EXP(-01_Inputs!$C$20*01_Inputs!$C$22)</f>
        <v>13.3761996285703</v>
      </c>
      <c r="F1504" s="79"/>
    </row>
    <row r="1505" customFormat="false" ht="15" hidden="false" customHeight="false" outlineLevel="0" collapsed="false">
      <c r="A1505" s="76" t="n">
        <v>1494</v>
      </c>
      <c r="B1505" s="77" t="n">
        <v>0.12048</v>
      </c>
      <c r="C1505" s="78" t="n">
        <f aca="false">05_Unit_Economics!$B$15*EXP((01_Inputs!$C$20-01_Inputs!$C$21^2/2)*01_Inputs!$C$22+01_Inputs!$C$21*SQRT(01_Inputs!$C$22)*B1505)</f>
        <v>56.4511312556078</v>
      </c>
      <c r="D1505" s="78" t="n">
        <f aca="false">MAX(C1505-05_Unit_Economics!$B$21,0)</f>
        <v>18.5435257811043</v>
      </c>
      <c r="E1505" s="78" t="n">
        <f aca="false">D1505*EXP(-01_Inputs!$C$20*01_Inputs!$C$22)</f>
        <v>17.7453003817312</v>
      </c>
      <c r="F1505" s="80" t="n">
        <f aca="false">AVERAGE(E1504:E1505)</f>
        <v>15.5607500051507</v>
      </c>
    </row>
    <row r="1506" customFormat="false" ht="15" hidden="false" customHeight="false" outlineLevel="0" collapsed="false">
      <c r="A1506" s="76" t="n">
        <v>1495</v>
      </c>
      <c r="B1506" s="77" t="n">
        <v>-0.324692</v>
      </c>
      <c r="C1506" s="78" t="n">
        <f aca="false">05_Unit_Economics!$B$15*EXP((01_Inputs!$C$20-01_Inputs!$C$21^2/2)*01_Inputs!$C$22+01_Inputs!$C$21*SQRT(01_Inputs!$C$22)*B1506)</f>
        <v>48.3064518470947</v>
      </c>
      <c r="D1506" s="78" t="n">
        <f aca="false">MAX(C1506-05_Unit_Economics!$B$21,0)</f>
        <v>10.3988463725912</v>
      </c>
      <c r="E1506" s="78" t="n">
        <f aca="false">D1506*EXP(-01_Inputs!$C$20*01_Inputs!$C$22)</f>
        <v>9.95121718940543</v>
      </c>
      <c r="F1506" s="79"/>
    </row>
    <row r="1507" customFormat="false" ht="15" hidden="false" customHeight="false" outlineLevel="0" collapsed="false">
      <c r="A1507" s="76" t="n">
        <v>1496</v>
      </c>
      <c r="B1507" s="77" t="n">
        <v>0.324692</v>
      </c>
      <c r="C1507" s="78" t="n">
        <f aca="false">05_Unit_Economics!$B$15*EXP((01_Inputs!$C$20-01_Inputs!$C$21^2/2)*01_Inputs!$C$22+01_Inputs!$C$21*SQRT(01_Inputs!$C$22)*B1507)</f>
        <v>60.6336203416855</v>
      </c>
      <c r="D1507" s="78" t="n">
        <f aca="false">MAX(C1507-05_Unit_Economics!$B$21,0)</f>
        <v>22.726014867182</v>
      </c>
      <c r="E1507" s="78" t="n">
        <f aca="false">D1507*EXP(-01_Inputs!$C$20*01_Inputs!$C$22)</f>
        <v>21.7477498647411</v>
      </c>
      <c r="F1507" s="80" t="n">
        <f aca="false">AVERAGE(E1506:E1507)</f>
        <v>15.8494835270733</v>
      </c>
    </row>
    <row r="1508" customFormat="false" ht="15" hidden="false" customHeight="false" outlineLevel="0" collapsed="false">
      <c r="A1508" s="76" t="n">
        <v>1497</v>
      </c>
      <c r="B1508" s="77" t="n">
        <v>0.468939</v>
      </c>
      <c r="C1508" s="78" t="n">
        <f aca="false">05_Unit_Economics!$B$15*EXP((01_Inputs!$C$20-01_Inputs!$C$21^2/2)*01_Inputs!$C$22+01_Inputs!$C$21*SQRT(01_Inputs!$C$22)*B1508)</f>
        <v>63.773387553987</v>
      </c>
      <c r="D1508" s="78" t="n">
        <f aca="false">MAX(C1508-05_Unit_Economics!$B$21,0)</f>
        <v>25.8657820794836</v>
      </c>
      <c r="E1508" s="78" t="n">
        <f aca="false">D1508*EXP(-01_Inputs!$C$20*01_Inputs!$C$22)</f>
        <v>24.7523625240972</v>
      </c>
      <c r="F1508" s="79"/>
    </row>
    <row r="1509" customFormat="false" ht="15" hidden="false" customHeight="false" outlineLevel="0" collapsed="false">
      <c r="A1509" s="76" t="n">
        <v>1498</v>
      </c>
      <c r="B1509" s="77" t="n">
        <v>-0.468939</v>
      </c>
      <c r="C1509" s="78" t="n">
        <f aca="false">05_Unit_Economics!$B$15*EXP((01_Inputs!$C$20-01_Inputs!$C$21^2/2)*01_Inputs!$C$22+01_Inputs!$C$21*SQRT(01_Inputs!$C$22)*B1509)</f>
        <v>45.9281711963493</v>
      </c>
      <c r="D1509" s="78" t="n">
        <f aca="false">MAX(C1509-05_Unit_Economics!$B$21,0)</f>
        <v>8.02056572184588</v>
      </c>
      <c r="E1509" s="78" t="n">
        <f aca="false">D1509*EXP(-01_Inputs!$C$20*01_Inputs!$C$22)</f>
        <v>7.67531210869308</v>
      </c>
      <c r="F1509" s="80" t="n">
        <f aca="false">AVERAGE(E1508:E1509)</f>
        <v>16.2138373163951</v>
      </c>
    </row>
    <row r="1510" customFormat="false" ht="15" hidden="false" customHeight="false" outlineLevel="0" collapsed="false">
      <c r="A1510" s="76" t="n">
        <v>1499</v>
      </c>
      <c r="B1510" s="77" t="n">
        <v>-2.038637</v>
      </c>
      <c r="C1510" s="78" t="n">
        <f aca="false">05_Unit_Economics!$B$15*EXP((01_Inputs!$C$20-01_Inputs!$C$21^2/2)*01_Inputs!$C$22+01_Inputs!$C$21*SQRT(01_Inputs!$C$22)*B1510)</f>
        <v>26.514304514398</v>
      </c>
      <c r="D1510" s="78" t="n">
        <f aca="false">MAX(C1510-05_Unit_Economics!$B$21,0)</f>
        <v>0</v>
      </c>
      <c r="E1510" s="78" t="n">
        <f aca="false">D1510*EXP(-01_Inputs!$C$20*01_Inputs!$C$22)</f>
        <v>0</v>
      </c>
      <c r="F1510" s="79"/>
    </row>
    <row r="1511" customFormat="false" ht="15" hidden="false" customHeight="false" outlineLevel="0" collapsed="false">
      <c r="A1511" s="76" t="n">
        <v>1500</v>
      </c>
      <c r="B1511" s="77" t="n">
        <v>2.038637</v>
      </c>
      <c r="C1511" s="78" t="n">
        <f aca="false">05_Unit_Economics!$B$15*EXP((01_Inputs!$C$20-01_Inputs!$C$21^2/2)*01_Inputs!$C$22+01_Inputs!$C$21*SQRT(01_Inputs!$C$22)*B1511)</f>
        <v>110.468485407947</v>
      </c>
      <c r="D1511" s="78" t="n">
        <f aca="false">MAX(C1511-05_Unit_Economics!$B$21,0)</f>
        <v>72.5608799334439</v>
      </c>
      <c r="E1511" s="78" t="n">
        <f aca="false">D1511*EXP(-01_Inputs!$C$20*01_Inputs!$C$22)</f>
        <v>69.4374212100357</v>
      </c>
      <c r="F1511" s="80" t="n">
        <f aca="false">AVERAGE(E1510:E1511)</f>
        <v>34.7187106050179</v>
      </c>
    </row>
    <row r="1512" customFormat="false" ht="15" hidden="false" customHeight="false" outlineLevel="0" collapsed="false">
      <c r="A1512" s="76" t="n">
        <v>1501</v>
      </c>
      <c r="B1512" s="77" t="n">
        <v>0.287906</v>
      </c>
      <c r="C1512" s="78" t="n">
        <f aca="false">05_Unit_Economics!$B$15*EXP((01_Inputs!$C$20-01_Inputs!$C$21^2/2)*01_Inputs!$C$22+01_Inputs!$C$21*SQRT(01_Inputs!$C$22)*B1512)</f>
        <v>59.8579604805122</v>
      </c>
      <c r="D1512" s="78" t="n">
        <f aca="false">MAX(C1512-05_Unit_Economics!$B$21,0)</f>
        <v>21.9503550060087</v>
      </c>
      <c r="E1512" s="78" t="n">
        <f aca="false">D1512*EXP(-01_Inputs!$C$20*01_Inputs!$C$22)</f>
        <v>21.0054790909383</v>
      </c>
      <c r="F1512" s="79"/>
    </row>
    <row r="1513" customFormat="false" ht="15" hidden="false" customHeight="false" outlineLevel="0" collapsed="false">
      <c r="A1513" s="76" t="n">
        <v>1502</v>
      </c>
      <c r="B1513" s="77" t="n">
        <v>-0.287906</v>
      </c>
      <c r="C1513" s="78" t="n">
        <f aca="false">05_Unit_Economics!$B$15*EXP((01_Inputs!$C$20-01_Inputs!$C$21^2/2)*01_Inputs!$C$22+01_Inputs!$C$21*SQRT(01_Inputs!$C$22)*B1513)</f>
        <v>48.9324233207752</v>
      </c>
      <c r="D1513" s="78" t="n">
        <f aca="false">MAX(C1513-05_Unit_Economics!$B$21,0)</f>
        <v>11.0248178462717</v>
      </c>
      <c r="E1513" s="78" t="n">
        <f aca="false">D1513*EXP(-01_Inputs!$C$20*01_Inputs!$C$22)</f>
        <v>10.5502430684092</v>
      </c>
      <c r="F1513" s="80" t="n">
        <f aca="false">AVERAGE(E1512:E1513)</f>
        <v>15.7778610796738</v>
      </c>
    </row>
    <row r="1514" customFormat="false" ht="15" hidden="false" customHeight="false" outlineLevel="0" collapsed="false">
      <c r="A1514" s="76" t="n">
        <v>1503</v>
      </c>
      <c r="B1514" s="77" t="n">
        <v>1.082036</v>
      </c>
      <c r="C1514" s="78" t="n">
        <f aca="false">05_Unit_Economics!$B$15*EXP((01_Inputs!$C$20-01_Inputs!$C$21^2/2)*01_Inputs!$C$22+01_Inputs!$C$21*SQRT(01_Inputs!$C$22)*B1514)</f>
        <v>79.0373029572103</v>
      </c>
      <c r="D1514" s="78" t="n">
        <f aca="false">MAX(C1514-05_Unit_Economics!$B$21,0)</f>
        <v>41.1296974827068</v>
      </c>
      <c r="E1514" s="78" t="n">
        <f aca="false">D1514*EXP(-01_Inputs!$C$20*01_Inputs!$C$22)</f>
        <v>39.3592267757455</v>
      </c>
      <c r="F1514" s="79"/>
    </row>
    <row r="1515" customFormat="false" ht="15" hidden="false" customHeight="false" outlineLevel="0" collapsed="false">
      <c r="A1515" s="76" t="n">
        <v>1504</v>
      </c>
      <c r="B1515" s="77" t="n">
        <v>-1.082036</v>
      </c>
      <c r="C1515" s="78" t="n">
        <f aca="false">05_Unit_Economics!$B$15*EXP((01_Inputs!$C$20-01_Inputs!$C$21^2/2)*01_Inputs!$C$22+01_Inputs!$C$21*SQRT(01_Inputs!$C$22)*B1515)</f>
        <v>37.0583882769427</v>
      </c>
      <c r="D1515" s="78" t="n">
        <f aca="false">MAX(C1515-05_Unit_Economics!$B$21,0)</f>
        <v>0</v>
      </c>
      <c r="E1515" s="78" t="n">
        <f aca="false">D1515*EXP(-01_Inputs!$C$20*01_Inputs!$C$22)</f>
        <v>0</v>
      </c>
      <c r="F1515" s="80" t="n">
        <f aca="false">AVERAGE(E1514:E1515)</f>
        <v>19.6796133878727</v>
      </c>
    </row>
    <row r="1516" customFormat="false" ht="15" hidden="false" customHeight="false" outlineLevel="0" collapsed="false">
      <c r="A1516" s="76" t="n">
        <v>1505</v>
      </c>
      <c r="B1516" s="77" t="n">
        <v>-0.1427</v>
      </c>
      <c r="C1516" s="78" t="n">
        <f aca="false">05_Unit_Economics!$B$15*EXP((01_Inputs!$C$20-01_Inputs!$C$21^2/2)*01_Inputs!$C$22+01_Inputs!$C$21*SQRT(01_Inputs!$C$22)*B1516)</f>
        <v>51.4835495460778</v>
      </c>
      <c r="D1516" s="78" t="n">
        <f aca="false">MAX(C1516-05_Unit_Economics!$B$21,0)</f>
        <v>13.5759440715744</v>
      </c>
      <c r="E1516" s="78" t="n">
        <f aca="false">D1516*EXP(-01_Inputs!$C$20*01_Inputs!$C$22)</f>
        <v>12.9915534057258</v>
      </c>
      <c r="F1516" s="79"/>
    </row>
    <row r="1517" customFormat="false" ht="15" hidden="false" customHeight="false" outlineLevel="0" collapsed="false">
      <c r="A1517" s="76" t="n">
        <v>1506</v>
      </c>
      <c r="B1517" s="77" t="n">
        <v>0.1427</v>
      </c>
      <c r="C1517" s="78" t="n">
        <f aca="false">05_Unit_Economics!$B$15*EXP((01_Inputs!$C$20-01_Inputs!$C$21^2/2)*01_Inputs!$C$22+01_Inputs!$C$21*SQRT(01_Inputs!$C$22)*B1517)</f>
        <v>56.891863268464</v>
      </c>
      <c r="D1517" s="78" t="n">
        <f aca="false">MAX(C1517-05_Unit_Economics!$B$21,0)</f>
        <v>18.9842577939605</v>
      </c>
      <c r="E1517" s="78" t="n">
        <f aca="false">D1517*EXP(-01_Inputs!$C$20*01_Inputs!$C$22)</f>
        <v>18.1670606256191</v>
      </c>
      <c r="F1517" s="80" t="n">
        <f aca="false">AVERAGE(E1516:E1517)</f>
        <v>15.5793070156724</v>
      </c>
    </row>
    <row r="1518" customFormat="false" ht="15" hidden="false" customHeight="false" outlineLevel="0" collapsed="false">
      <c r="A1518" s="76" t="n">
        <v>1507</v>
      </c>
      <c r="B1518" s="77" t="n">
        <v>1.156735</v>
      </c>
      <c r="C1518" s="78" t="n">
        <f aca="false">05_Unit_Economics!$B$15*EXP((01_Inputs!$C$20-01_Inputs!$C$21^2/2)*01_Inputs!$C$22+01_Inputs!$C$21*SQRT(01_Inputs!$C$22)*B1518)</f>
        <v>81.1309552258236</v>
      </c>
      <c r="D1518" s="78" t="n">
        <f aca="false">MAX(C1518-05_Unit_Economics!$B$21,0)</f>
        <v>43.2233497513201</v>
      </c>
      <c r="E1518" s="78" t="n">
        <f aca="false">D1518*EXP(-01_Inputs!$C$20*01_Inputs!$C$22)</f>
        <v>41.3627555997674</v>
      </c>
      <c r="F1518" s="79"/>
    </row>
    <row r="1519" customFormat="false" ht="15" hidden="false" customHeight="false" outlineLevel="0" collapsed="false">
      <c r="A1519" s="76" t="n">
        <v>1508</v>
      </c>
      <c r="B1519" s="77" t="n">
        <v>-1.156735</v>
      </c>
      <c r="C1519" s="78" t="n">
        <f aca="false">05_Unit_Economics!$B$15*EXP((01_Inputs!$C$20-01_Inputs!$C$21^2/2)*01_Inputs!$C$22+01_Inputs!$C$21*SQRT(01_Inputs!$C$22)*B1519)</f>
        <v>36.102065521082</v>
      </c>
      <c r="D1519" s="78" t="n">
        <f aca="false">MAX(C1519-05_Unit_Economics!$B$21,0)</f>
        <v>0</v>
      </c>
      <c r="E1519" s="78" t="n">
        <f aca="false">D1519*EXP(-01_Inputs!$C$20*01_Inputs!$C$22)</f>
        <v>0</v>
      </c>
      <c r="F1519" s="80" t="n">
        <f aca="false">AVERAGE(E1518:E1519)</f>
        <v>20.6813777998837</v>
      </c>
    </row>
    <row r="1520" customFormat="false" ht="15" hidden="false" customHeight="false" outlineLevel="0" collapsed="false">
      <c r="A1520" s="76" t="n">
        <v>1509</v>
      </c>
      <c r="B1520" s="77" t="n">
        <v>-0.069196</v>
      </c>
      <c r="C1520" s="78" t="n">
        <f aca="false">05_Unit_Economics!$B$15*EXP((01_Inputs!$C$20-01_Inputs!$C$21^2/2)*01_Inputs!$C$22+01_Inputs!$C$21*SQRT(01_Inputs!$C$22)*B1520)</f>
        <v>52.8252201143297</v>
      </c>
      <c r="D1520" s="78" t="n">
        <f aca="false">MAX(C1520-05_Unit_Economics!$B$21,0)</f>
        <v>14.9176146398262</v>
      </c>
      <c r="E1520" s="78" t="n">
        <f aca="false">D1520*EXP(-01_Inputs!$C$20*01_Inputs!$C$22)</f>
        <v>14.2754703656395</v>
      </c>
      <c r="F1520" s="79"/>
    </row>
    <row r="1521" customFormat="false" ht="15" hidden="false" customHeight="false" outlineLevel="0" collapsed="false">
      <c r="A1521" s="76" t="n">
        <v>1510</v>
      </c>
      <c r="B1521" s="77" t="n">
        <v>0.069196</v>
      </c>
      <c r="C1521" s="78" t="n">
        <f aca="false">05_Unit_Economics!$B$15*EXP((01_Inputs!$C$20-01_Inputs!$C$21^2/2)*01_Inputs!$C$22+01_Inputs!$C$21*SQRT(01_Inputs!$C$22)*B1521)</f>
        <v>55.4469068943097</v>
      </c>
      <c r="D1521" s="78" t="n">
        <f aca="false">MAX(C1521-05_Unit_Economics!$B$21,0)</f>
        <v>17.5393014198062</v>
      </c>
      <c r="E1521" s="78" t="n">
        <f aca="false">D1521*EXP(-01_Inputs!$C$20*01_Inputs!$C$22)</f>
        <v>16.7843039049962</v>
      </c>
      <c r="F1521" s="80" t="n">
        <f aca="false">AVERAGE(E1520:E1521)</f>
        <v>15.5298871353179</v>
      </c>
    </row>
    <row r="1522" customFormat="false" ht="15" hidden="false" customHeight="false" outlineLevel="0" collapsed="false">
      <c r="A1522" s="76" t="n">
        <v>1511</v>
      </c>
      <c r="B1522" s="77" t="n">
        <v>-0.562282</v>
      </c>
      <c r="C1522" s="78" t="n">
        <f aca="false">05_Unit_Economics!$B$15*EXP((01_Inputs!$C$20-01_Inputs!$C$21^2/2)*01_Inputs!$C$22+01_Inputs!$C$21*SQRT(01_Inputs!$C$22)*B1522)</f>
        <v>44.4519411024324</v>
      </c>
      <c r="D1522" s="78" t="n">
        <f aca="false">MAX(C1522-05_Unit_Economics!$B$21,0)</f>
        <v>6.54433562792891</v>
      </c>
      <c r="E1522" s="78" t="n">
        <f aca="false">D1522*EXP(-01_Inputs!$C$20*01_Inputs!$C$22)</f>
        <v>6.26262787817843</v>
      </c>
      <c r="F1522" s="79"/>
    </row>
    <row r="1523" customFormat="false" ht="15" hidden="false" customHeight="false" outlineLevel="0" collapsed="false">
      <c r="A1523" s="76" t="n">
        <v>1512</v>
      </c>
      <c r="B1523" s="77" t="n">
        <v>0.562282</v>
      </c>
      <c r="C1523" s="78" t="n">
        <f aca="false">05_Unit_Economics!$B$15*EXP((01_Inputs!$C$20-01_Inputs!$C$21^2/2)*01_Inputs!$C$22+01_Inputs!$C$21*SQRT(01_Inputs!$C$22)*B1523)</f>
        <v>65.8912746824993</v>
      </c>
      <c r="D1523" s="78" t="n">
        <f aca="false">MAX(C1523-05_Unit_Economics!$B$21,0)</f>
        <v>27.9836692079958</v>
      </c>
      <c r="E1523" s="78" t="n">
        <f aca="false">D1523*EXP(-01_Inputs!$C$20*01_Inputs!$C$22)</f>
        <v>26.7790829932082</v>
      </c>
      <c r="F1523" s="80" t="n">
        <f aca="false">AVERAGE(E1522:E1523)</f>
        <v>16.5208554356933</v>
      </c>
    </row>
    <row r="1524" customFormat="false" ht="15" hidden="false" customHeight="false" outlineLevel="0" collapsed="false">
      <c r="A1524" s="76" t="n">
        <v>1513</v>
      </c>
      <c r="B1524" s="77" t="n">
        <v>0.942077</v>
      </c>
      <c r="C1524" s="78" t="n">
        <f aca="false">05_Unit_Economics!$B$15*EXP((01_Inputs!$C$20-01_Inputs!$C$21^2/2)*01_Inputs!$C$22+01_Inputs!$C$21*SQRT(01_Inputs!$C$22)*B1524)</f>
        <v>75.2589083757059</v>
      </c>
      <c r="D1524" s="78" t="n">
        <f aca="false">MAX(C1524-05_Unit_Economics!$B$21,0)</f>
        <v>37.3513029012025</v>
      </c>
      <c r="E1524" s="78" t="n">
        <f aca="false">D1524*EXP(-01_Inputs!$C$20*01_Inputs!$C$22)</f>
        <v>35.7434771280802</v>
      </c>
      <c r="F1524" s="79"/>
    </row>
    <row r="1525" customFormat="false" ht="15" hidden="false" customHeight="false" outlineLevel="0" collapsed="false">
      <c r="A1525" s="76" t="n">
        <v>1514</v>
      </c>
      <c r="B1525" s="77" t="n">
        <v>-0.942077</v>
      </c>
      <c r="C1525" s="78" t="n">
        <f aca="false">05_Unit_Economics!$B$15*EXP((01_Inputs!$C$20-01_Inputs!$C$21^2/2)*01_Inputs!$C$22+01_Inputs!$C$21*SQRT(01_Inputs!$C$22)*B1525)</f>
        <v>38.9189150436329</v>
      </c>
      <c r="D1525" s="78" t="n">
        <f aca="false">MAX(C1525-05_Unit_Economics!$B$21,0)</f>
        <v>1.01130956912943</v>
      </c>
      <c r="E1525" s="78" t="n">
        <f aca="false">D1525*EXP(-01_Inputs!$C$20*01_Inputs!$C$22)</f>
        <v>0.96777669440877</v>
      </c>
      <c r="F1525" s="80" t="n">
        <f aca="false">AVERAGE(E1524:E1525)</f>
        <v>18.3556269112445</v>
      </c>
    </row>
    <row r="1526" customFormat="false" ht="15" hidden="false" customHeight="false" outlineLevel="0" collapsed="false">
      <c r="A1526" s="76" t="n">
        <v>1515</v>
      </c>
      <c r="B1526" s="77" t="n">
        <v>-1.328275</v>
      </c>
      <c r="C1526" s="78" t="n">
        <f aca="false">05_Unit_Economics!$B$15*EXP((01_Inputs!$C$20-01_Inputs!$C$21^2/2)*01_Inputs!$C$22+01_Inputs!$C$21*SQRT(01_Inputs!$C$22)*B1526)</f>
        <v>33.9983189365952</v>
      </c>
      <c r="D1526" s="78" t="n">
        <f aca="false">MAX(C1526-05_Unit_Economics!$B$21,0)</f>
        <v>0</v>
      </c>
      <c r="E1526" s="78" t="n">
        <f aca="false">D1526*EXP(-01_Inputs!$C$20*01_Inputs!$C$22)</f>
        <v>0</v>
      </c>
      <c r="F1526" s="79"/>
    </row>
    <row r="1527" customFormat="false" ht="15" hidden="false" customHeight="false" outlineLevel="0" collapsed="false">
      <c r="A1527" s="76" t="n">
        <v>1516</v>
      </c>
      <c r="B1527" s="77" t="n">
        <v>1.328275</v>
      </c>
      <c r="C1527" s="78" t="n">
        <f aca="false">05_Unit_Economics!$B$15*EXP((01_Inputs!$C$20-01_Inputs!$C$21^2/2)*01_Inputs!$C$22+01_Inputs!$C$21*SQRT(01_Inputs!$C$22)*B1527)</f>
        <v>86.1511731451503</v>
      </c>
      <c r="D1527" s="78" t="n">
        <f aca="false">MAX(C1527-05_Unit_Economics!$B$21,0)</f>
        <v>48.2435676706468</v>
      </c>
      <c r="E1527" s="78" t="n">
        <f aca="false">D1527*EXP(-01_Inputs!$C$20*01_Inputs!$C$22)</f>
        <v>46.1668730050442</v>
      </c>
      <c r="F1527" s="80" t="n">
        <f aca="false">AVERAGE(E1526:E1527)</f>
        <v>23.0834365025221</v>
      </c>
    </row>
    <row r="1528" customFormat="false" ht="15" hidden="false" customHeight="false" outlineLevel="0" collapsed="false">
      <c r="A1528" s="76" t="n">
        <v>1517</v>
      </c>
      <c r="B1528" s="77" t="n">
        <v>-1.451925</v>
      </c>
      <c r="C1528" s="78" t="n">
        <f aca="false">05_Unit_Economics!$B$15*EXP((01_Inputs!$C$20-01_Inputs!$C$21^2/2)*01_Inputs!$C$22+01_Inputs!$C$21*SQRT(01_Inputs!$C$22)*B1528)</f>
        <v>32.5583407592216</v>
      </c>
      <c r="D1528" s="78" t="n">
        <f aca="false">MAX(C1528-05_Unit_Economics!$B$21,0)</f>
        <v>0</v>
      </c>
      <c r="E1528" s="78" t="n">
        <f aca="false">D1528*EXP(-01_Inputs!$C$20*01_Inputs!$C$22)</f>
        <v>0</v>
      </c>
      <c r="F1528" s="79"/>
    </row>
    <row r="1529" customFormat="false" ht="15" hidden="false" customHeight="false" outlineLevel="0" collapsed="false">
      <c r="A1529" s="76" t="n">
        <v>1518</v>
      </c>
      <c r="B1529" s="77" t="n">
        <v>1.451925</v>
      </c>
      <c r="C1529" s="78" t="n">
        <f aca="false">05_Unit_Economics!$B$15*EXP((01_Inputs!$C$20-01_Inputs!$C$21^2/2)*01_Inputs!$C$22+01_Inputs!$C$21*SQRT(01_Inputs!$C$22)*B1529)</f>
        <v>89.9614351668416</v>
      </c>
      <c r="D1529" s="78" t="n">
        <f aca="false">MAX(C1529-05_Unit_Economics!$B$21,0)</f>
        <v>52.0538296923381</v>
      </c>
      <c r="E1529" s="78" t="n">
        <f aca="false">D1529*EXP(-01_Inputs!$C$20*01_Inputs!$C$22)</f>
        <v>49.8131183257109</v>
      </c>
      <c r="F1529" s="80" t="n">
        <f aca="false">AVERAGE(E1528:E1529)</f>
        <v>24.9065591628555</v>
      </c>
    </row>
    <row r="1530" customFormat="false" ht="15" hidden="false" customHeight="false" outlineLevel="0" collapsed="false">
      <c r="A1530" s="76" t="n">
        <v>1519</v>
      </c>
      <c r="B1530" s="77" t="n">
        <v>0.568013</v>
      </c>
      <c r="C1530" s="78" t="n">
        <f aca="false">05_Unit_Economics!$B$15*EXP((01_Inputs!$C$20-01_Inputs!$C$21^2/2)*01_Inputs!$C$22+01_Inputs!$C$21*SQRT(01_Inputs!$C$22)*B1530)</f>
        <v>66.0235753390986</v>
      </c>
      <c r="D1530" s="78" t="n">
        <f aca="false">MAX(C1530-05_Unit_Economics!$B$21,0)</f>
        <v>28.1159698645952</v>
      </c>
      <c r="E1530" s="78" t="n">
        <f aca="false">D1530*EXP(-01_Inputs!$C$20*01_Inputs!$C$22)</f>
        <v>26.9056886301173</v>
      </c>
      <c r="F1530" s="79"/>
    </row>
    <row r="1531" customFormat="false" ht="15" hidden="false" customHeight="false" outlineLevel="0" collapsed="false">
      <c r="A1531" s="76" t="n">
        <v>1520</v>
      </c>
      <c r="B1531" s="77" t="n">
        <v>-0.568013</v>
      </c>
      <c r="C1531" s="78" t="n">
        <f aca="false">05_Unit_Economics!$B$15*EXP((01_Inputs!$C$20-01_Inputs!$C$21^2/2)*01_Inputs!$C$22+01_Inputs!$C$21*SQRT(01_Inputs!$C$22)*B1531)</f>
        <v>44.3628665413417</v>
      </c>
      <c r="D1531" s="78" t="n">
        <f aca="false">MAX(C1531-05_Unit_Economics!$B$21,0)</f>
        <v>6.45526106683824</v>
      </c>
      <c r="E1531" s="78" t="n">
        <f aca="false">D1531*EXP(-01_Inputs!$C$20*01_Inputs!$C$22)</f>
        <v>6.17738762443254</v>
      </c>
      <c r="F1531" s="80" t="n">
        <f aca="false">AVERAGE(E1530:E1531)</f>
        <v>16.5415381272749</v>
      </c>
    </row>
    <row r="1532" customFormat="false" ht="15" hidden="false" customHeight="false" outlineLevel="0" collapsed="false">
      <c r="A1532" s="76" t="n">
        <v>1521</v>
      </c>
      <c r="B1532" s="77" t="n">
        <v>-0.779502</v>
      </c>
      <c r="C1532" s="78" t="n">
        <f aca="false">05_Unit_Economics!$B$15*EXP((01_Inputs!$C$20-01_Inputs!$C$21^2/2)*01_Inputs!$C$22+01_Inputs!$C$21*SQRT(01_Inputs!$C$22)*B1532)</f>
        <v>41.1976670747298</v>
      </c>
      <c r="D1532" s="78" t="n">
        <f aca="false">MAX(C1532-05_Unit_Economics!$B$21,0)</f>
        <v>3.29006160022629</v>
      </c>
      <c r="E1532" s="78" t="n">
        <f aca="false">D1532*EXP(-01_Inputs!$C$20*01_Inputs!$C$22)</f>
        <v>3.14843746866665</v>
      </c>
      <c r="F1532" s="79"/>
    </row>
    <row r="1533" customFormat="false" ht="15" hidden="false" customHeight="false" outlineLevel="0" collapsed="false">
      <c r="A1533" s="76" t="n">
        <v>1522</v>
      </c>
      <c r="B1533" s="77" t="n">
        <v>0.779502</v>
      </c>
      <c r="C1533" s="78" t="n">
        <f aca="false">05_Unit_Economics!$B$15*EXP((01_Inputs!$C$20-01_Inputs!$C$21^2/2)*01_Inputs!$C$22+01_Inputs!$C$21*SQRT(01_Inputs!$C$22)*B1533)</f>
        <v>71.0961389157705</v>
      </c>
      <c r="D1533" s="78" t="n">
        <f aca="false">MAX(C1533-05_Unit_Economics!$B$21,0)</f>
        <v>33.188533441267</v>
      </c>
      <c r="E1533" s="78" t="n">
        <f aca="false">D1533*EXP(-01_Inputs!$C$20*01_Inputs!$C$22)</f>
        <v>31.759898419347</v>
      </c>
      <c r="F1533" s="80" t="n">
        <f aca="false">AVERAGE(E1532:E1533)</f>
        <v>17.4541679440068</v>
      </c>
    </row>
    <row r="1534" customFormat="false" ht="15" hidden="false" customHeight="false" outlineLevel="0" collapsed="false">
      <c r="A1534" s="76" t="n">
        <v>1523</v>
      </c>
      <c r="B1534" s="77" t="n">
        <v>0.612858</v>
      </c>
      <c r="C1534" s="78" t="n">
        <f aca="false">05_Unit_Economics!$B$15*EXP((01_Inputs!$C$20-01_Inputs!$C$21^2/2)*01_Inputs!$C$22+01_Inputs!$C$21*SQRT(01_Inputs!$C$22)*B1534)</f>
        <v>67.0680402593855</v>
      </c>
      <c r="D1534" s="78" t="n">
        <f aca="false">MAX(C1534-05_Unit_Economics!$B$21,0)</f>
        <v>29.160434784882</v>
      </c>
      <c r="E1534" s="78" t="n">
        <f aca="false">D1534*EXP(-01_Inputs!$C$20*01_Inputs!$C$22)</f>
        <v>27.9051934690276</v>
      </c>
      <c r="F1534" s="79"/>
    </row>
    <row r="1535" customFormat="false" ht="15" hidden="false" customHeight="false" outlineLevel="0" collapsed="false">
      <c r="A1535" s="76" t="n">
        <v>1524</v>
      </c>
      <c r="B1535" s="77" t="n">
        <v>-0.612858</v>
      </c>
      <c r="C1535" s="78" t="n">
        <f aca="false">05_Unit_Economics!$B$15*EXP((01_Inputs!$C$20-01_Inputs!$C$21^2/2)*01_Inputs!$C$22+01_Inputs!$C$21*SQRT(01_Inputs!$C$22)*B1535)</f>
        <v>43.6719941424078</v>
      </c>
      <c r="D1535" s="78" t="n">
        <f aca="false">MAX(C1535-05_Unit_Economics!$B$21,0)</f>
        <v>5.76438866790429</v>
      </c>
      <c r="E1535" s="78" t="n">
        <f aca="false">D1535*EXP(-01_Inputs!$C$20*01_Inputs!$C$22)</f>
        <v>5.5162545481638</v>
      </c>
      <c r="F1535" s="80" t="n">
        <f aca="false">AVERAGE(E1534:E1535)</f>
        <v>16.7107240085957</v>
      </c>
    </row>
    <row r="1536" customFormat="false" ht="15" hidden="false" customHeight="false" outlineLevel="0" collapsed="false">
      <c r="A1536" s="76" t="n">
        <v>1525</v>
      </c>
      <c r="B1536" s="77" t="n">
        <v>-0.006274</v>
      </c>
      <c r="C1536" s="78" t="n">
        <f aca="false">05_Unit_Economics!$B$15*EXP((01_Inputs!$C$20-01_Inputs!$C$21^2/2)*01_Inputs!$C$22+01_Inputs!$C$21*SQRT(01_Inputs!$C$22)*B1536)</f>
        <v>54.0014787448107</v>
      </c>
      <c r="D1536" s="78" t="n">
        <f aca="false">MAX(C1536-05_Unit_Economics!$B$21,0)</f>
        <v>16.0938732703072</v>
      </c>
      <c r="E1536" s="78" t="n">
        <f aca="false">D1536*EXP(-01_Inputs!$C$20*01_Inputs!$C$22)</f>
        <v>15.4010957170902</v>
      </c>
      <c r="F1536" s="79"/>
    </row>
    <row r="1537" customFormat="false" ht="15" hidden="false" customHeight="false" outlineLevel="0" collapsed="false">
      <c r="A1537" s="76" t="n">
        <v>1526</v>
      </c>
      <c r="B1537" s="77" t="n">
        <v>0.006274</v>
      </c>
      <c r="C1537" s="78" t="n">
        <f aca="false">05_Unit_Economics!$B$15*EXP((01_Inputs!$C$20-01_Inputs!$C$21^2/2)*01_Inputs!$C$22+01_Inputs!$C$21*SQRT(01_Inputs!$C$22)*B1537)</f>
        <v>54.2391639901549</v>
      </c>
      <c r="D1537" s="78" t="n">
        <f aca="false">MAX(C1537-05_Unit_Economics!$B$21,0)</f>
        <v>16.3315585156515</v>
      </c>
      <c r="E1537" s="78" t="n">
        <f aca="false">D1537*EXP(-01_Inputs!$C$20*01_Inputs!$C$22)</f>
        <v>15.6285495532553</v>
      </c>
      <c r="F1537" s="80" t="n">
        <f aca="false">AVERAGE(E1536:E1537)</f>
        <v>15.5148226351727</v>
      </c>
    </row>
    <row r="1538" customFormat="false" ht="15" hidden="false" customHeight="false" outlineLevel="0" collapsed="false">
      <c r="A1538" s="76" t="n">
        <v>1527</v>
      </c>
      <c r="B1538" s="77" t="n">
        <v>2.217178</v>
      </c>
      <c r="C1538" s="78" t="n">
        <f aca="false">05_Unit_Economics!$B$15*EXP((01_Inputs!$C$20-01_Inputs!$C$21^2/2)*01_Inputs!$C$22+01_Inputs!$C$21*SQRT(01_Inputs!$C$22)*B1538)</f>
        <v>117.591838242062</v>
      </c>
      <c r="D1538" s="78" t="n">
        <f aca="false">MAX(C1538-05_Unit_Economics!$B$21,0)</f>
        <v>79.6842327675588</v>
      </c>
      <c r="E1538" s="78" t="n">
        <f aca="false">D1538*EXP(-01_Inputs!$C$20*01_Inputs!$C$22)</f>
        <v>76.2541418951189</v>
      </c>
      <c r="F1538" s="79"/>
    </row>
    <row r="1539" customFormat="false" ht="15" hidden="false" customHeight="false" outlineLevel="0" collapsed="false">
      <c r="A1539" s="76" t="n">
        <v>1528</v>
      </c>
      <c r="B1539" s="77" t="n">
        <v>-2.217178</v>
      </c>
      <c r="C1539" s="78" t="n">
        <f aca="false">05_Unit_Economics!$B$15*EXP((01_Inputs!$C$20-01_Inputs!$C$21^2/2)*01_Inputs!$C$22+01_Inputs!$C$21*SQRT(01_Inputs!$C$22)*B1539)</f>
        <v>24.9081492826171</v>
      </c>
      <c r="D1539" s="78" t="n">
        <f aca="false">MAX(C1539-05_Unit_Economics!$B$21,0)</f>
        <v>0</v>
      </c>
      <c r="E1539" s="78" t="n">
        <f aca="false">D1539*EXP(-01_Inputs!$C$20*01_Inputs!$C$22)</f>
        <v>0</v>
      </c>
      <c r="F1539" s="80" t="n">
        <f aca="false">AVERAGE(E1538:E1539)</f>
        <v>38.1270709475594</v>
      </c>
    </row>
    <row r="1540" customFormat="false" ht="15" hidden="false" customHeight="false" outlineLevel="0" collapsed="false">
      <c r="A1540" s="76" t="n">
        <v>1529</v>
      </c>
      <c r="B1540" s="77" t="n">
        <v>0.367005</v>
      </c>
      <c r="C1540" s="78" t="n">
        <f aca="false">05_Unit_Economics!$B$15*EXP((01_Inputs!$C$20-01_Inputs!$C$21^2/2)*01_Inputs!$C$22+01_Inputs!$C$21*SQRT(01_Inputs!$C$22)*B1540)</f>
        <v>61.5382590862472</v>
      </c>
      <c r="D1540" s="78" t="n">
        <f aca="false">MAX(C1540-05_Unit_Economics!$B$21,0)</f>
        <v>23.6306536117437</v>
      </c>
      <c r="E1540" s="78" t="n">
        <f aca="false">D1540*EXP(-01_Inputs!$C$20*01_Inputs!$C$22)</f>
        <v>22.6134474914329</v>
      </c>
      <c r="F1540" s="79"/>
    </row>
    <row r="1541" customFormat="false" ht="15" hidden="false" customHeight="false" outlineLevel="0" collapsed="false">
      <c r="A1541" s="76" t="n">
        <v>1530</v>
      </c>
      <c r="B1541" s="77" t="n">
        <v>-0.367005</v>
      </c>
      <c r="C1541" s="78" t="n">
        <f aca="false">05_Unit_Economics!$B$15*EXP((01_Inputs!$C$20-01_Inputs!$C$21^2/2)*01_Inputs!$C$22+01_Inputs!$C$21*SQRT(01_Inputs!$C$22)*B1541)</f>
        <v>47.5963263316501</v>
      </c>
      <c r="D1541" s="78" t="n">
        <f aca="false">MAX(C1541-05_Unit_Economics!$B$21,0)</f>
        <v>9.68872085714661</v>
      </c>
      <c r="E1541" s="78" t="n">
        <f aca="false">D1541*EXP(-01_Inputs!$C$20*01_Inputs!$C$22)</f>
        <v>9.2716597670981</v>
      </c>
      <c r="F1541" s="80" t="n">
        <f aca="false">AVERAGE(E1540:E1541)</f>
        <v>15.9425536292655</v>
      </c>
    </row>
    <row r="1542" customFormat="false" ht="15" hidden="false" customHeight="false" outlineLevel="0" collapsed="false">
      <c r="A1542" s="76" t="n">
        <v>1531</v>
      </c>
      <c r="B1542" s="77" t="n">
        <v>-2.423992</v>
      </c>
      <c r="C1542" s="78" t="n">
        <f aca="false">05_Unit_Economics!$B$15*EXP((01_Inputs!$C$20-01_Inputs!$C$21^2/2)*01_Inputs!$C$22+01_Inputs!$C$21*SQRT(01_Inputs!$C$22)*B1542)</f>
        <v>23.1688830454366</v>
      </c>
      <c r="D1542" s="78" t="n">
        <f aca="false">MAX(C1542-05_Unit_Economics!$B$21,0)</f>
        <v>0</v>
      </c>
      <c r="E1542" s="78" t="n">
        <f aca="false">D1542*EXP(-01_Inputs!$C$20*01_Inputs!$C$22)</f>
        <v>0</v>
      </c>
      <c r="F1542" s="79"/>
    </row>
    <row r="1543" customFormat="false" ht="15" hidden="false" customHeight="false" outlineLevel="0" collapsed="false">
      <c r="A1543" s="76" t="n">
        <v>1532</v>
      </c>
      <c r="B1543" s="77" t="n">
        <v>2.423992</v>
      </c>
      <c r="C1543" s="78" t="n">
        <f aca="false">05_Unit_Economics!$B$15*EXP((01_Inputs!$C$20-01_Inputs!$C$21^2/2)*01_Inputs!$C$22+01_Inputs!$C$21*SQRT(01_Inputs!$C$22)*B1543)</f>
        <v>126.419346828528</v>
      </c>
      <c r="D1543" s="78" t="n">
        <f aca="false">MAX(C1543-05_Unit_Economics!$B$21,0)</f>
        <v>88.5117413540246</v>
      </c>
      <c r="E1543" s="78" t="n">
        <f aca="false">D1543*EXP(-01_Inputs!$C$20*01_Inputs!$C$22)</f>
        <v>84.7016611715646</v>
      </c>
      <c r="F1543" s="80" t="n">
        <f aca="false">AVERAGE(E1542:E1543)</f>
        <v>42.3508305857823</v>
      </c>
    </row>
    <row r="1544" customFormat="false" ht="15" hidden="false" customHeight="false" outlineLevel="0" collapsed="false">
      <c r="A1544" s="76" t="n">
        <v>1533</v>
      </c>
      <c r="B1544" s="77" t="n">
        <v>0.487855</v>
      </c>
      <c r="C1544" s="78" t="n">
        <f aca="false">05_Unit_Economics!$B$15*EXP((01_Inputs!$C$20-01_Inputs!$C$21^2/2)*01_Inputs!$C$22+01_Inputs!$C$21*SQRT(01_Inputs!$C$22)*B1544)</f>
        <v>64.1970064017493</v>
      </c>
      <c r="D1544" s="78" t="n">
        <f aca="false">MAX(C1544-05_Unit_Economics!$B$21,0)</f>
        <v>26.2894009272458</v>
      </c>
      <c r="E1544" s="78" t="n">
        <f aca="false">D1544*EXP(-01_Inputs!$C$20*01_Inputs!$C$22)</f>
        <v>25.1577462569234</v>
      </c>
      <c r="F1544" s="79"/>
    </row>
    <row r="1545" customFormat="false" ht="15" hidden="false" customHeight="false" outlineLevel="0" collapsed="false">
      <c r="A1545" s="76" t="n">
        <v>1534</v>
      </c>
      <c r="B1545" s="77" t="n">
        <v>-0.487855</v>
      </c>
      <c r="C1545" s="78" t="n">
        <f aca="false">05_Unit_Economics!$B$15*EXP((01_Inputs!$C$20-01_Inputs!$C$21^2/2)*01_Inputs!$C$22+01_Inputs!$C$21*SQRT(01_Inputs!$C$22)*B1545)</f>
        <v>45.6251034981414</v>
      </c>
      <c r="D1545" s="78" t="n">
        <f aca="false">MAX(C1545-05_Unit_Economics!$B$21,0)</f>
        <v>7.71749802363788</v>
      </c>
      <c r="E1545" s="78" t="n">
        <f aca="false">D1545*EXP(-01_Inputs!$C$20*01_Inputs!$C$22)</f>
        <v>7.38529027551069</v>
      </c>
      <c r="F1545" s="80" t="n">
        <f aca="false">AVERAGE(E1544:E1545)</f>
        <v>16.2715182662171</v>
      </c>
    </row>
    <row r="1546" customFormat="false" ht="15" hidden="false" customHeight="false" outlineLevel="0" collapsed="false">
      <c r="A1546" s="76" t="n">
        <v>1535</v>
      </c>
      <c r="B1546" s="77" t="n">
        <v>1.310119</v>
      </c>
      <c r="C1546" s="78" t="n">
        <f aca="false">05_Unit_Economics!$B$15*EXP((01_Inputs!$C$20-01_Inputs!$C$21^2/2)*01_Inputs!$C$22+01_Inputs!$C$21*SQRT(01_Inputs!$C$22)*B1546)</f>
        <v>85.6054526543884</v>
      </c>
      <c r="D1546" s="78" t="n">
        <f aca="false">MAX(C1546-05_Unit_Economics!$B$21,0)</f>
        <v>47.6978471798849</v>
      </c>
      <c r="E1546" s="78" t="n">
        <f aca="false">D1546*EXP(-01_Inputs!$C$20*01_Inputs!$C$22)</f>
        <v>45.6446436217355</v>
      </c>
      <c r="F1546" s="79"/>
    </row>
    <row r="1547" customFormat="false" ht="15" hidden="false" customHeight="false" outlineLevel="0" collapsed="false">
      <c r="A1547" s="76" t="n">
        <v>1536</v>
      </c>
      <c r="B1547" s="77" t="n">
        <v>-1.310119</v>
      </c>
      <c r="C1547" s="78" t="n">
        <f aca="false">05_Unit_Economics!$B$15*EXP((01_Inputs!$C$20-01_Inputs!$C$21^2/2)*01_Inputs!$C$22+01_Inputs!$C$21*SQRT(01_Inputs!$C$22)*B1547)</f>
        <v>34.2150525525024</v>
      </c>
      <c r="D1547" s="78" t="n">
        <f aca="false">MAX(C1547-05_Unit_Economics!$B$21,0)</f>
        <v>0</v>
      </c>
      <c r="E1547" s="78" t="n">
        <f aca="false">D1547*EXP(-01_Inputs!$C$20*01_Inputs!$C$22)</f>
        <v>0</v>
      </c>
      <c r="F1547" s="80" t="n">
        <f aca="false">AVERAGE(E1546:E1547)</f>
        <v>22.8223218108677</v>
      </c>
    </row>
    <row r="1548" customFormat="false" ht="15" hidden="false" customHeight="false" outlineLevel="0" collapsed="false">
      <c r="A1548" s="76" t="n">
        <v>1537</v>
      </c>
      <c r="B1548" s="77" t="n">
        <v>-0.880166</v>
      </c>
      <c r="C1548" s="78" t="n">
        <f aca="false">05_Unit_Economics!$B$15*EXP((01_Inputs!$C$20-01_Inputs!$C$21^2/2)*01_Inputs!$C$22+01_Inputs!$C$21*SQRT(01_Inputs!$C$22)*B1548)</f>
        <v>39.7714465062607</v>
      </c>
      <c r="D1548" s="78" t="n">
        <f aca="false">MAX(C1548-05_Unit_Economics!$B$21,0)</f>
        <v>1.8638410317572</v>
      </c>
      <c r="E1548" s="78" t="n">
        <f aca="false">D1548*EXP(-01_Inputs!$C$20*01_Inputs!$C$22)</f>
        <v>1.7836100514407</v>
      </c>
      <c r="F1548" s="79"/>
    </row>
    <row r="1549" customFormat="false" ht="15" hidden="false" customHeight="false" outlineLevel="0" collapsed="false">
      <c r="A1549" s="76" t="n">
        <v>1538</v>
      </c>
      <c r="B1549" s="77" t="n">
        <v>0.880166</v>
      </c>
      <c r="C1549" s="78" t="n">
        <f aca="false">05_Unit_Economics!$B$15*EXP((01_Inputs!$C$20-01_Inputs!$C$21^2/2)*01_Inputs!$C$22+01_Inputs!$C$21*SQRT(01_Inputs!$C$22)*B1549)</f>
        <v>73.6456759471794</v>
      </c>
      <c r="D1549" s="78" t="n">
        <f aca="false">MAX(C1549-05_Unit_Economics!$B$21,0)</f>
        <v>35.7380704726759</v>
      </c>
      <c r="E1549" s="78" t="n">
        <f aca="false">D1549*EXP(-01_Inputs!$C$20*01_Inputs!$C$22)</f>
        <v>34.1996879712778</v>
      </c>
      <c r="F1549" s="80" t="n">
        <f aca="false">AVERAGE(E1548:E1549)</f>
        <v>17.9916490113593</v>
      </c>
    </row>
    <row r="1550" customFormat="false" ht="15" hidden="false" customHeight="false" outlineLevel="0" collapsed="false">
      <c r="A1550" s="76" t="n">
        <v>1539</v>
      </c>
      <c r="B1550" s="77" t="n">
        <v>-0.099676</v>
      </c>
      <c r="C1550" s="78" t="n">
        <f aca="false">05_Unit_Economics!$B$15*EXP((01_Inputs!$C$20-01_Inputs!$C$21^2/2)*01_Inputs!$C$22+01_Inputs!$C$21*SQRT(01_Inputs!$C$22)*B1550)</f>
        <v>52.2646759249641</v>
      </c>
      <c r="D1550" s="78" t="n">
        <f aca="false">MAX(C1550-05_Unit_Economics!$B$21,0)</f>
        <v>14.3570704504607</v>
      </c>
      <c r="E1550" s="78" t="n">
        <f aca="false">D1550*EXP(-01_Inputs!$C$20*01_Inputs!$C$22)</f>
        <v>13.7390553852877</v>
      </c>
      <c r="F1550" s="79"/>
    </row>
    <row r="1551" customFormat="false" ht="15" hidden="false" customHeight="false" outlineLevel="0" collapsed="false">
      <c r="A1551" s="76" t="n">
        <v>1540</v>
      </c>
      <c r="B1551" s="77" t="n">
        <v>0.099676</v>
      </c>
      <c r="C1551" s="78" t="n">
        <f aca="false">05_Unit_Economics!$B$15*EXP((01_Inputs!$C$20-01_Inputs!$C$21^2/2)*01_Inputs!$C$22+01_Inputs!$C$21*SQRT(01_Inputs!$C$22)*B1551)</f>
        <v>56.0415808481388</v>
      </c>
      <c r="D1551" s="78" t="n">
        <f aca="false">MAX(C1551-05_Unit_Economics!$B$21,0)</f>
        <v>18.1339753736354</v>
      </c>
      <c r="E1551" s="78" t="n">
        <f aca="false">D1551*EXP(-01_Inputs!$C$20*01_Inputs!$C$22)</f>
        <v>17.3533794985191</v>
      </c>
      <c r="F1551" s="80" t="n">
        <f aca="false">AVERAGE(E1550:E1551)</f>
        <v>15.5462174419034</v>
      </c>
    </row>
    <row r="1552" customFormat="false" ht="15" hidden="false" customHeight="false" outlineLevel="0" collapsed="false">
      <c r="A1552" s="76" t="n">
        <v>1541</v>
      </c>
      <c r="B1552" s="77" t="n">
        <v>0.232782</v>
      </c>
      <c r="C1552" s="78" t="n">
        <f aca="false">05_Unit_Economics!$B$15*EXP((01_Inputs!$C$20-01_Inputs!$C$21^2/2)*01_Inputs!$C$22+01_Inputs!$C$21*SQRT(01_Inputs!$C$22)*B1552)</f>
        <v>58.714166225644</v>
      </c>
      <c r="D1552" s="78" t="n">
        <f aca="false">MAX(C1552-05_Unit_Economics!$B$21,0)</f>
        <v>20.8065607511406</v>
      </c>
      <c r="E1552" s="78" t="n">
        <f aca="false">D1552*EXP(-01_Inputs!$C$20*01_Inputs!$C$22)</f>
        <v>19.9109206522073</v>
      </c>
      <c r="F1552" s="79"/>
    </row>
    <row r="1553" customFormat="false" ht="15" hidden="false" customHeight="false" outlineLevel="0" collapsed="false">
      <c r="A1553" s="76" t="n">
        <v>1542</v>
      </c>
      <c r="B1553" s="77" t="n">
        <v>-0.232782</v>
      </c>
      <c r="C1553" s="78" t="n">
        <f aca="false">05_Unit_Economics!$B$15*EXP((01_Inputs!$C$20-01_Inputs!$C$21^2/2)*01_Inputs!$C$22+01_Inputs!$C$21*SQRT(01_Inputs!$C$22)*B1553)</f>
        <v>49.8856621772376</v>
      </c>
      <c r="D1553" s="78" t="n">
        <f aca="false">MAX(C1553-05_Unit_Economics!$B$21,0)</f>
        <v>11.9780567027341</v>
      </c>
      <c r="E1553" s="78" t="n">
        <f aca="false">D1553*EXP(-01_Inputs!$C$20*01_Inputs!$C$22)</f>
        <v>11.462448764518</v>
      </c>
      <c r="F1553" s="80" t="n">
        <f aca="false">AVERAGE(E1552:E1553)</f>
        <v>15.6866847083627</v>
      </c>
    </row>
    <row r="1554" customFormat="false" ht="15" hidden="false" customHeight="false" outlineLevel="0" collapsed="false">
      <c r="A1554" s="76" t="n">
        <v>1543</v>
      </c>
      <c r="B1554" s="77" t="n">
        <v>-0.454955</v>
      </c>
      <c r="C1554" s="78" t="n">
        <f aca="false">05_Unit_Economics!$B$15*EXP((01_Inputs!$C$20-01_Inputs!$C$21^2/2)*01_Inputs!$C$22+01_Inputs!$C$21*SQRT(01_Inputs!$C$22)*B1554)</f>
        <v>46.1535130441815</v>
      </c>
      <c r="D1554" s="78" t="n">
        <f aca="false">MAX(C1554-05_Unit_Economics!$B$21,0)</f>
        <v>8.24590756967798</v>
      </c>
      <c r="E1554" s="78" t="n">
        <f aca="false">D1554*EXP(-01_Inputs!$C$20*01_Inputs!$C$22)</f>
        <v>7.8909538817603</v>
      </c>
      <c r="F1554" s="79"/>
    </row>
    <row r="1555" customFormat="false" ht="15" hidden="false" customHeight="false" outlineLevel="0" collapsed="false">
      <c r="A1555" s="76" t="n">
        <v>1544</v>
      </c>
      <c r="B1555" s="77" t="n">
        <v>0.454955</v>
      </c>
      <c r="C1555" s="78" t="n">
        <f aca="false">05_Unit_Economics!$B$15*EXP((01_Inputs!$C$20-01_Inputs!$C$21^2/2)*01_Inputs!$C$22+01_Inputs!$C$21*SQRT(01_Inputs!$C$22)*B1555)</f>
        <v>63.4620176918452</v>
      </c>
      <c r="D1555" s="78" t="n">
        <f aca="false">MAX(C1555-05_Unit_Economics!$B$21,0)</f>
        <v>25.5544122173417</v>
      </c>
      <c r="E1555" s="78" t="n">
        <f aca="false">D1555*EXP(-01_Inputs!$C$20*01_Inputs!$C$22)</f>
        <v>24.4543959022827</v>
      </c>
      <c r="F1555" s="80" t="n">
        <f aca="false">AVERAGE(E1554:E1555)</f>
        <v>16.1726748920215</v>
      </c>
    </row>
    <row r="1556" customFormat="false" ht="15" hidden="false" customHeight="false" outlineLevel="0" collapsed="false">
      <c r="A1556" s="76" t="n">
        <v>1545</v>
      </c>
      <c r="B1556" s="77" t="n">
        <v>1.642679</v>
      </c>
      <c r="C1556" s="78" t="n">
        <f aca="false">05_Unit_Economics!$B$15*EXP((01_Inputs!$C$20-01_Inputs!$C$21^2/2)*01_Inputs!$C$22+01_Inputs!$C$21*SQRT(01_Inputs!$C$22)*B1556)</f>
        <v>96.1726467913967</v>
      </c>
      <c r="D1556" s="78" t="n">
        <f aca="false">MAX(C1556-05_Unit_Economics!$B$21,0)</f>
        <v>58.2650413168932</v>
      </c>
      <c r="E1556" s="78" t="n">
        <f aca="false">D1556*EXP(-01_Inputs!$C$20*01_Inputs!$C$22)</f>
        <v>55.7569618705316</v>
      </c>
      <c r="F1556" s="79"/>
    </row>
    <row r="1557" customFormat="false" ht="15" hidden="false" customHeight="false" outlineLevel="0" collapsed="false">
      <c r="A1557" s="76" t="n">
        <v>1546</v>
      </c>
      <c r="B1557" s="77" t="n">
        <v>-1.642679</v>
      </c>
      <c r="C1557" s="78" t="n">
        <f aca="false">05_Unit_Economics!$B$15*EXP((01_Inputs!$C$20-01_Inputs!$C$21^2/2)*01_Inputs!$C$22+01_Inputs!$C$21*SQRT(01_Inputs!$C$22)*B1557)</f>
        <v>30.4555937584185</v>
      </c>
      <c r="D1557" s="78" t="n">
        <f aca="false">MAX(C1557-05_Unit_Economics!$B$21,0)</f>
        <v>0</v>
      </c>
      <c r="E1557" s="78" t="n">
        <f aca="false">D1557*EXP(-01_Inputs!$C$20*01_Inputs!$C$22)</f>
        <v>0</v>
      </c>
      <c r="F1557" s="80" t="n">
        <f aca="false">AVERAGE(E1556:E1557)</f>
        <v>27.8784809352658</v>
      </c>
    </row>
    <row r="1558" customFormat="false" ht="15" hidden="false" customHeight="false" outlineLevel="0" collapsed="false">
      <c r="A1558" s="76" t="n">
        <v>1547</v>
      </c>
      <c r="B1558" s="77" t="n">
        <v>0.417592</v>
      </c>
      <c r="C1558" s="78" t="n">
        <f aca="false">05_Unit_Economics!$B$15*EXP((01_Inputs!$C$20-01_Inputs!$C$21^2/2)*01_Inputs!$C$22+01_Inputs!$C$21*SQRT(01_Inputs!$C$22)*B1558)</f>
        <v>62.6375244328047</v>
      </c>
      <c r="D1558" s="78" t="n">
        <f aca="false">MAX(C1558-05_Unit_Economics!$B$21,0)</f>
        <v>24.7299189583013</v>
      </c>
      <c r="E1558" s="78" t="n">
        <f aca="false">D1558*EXP(-01_Inputs!$C$20*01_Inputs!$C$22)</f>
        <v>23.6653938151341</v>
      </c>
      <c r="F1558" s="79"/>
    </row>
    <row r="1559" customFormat="false" ht="15" hidden="false" customHeight="false" outlineLevel="0" collapsed="false">
      <c r="A1559" s="76" t="n">
        <v>1548</v>
      </c>
      <c r="B1559" s="77" t="n">
        <v>-0.417592</v>
      </c>
      <c r="C1559" s="78" t="n">
        <f aca="false">05_Unit_Economics!$B$15*EXP((01_Inputs!$C$20-01_Inputs!$C$21^2/2)*01_Inputs!$C$22+01_Inputs!$C$21*SQRT(01_Inputs!$C$22)*B1559)</f>
        <v>46.7610284389954</v>
      </c>
      <c r="D1559" s="78" t="n">
        <f aca="false">MAX(C1559-05_Unit_Economics!$B$21,0)</f>
        <v>8.85342296449195</v>
      </c>
      <c r="E1559" s="78" t="n">
        <f aca="false">D1559*EXP(-01_Inputs!$C$20*01_Inputs!$C$22)</f>
        <v>8.47231814305332</v>
      </c>
      <c r="F1559" s="80" t="n">
        <f aca="false">AVERAGE(E1558:E1559)</f>
        <v>16.0688559790937</v>
      </c>
    </row>
    <row r="1560" customFormat="false" ht="15" hidden="false" customHeight="false" outlineLevel="0" collapsed="false">
      <c r="A1560" s="76" t="n">
        <v>1549</v>
      </c>
      <c r="B1560" s="77" t="n">
        <v>-0.197927</v>
      </c>
      <c r="C1560" s="78" t="n">
        <f aca="false">05_Unit_Economics!$B$15*EXP((01_Inputs!$C$20-01_Inputs!$C$21^2/2)*01_Inputs!$C$22+01_Inputs!$C$21*SQRT(01_Inputs!$C$22)*B1560)</f>
        <v>50.4979570169203</v>
      </c>
      <c r="D1560" s="78" t="n">
        <f aca="false">MAX(C1560-05_Unit_Economics!$B$21,0)</f>
        <v>12.5903515424169</v>
      </c>
      <c r="E1560" s="78" t="n">
        <f aca="false">D1560*EXP(-01_Inputs!$C$20*01_Inputs!$C$22)</f>
        <v>12.0483867344927</v>
      </c>
      <c r="F1560" s="79"/>
    </row>
    <row r="1561" customFormat="false" ht="15" hidden="false" customHeight="false" outlineLevel="0" collapsed="false">
      <c r="A1561" s="76" t="n">
        <v>1550</v>
      </c>
      <c r="B1561" s="77" t="n">
        <v>0.197927</v>
      </c>
      <c r="C1561" s="78" t="n">
        <f aca="false">05_Unit_Economics!$B$15*EXP((01_Inputs!$C$20-01_Inputs!$C$21^2/2)*01_Inputs!$C$22+01_Inputs!$C$21*SQRT(01_Inputs!$C$22)*B1561)</f>
        <v>58.0022486923428</v>
      </c>
      <c r="D1561" s="78" t="n">
        <f aca="false">MAX(C1561-05_Unit_Economics!$B$21,0)</f>
        <v>20.0946432178394</v>
      </c>
      <c r="E1561" s="78" t="n">
        <f aca="false">D1561*EXP(-01_Inputs!$C$20*01_Inputs!$C$22)</f>
        <v>19.2296483513203</v>
      </c>
      <c r="F1561" s="80" t="n">
        <f aca="false">AVERAGE(E1560:E1561)</f>
        <v>15.6390175429065</v>
      </c>
    </row>
    <row r="1562" customFormat="false" ht="15" hidden="false" customHeight="false" outlineLevel="0" collapsed="false">
      <c r="A1562" s="76" t="n">
        <v>1551</v>
      </c>
      <c r="B1562" s="77" t="n">
        <v>0.303936</v>
      </c>
      <c r="C1562" s="78" t="n">
        <f aca="false">05_Unit_Economics!$B$15*EXP((01_Inputs!$C$20-01_Inputs!$C$21^2/2)*01_Inputs!$C$22+01_Inputs!$C$21*SQRT(01_Inputs!$C$22)*B1562)</f>
        <v>60.1947374279063</v>
      </c>
      <c r="D1562" s="78" t="n">
        <f aca="false">MAX(C1562-05_Unit_Economics!$B$21,0)</f>
        <v>22.2871319534028</v>
      </c>
      <c r="E1562" s="78" t="n">
        <f aca="false">D1562*EXP(-01_Inputs!$C$20*01_Inputs!$C$22)</f>
        <v>21.3277591235328</v>
      </c>
      <c r="F1562" s="79"/>
    </row>
    <row r="1563" customFormat="false" ht="15" hidden="false" customHeight="false" outlineLevel="0" collapsed="false">
      <c r="A1563" s="76" t="n">
        <v>1552</v>
      </c>
      <c r="B1563" s="77" t="n">
        <v>-0.303936</v>
      </c>
      <c r="C1563" s="78" t="n">
        <f aca="false">05_Unit_Economics!$B$15*EXP((01_Inputs!$C$20-01_Inputs!$C$21^2/2)*01_Inputs!$C$22+01_Inputs!$C$21*SQRT(01_Inputs!$C$22)*B1563)</f>
        <v>48.6586566617827</v>
      </c>
      <c r="D1563" s="78" t="n">
        <f aca="false">MAX(C1563-05_Unit_Economics!$B$21,0)</f>
        <v>10.7510511872792</v>
      </c>
      <c r="E1563" s="78" t="n">
        <f aca="false">D1563*EXP(-01_Inputs!$C$20*01_Inputs!$C$22)</f>
        <v>10.2882609806621</v>
      </c>
      <c r="F1563" s="80" t="n">
        <f aca="false">AVERAGE(E1562:E1563)</f>
        <v>15.8080100520975</v>
      </c>
    </row>
    <row r="1564" customFormat="false" ht="15" hidden="false" customHeight="false" outlineLevel="0" collapsed="false">
      <c r="A1564" s="76" t="n">
        <v>1553</v>
      </c>
      <c r="B1564" s="77" t="n">
        <v>-0.767446</v>
      </c>
      <c r="C1564" s="78" t="n">
        <f aca="false">05_Unit_Economics!$B$15*EXP((01_Inputs!$C$20-01_Inputs!$C$21^2/2)*01_Inputs!$C$22+01_Inputs!$C$21*SQRT(01_Inputs!$C$22)*B1564)</f>
        <v>41.3718720298557</v>
      </c>
      <c r="D1564" s="78" t="n">
        <f aca="false">MAX(C1564-05_Unit_Economics!$B$21,0)</f>
        <v>3.46426655535227</v>
      </c>
      <c r="E1564" s="78" t="n">
        <f aca="false">D1564*EXP(-01_Inputs!$C$20*01_Inputs!$C$22)</f>
        <v>3.31514358988587</v>
      </c>
      <c r="F1564" s="79"/>
    </row>
    <row r="1565" customFormat="false" ht="15" hidden="false" customHeight="false" outlineLevel="0" collapsed="false">
      <c r="A1565" s="76" t="n">
        <v>1554</v>
      </c>
      <c r="B1565" s="77" t="n">
        <v>0.767446</v>
      </c>
      <c r="C1565" s="78" t="n">
        <f aca="false">05_Unit_Economics!$B$15*EXP((01_Inputs!$C$20-01_Inputs!$C$21^2/2)*01_Inputs!$C$22+01_Inputs!$C$21*SQRT(01_Inputs!$C$22)*B1565)</f>
        <v>70.7967736929323</v>
      </c>
      <c r="D1565" s="78" t="n">
        <f aca="false">MAX(C1565-05_Unit_Economics!$B$21,0)</f>
        <v>32.8891682184288</v>
      </c>
      <c r="E1565" s="78" t="n">
        <f aca="false">D1565*EXP(-01_Inputs!$C$20*01_Inputs!$C$22)</f>
        <v>31.4734196846222</v>
      </c>
      <c r="F1565" s="80" t="n">
        <f aca="false">AVERAGE(E1564:E1565)</f>
        <v>17.394281637254</v>
      </c>
    </row>
    <row r="1566" customFormat="false" ht="15" hidden="false" customHeight="false" outlineLevel="0" collapsed="false">
      <c r="A1566" s="76" t="n">
        <v>1555</v>
      </c>
      <c r="B1566" s="77" t="n">
        <v>0.089468</v>
      </c>
      <c r="C1566" s="78" t="n">
        <f aca="false">05_Unit_Economics!$B$15*EXP((01_Inputs!$C$20-01_Inputs!$C$21^2/2)*01_Inputs!$C$22+01_Inputs!$C$21*SQRT(01_Inputs!$C$22)*B1566)</f>
        <v>55.8417127450719</v>
      </c>
      <c r="D1566" s="78" t="n">
        <f aca="false">MAX(C1566-05_Unit_Economics!$B$21,0)</f>
        <v>17.9341072705684</v>
      </c>
      <c r="E1566" s="78" t="n">
        <f aca="false">D1566*EXP(-01_Inputs!$C$20*01_Inputs!$C$22)</f>
        <v>17.1621149263166</v>
      </c>
      <c r="F1566" s="79"/>
    </row>
    <row r="1567" customFormat="false" ht="15" hidden="false" customHeight="false" outlineLevel="0" collapsed="false">
      <c r="A1567" s="76" t="n">
        <v>1556</v>
      </c>
      <c r="B1567" s="77" t="n">
        <v>-0.089468</v>
      </c>
      <c r="C1567" s="78" t="n">
        <f aca="false">05_Unit_Economics!$B$15*EXP((01_Inputs!$C$20-01_Inputs!$C$21^2/2)*01_Inputs!$C$22+01_Inputs!$C$21*SQRT(01_Inputs!$C$22)*B1567)</f>
        <v>52.4517411334082</v>
      </c>
      <c r="D1567" s="78" t="n">
        <f aca="false">MAX(C1567-05_Unit_Economics!$B$21,0)</f>
        <v>14.5441356589047</v>
      </c>
      <c r="E1567" s="78" t="n">
        <f aca="false">D1567*EXP(-01_Inputs!$C$20*01_Inputs!$C$22)</f>
        <v>13.9180681768137</v>
      </c>
      <c r="F1567" s="80" t="n">
        <f aca="false">AVERAGE(E1566:E1567)</f>
        <v>15.5400915515652</v>
      </c>
    </row>
    <row r="1568" customFormat="false" ht="15" hidden="false" customHeight="false" outlineLevel="0" collapsed="false">
      <c r="A1568" s="76" t="n">
        <v>1557</v>
      </c>
      <c r="B1568" s="77" t="n">
        <v>-1.106127</v>
      </c>
      <c r="C1568" s="78" t="n">
        <f aca="false">05_Unit_Economics!$B$15*EXP((01_Inputs!$C$20-01_Inputs!$C$21^2/2)*01_Inputs!$C$22+01_Inputs!$C$21*SQRT(01_Inputs!$C$22)*B1568)</f>
        <v>36.7472311643023</v>
      </c>
      <c r="D1568" s="78" t="n">
        <f aca="false">MAX(C1568-05_Unit_Economics!$B$21,0)</f>
        <v>0</v>
      </c>
      <c r="E1568" s="78" t="n">
        <f aca="false">D1568*EXP(-01_Inputs!$C$20*01_Inputs!$C$22)</f>
        <v>0</v>
      </c>
      <c r="F1568" s="79"/>
    </row>
    <row r="1569" customFormat="false" ht="15" hidden="false" customHeight="false" outlineLevel="0" collapsed="false">
      <c r="A1569" s="76" t="n">
        <v>1558</v>
      </c>
      <c r="B1569" s="77" t="n">
        <v>1.106127</v>
      </c>
      <c r="C1569" s="78" t="n">
        <f aca="false">05_Unit_Economics!$B$15*EXP((01_Inputs!$C$20-01_Inputs!$C$21^2/2)*01_Inputs!$C$22+01_Inputs!$C$21*SQRT(01_Inputs!$C$22)*B1569)</f>
        <v>79.706551175371</v>
      </c>
      <c r="D1569" s="78" t="n">
        <f aca="false">MAX(C1569-05_Unit_Economics!$B$21,0)</f>
        <v>41.7989457008675</v>
      </c>
      <c r="E1569" s="78" t="n">
        <f aca="false">D1569*EXP(-01_Inputs!$C$20*01_Inputs!$C$22)</f>
        <v>39.9996665066462</v>
      </c>
      <c r="F1569" s="80" t="n">
        <f aca="false">AVERAGE(E1568:E1569)</f>
        <v>19.9998332533231</v>
      </c>
    </row>
    <row r="1570" customFormat="false" ht="15" hidden="false" customHeight="false" outlineLevel="0" collapsed="false">
      <c r="A1570" s="76" t="n">
        <v>1559</v>
      </c>
      <c r="B1570" s="77" t="n">
        <v>0.772942</v>
      </c>
      <c r="C1570" s="78" t="n">
        <f aca="false">05_Unit_Economics!$B$15*EXP((01_Inputs!$C$20-01_Inputs!$C$21^2/2)*01_Inputs!$C$22+01_Inputs!$C$21*SQRT(01_Inputs!$C$22)*B1570)</f>
        <v>70.9330894332537</v>
      </c>
      <c r="D1570" s="78" t="n">
        <f aca="false">MAX(C1570-05_Unit_Economics!$B$21,0)</f>
        <v>33.0254839587502</v>
      </c>
      <c r="E1570" s="78" t="n">
        <f aca="false">D1570*EXP(-01_Inputs!$C$20*01_Inputs!$C$22)</f>
        <v>31.6038675717886</v>
      </c>
      <c r="F1570" s="79"/>
    </row>
    <row r="1571" customFormat="false" ht="15" hidden="false" customHeight="false" outlineLevel="0" collapsed="false">
      <c r="A1571" s="76" t="n">
        <v>1560</v>
      </c>
      <c r="B1571" s="77" t="n">
        <v>-0.772942</v>
      </c>
      <c r="C1571" s="78" t="n">
        <f aca="false">05_Unit_Economics!$B$15*EXP((01_Inputs!$C$20-01_Inputs!$C$21^2/2)*01_Inputs!$C$22+01_Inputs!$C$21*SQRT(01_Inputs!$C$22)*B1571)</f>
        <v>41.2923655906284</v>
      </c>
      <c r="D1571" s="78" t="n">
        <f aca="false">MAX(C1571-05_Unit_Economics!$B$21,0)</f>
        <v>3.38476011612494</v>
      </c>
      <c r="E1571" s="78" t="n">
        <f aca="false">D1571*EXP(-01_Inputs!$C$20*01_Inputs!$C$22)</f>
        <v>3.23905958822269</v>
      </c>
      <c r="F1571" s="80" t="n">
        <f aca="false">AVERAGE(E1570:E1571)</f>
        <v>17.4214635800057</v>
      </c>
    </row>
    <row r="1572" customFormat="false" ht="15" hidden="false" customHeight="false" outlineLevel="0" collapsed="false">
      <c r="A1572" s="76" t="n">
        <v>1561</v>
      </c>
      <c r="B1572" s="77" t="n">
        <v>-0.210237</v>
      </c>
      <c r="C1572" s="78" t="n">
        <f aca="false">05_Unit_Economics!$B$15*EXP((01_Inputs!$C$20-01_Inputs!$C$21^2/2)*01_Inputs!$C$22+01_Inputs!$C$21*SQRT(01_Inputs!$C$22)*B1572)</f>
        <v>50.2808545978416</v>
      </c>
      <c r="D1572" s="78" t="n">
        <f aca="false">MAX(C1572-05_Unit_Economics!$B$21,0)</f>
        <v>12.3732491233381</v>
      </c>
      <c r="E1572" s="78" t="n">
        <f aca="false">D1572*EXP(-01_Inputs!$C$20*01_Inputs!$C$22)</f>
        <v>11.8406297153783</v>
      </c>
      <c r="F1572" s="79"/>
    </row>
    <row r="1573" customFormat="false" ht="15" hidden="false" customHeight="false" outlineLevel="0" collapsed="false">
      <c r="A1573" s="76" t="n">
        <v>1562</v>
      </c>
      <c r="B1573" s="77" t="n">
        <v>0.210237</v>
      </c>
      <c r="C1573" s="78" t="n">
        <f aca="false">05_Unit_Economics!$B$15*EXP((01_Inputs!$C$20-01_Inputs!$C$21^2/2)*01_Inputs!$C$22+01_Inputs!$C$21*SQRT(01_Inputs!$C$22)*B1573)</f>
        <v>58.2526905076984</v>
      </c>
      <c r="D1573" s="78" t="n">
        <f aca="false">MAX(C1573-05_Unit_Economics!$B$21,0)</f>
        <v>20.345085033195</v>
      </c>
      <c r="E1573" s="78" t="n">
        <f aca="false">D1573*EXP(-01_Inputs!$C$20*01_Inputs!$C$22)</f>
        <v>19.4693096376416</v>
      </c>
      <c r="F1573" s="80" t="n">
        <f aca="false">AVERAGE(E1572:E1573)</f>
        <v>15.6549696765099</v>
      </c>
    </row>
    <row r="1574" customFormat="false" ht="15" hidden="false" customHeight="false" outlineLevel="0" collapsed="false">
      <c r="A1574" s="76" t="n">
        <v>1563</v>
      </c>
      <c r="B1574" s="77" t="n">
        <v>-1.432161</v>
      </c>
      <c r="C1574" s="78" t="n">
        <f aca="false">05_Unit_Economics!$B$15*EXP((01_Inputs!$C$20-01_Inputs!$C$21^2/2)*01_Inputs!$C$22+01_Inputs!$C$21*SQRT(01_Inputs!$C$22)*B1574)</f>
        <v>32.7843405900227</v>
      </c>
      <c r="D1574" s="78" t="n">
        <f aca="false">MAX(C1574-05_Unit_Economics!$B$21,0)</f>
        <v>0</v>
      </c>
      <c r="E1574" s="78" t="n">
        <f aca="false">D1574*EXP(-01_Inputs!$C$20*01_Inputs!$C$22)</f>
        <v>0</v>
      </c>
      <c r="F1574" s="79"/>
    </row>
    <row r="1575" customFormat="false" ht="15" hidden="false" customHeight="false" outlineLevel="0" collapsed="false">
      <c r="A1575" s="76" t="n">
        <v>1564</v>
      </c>
      <c r="B1575" s="77" t="n">
        <v>1.432161</v>
      </c>
      <c r="C1575" s="78" t="n">
        <f aca="false">05_Unit_Economics!$B$15*EXP((01_Inputs!$C$20-01_Inputs!$C$21^2/2)*01_Inputs!$C$22+01_Inputs!$C$21*SQRT(01_Inputs!$C$22)*B1575)</f>
        <v>89.3412833272614</v>
      </c>
      <c r="D1575" s="78" t="n">
        <f aca="false">MAX(C1575-05_Unit_Economics!$B$21,0)</f>
        <v>51.4336778527579</v>
      </c>
      <c r="E1575" s="78" t="n">
        <f aca="false">D1575*EXP(-01_Inputs!$C$20*01_Inputs!$C$22)</f>
        <v>49.2196615685905</v>
      </c>
      <c r="F1575" s="80" t="n">
        <f aca="false">AVERAGE(E1574:E1575)</f>
        <v>24.6098307842952</v>
      </c>
    </row>
    <row r="1576" customFormat="false" ht="15" hidden="false" customHeight="false" outlineLevel="0" collapsed="false">
      <c r="A1576" s="76" t="n">
        <v>1565</v>
      </c>
      <c r="B1576" s="77" t="n">
        <v>-0.764768</v>
      </c>
      <c r="C1576" s="78" t="n">
        <f aca="false">05_Unit_Economics!$B$15*EXP((01_Inputs!$C$20-01_Inputs!$C$21^2/2)*01_Inputs!$C$22+01_Inputs!$C$21*SQRT(01_Inputs!$C$22)*B1576)</f>
        <v>41.4106680644306</v>
      </c>
      <c r="D1576" s="78" t="n">
        <f aca="false">MAX(C1576-05_Unit_Economics!$B$21,0)</f>
        <v>3.50306258992716</v>
      </c>
      <c r="E1576" s="78" t="n">
        <f aca="false">D1576*EXP(-01_Inputs!$C$20*01_Inputs!$C$22)</f>
        <v>3.35226960870658</v>
      </c>
      <c r="F1576" s="79"/>
    </row>
    <row r="1577" customFormat="false" ht="15" hidden="false" customHeight="false" outlineLevel="0" collapsed="false">
      <c r="A1577" s="76" t="n">
        <v>1566</v>
      </c>
      <c r="B1577" s="77" t="n">
        <v>0.764768</v>
      </c>
      <c r="C1577" s="78" t="n">
        <f aca="false">05_Unit_Economics!$B$15*EXP((01_Inputs!$C$20-01_Inputs!$C$21^2/2)*01_Inputs!$C$22+01_Inputs!$C$21*SQRT(01_Inputs!$C$22)*B1577)</f>
        <v>70.7304469658264</v>
      </c>
      <c r="D1577" s="78" t="n">
        <f aca="false">MAX(C1577-05_Unit_Economics!$B$21,0)</f>
        <v>32.8228414913229</v>
      </c>
      <c r="E1577" s="78" t="n">
        <f aca="false">D1577*EXP(-01_Inputs!$C$20*01_Inputs!$C$22)</f>
        <v>31.409948060632</v>
      </c>
      <c r="F1577" s="80" t="n">
        <f aca="false">AVERAGE(E1576:E1577)</f>
        <v>17.3811088346693</v>
      </c>
    </row>
    <row r="1578" customFormat="false" ht="15" hidden="false" customHeight="false" outlineLevel="0" collapsed="false">
      <c r="A1578" s="76" t="n">
        <v>1567</v>
      </c>
      <c r="B1578" s="77" t="n">
        <v>1.495832</v>
      </c>
      <c r="C1578" s="78" t="n">
        <f aca="false">05_Unit_Economics!$B$15*EXP((01_Inputs!$C$20-01_Inputs!$C$21^2/2)*01_Inputs!$C$22+01_Inputs!$C$21*SQRT(01_Inputs!$C$22)*B1578)</f>
        <v>91.3545902270495</v>
      </c>
      <c r="D1578" s="78" t="n">
        <f aca="false">MAX(C1578-05_Unit_Economics!$B$21,0)</f>
        <v>53.446984752546</v>
      </c>
      <c r="E1578" s="78" t="n">
        <f aca="false">D1578*EXP(-01_Inputs!$C$20*01_Inputs!$C$22)</f>
        <v>51.1463035739505</v>
      </c>
      <c r="F1578" s="79"/>
    </row>
    <row r="1579" customFormat="false" ht="15" hidden="false" customHeight="false" outlineLevel="0" collapsed="false">
      <c r="A1579" s="76" t="n">
        <v>1568</v>
      </c>
      <c r="B1579" s="77" t="n">
        <v>-1.495832</v>
      </c>
      <c r="C1579" s="78" t="n">
        <f aca="false">05_Unit_Economics!$B$15*EXP((01_Inputs!$C$20-01_Inputs!$C$21^2/2)*01_Inputs!$C$22+01_Inputs!$C$21*SQRT(01_Inputs!$C$22)*B1579)</f>
        <v>32.0618269325168</v>
      </c>
      <c r="D1579" s="78" t="n">
        <f aca="false">MAX(C1579-05_Unit_Economics!$B$21,0)</f>
        <v>0</v>
      </c>
      <c r="E1579" s="78" t="n">
        <f aca="false">D1579*EXP(-01_Inputs!$C$20*01_Inputs!$C$22)</f>
        <v>0</v>
      </c>
      <c r="F1579" s="80" t="n">
        <f aca="false">AVERAGE(E1578:E1579)</f>
        <v>25.5731517869752</v>
      </c>
    </row>
    <row r="1580" customFormat="false" ht="15" hidden="false" customHeight="false" outlineLevel="0" collapsed="false">
      <c r="A1580" s="76" t="n">
        <v>1569</v>
      </c>
      <c r="B1580" s="77" t="n">
        <v>-2.860573</v>
      </c>
      <c r="C1580" s="78" t="n">
        <f aca="false">05_Unit_Economics!$B$15*EXP((01_Inputs!$C$20-01_Inputs!$C$21^2/2)*01_Inputs!$C$22+01_Inputs!$C$21*SQRT(01_Inputs!$C$22)*B1580)</f>
        <v>19.8858173239587</v>
      </c>
      <c r="D1580" s="78" t="n">
        <f aca="false">MAX(C1580-05_Unit_Economics!$B$21,0)</f>
        <v>0</v>
      </c>
      <c r="E1580" s="78" t="n">
        <f aca="false">D1580*EXP(-01_Inputs!$C$20*01_Inputs!$C$22)</f>
        <v>0</v>
      </c>
      <c r="F1580" s="79"/>
    </row>
    <row r="1581" customFormat="false" ht="15" hidden="false" customHeight="false" outlineLevel="0" collapsed="false">
      <c r="A1581" s="76" t="n">
        <v>1570</v>
      </c>
      <c r="B1581" s="77" t="n">
        <v>2.860573</v>
      </c>
      <c r="C1581" s="78" t="n">
        <f aca="false">05_Unit_Economics!$B$15*EXP((01_Inputs!$C$20-01_Inputs!$C$21^2/2)*01_Inputs!$C$22+01_Inputs!$C$21*SQRT(01_Inputs!$C$22)*B1581)</f>
        <v>147.290655125437</v>
      </c>
      <c r="D1581" s="78" t="n">
        <f aca="false">MAX(C1581-05_Unit_Economics!$B$21,0)</f>
        <v>109.383049650934</v>
      </c>
      <c r="E1581" s="78" t="n">
        <f aca="false">D1581*EXP(-01_Inputs!$C$20*01_Inputs!$C$22)</f>
        <v>104.674542243932</v>
      </c>
      <c r="F1581" s="80" t="n">
        <f aca="false">AVERAGE(E1580:E1581)</f>
        <v>52.3372711219659</v>
      </c>
    </row>
    <row r="1582" customFormat="false" ht="15" hidden="false" customHeight="false" outlineLevel="0" collapsed="false">
      <c r="A1582" s="76" t="n">
        <v>1571</v>
      </c>
      <c r="B1582" s="77" t="n">
        <v>0.944793</v>
      </c>
      <c r="C1582" s="78" t="n">
        <f aca="false">05_Unit_Economics!$B$15*EXP((01_Inputs!$C$20-01_Inputs!$C$21^2/2)*01_Inputs!$C$22+01_Inputs!$C$21*SQRT(01_Inputs!$C$22)*B1582)</f>
        <v>75.3304835082786</v>
      </c>
      <c r="D1582" s="78" t="n">
        <f aca="false">MAX(C1582-05_Unit_Economics!$B$21,0)</f>
        <v>37.4228780337751</v>
      </c>
      <c r="E1582" s="78" t="n">
        <f aca="false">D1582*EXP(-01_Inputs!$C$20*01_Inputs!$C$22)</f>
        <v>35.8119712344522</v>
      </c>
      <c r="F1582" s="79"/>
    </row>
    <row r="1583" customFormat="false" ht="15" hidden="false" customHeight="false" outlineLevel="0" collapsed="false">
      <c r="A1583" s="76" t="n">
        <v>1572</v>
      </c>
      <c r="B1583" s="77" t="n">
        <v>-0.944793</v>
      </c>
      <c r="C1583" s="78" t="n">
        <f aca="false">05_Unit_Economics!$B$15*EXP((01_Inputs!$C$20-01_Inputs!$C$21^2/2)*01_Inputs!$C$22+01_Inputs!$C$21*SQRT(01_Inputs!$C$22)*B1583)</f>
        <v>38.8819363017731</v>
      </c>
      <c r="D1583" s="78" t="n">
        <f aca="false">MAX(C1583-05_Unit_Economics!$B$21,0)</f>
        <v>0.974330827269583</v>
      </c>
      <c r="E1583" s="78" t="n">
        <f aca="false">D1583*EXP(-01_Inputs!$C$20*01_Inputs!$C$22)</f>
        <v>0.932389741043615</v>
      </c>
      <c r="F1583" s="80" t="n">
        <f aca="false">AVERAGE(E1582:E1583)</f>
        <v>18.3721804877479</v>
      </c>
    </row>
    <row r="1584" customFormat="false" ht="15" hidden="false" customHeight="false" outlineLevel="0" collapsed="false">
      <c r="A1584" s="76" t="n">
        <v>1573</v>
      </c>
      <c r="B1584" s="77" t="n">
        <v>0.243141</v>
      </c>
      <c r="C1584" s="78" t="n">
        <f aca="false">05_Unit_Economics!$B$15*EXP((01_Inputs!$C$20-01_Inputs!$C$21^2/2)*01_Inputs!$C$22+01_Inputs!$C$21*SQRT(01_Inputs!$C$22)*B1584)</f>
        <v>58.9274296180111</v>
      </c>
      <c r="D1584" s="78" t="n">
        <f aca="false">MAX(C1584-05_Unit_Economics!$B$21,0)</f>
        <v>21.0198241435076</v>
      </c>
      <c r="E1584" s="78" t="n">
        <f aca="false">D1584*EXP(-01_Inputs!$C$20*01_Inputs!$C$22)</f>
        <v>20.1150038995171</v>
      </c>
      <c r="F1584" s="79"/>
    </row>
    <row r="1585" customFormat="false" ht="15" hidden="false" customHeight="false" outlineLevel="0" collapsed="false">
      <c r="A1585" s="76" t="n">
        <v>1574</v>
      </c>
      <c r="B1585" s="77" t="n">
        <v>-0.243141</v>
      </c>
      <c r="C1585" s="78" t="n">
        <f aca="false">05_Unit_Economics!$B$15*EXP((01_Inputs!$C$20-01_Inputs!$C$21^2/2)*01_Inputs!$C$22+01_Inputs!$C$21*SQRT(01_Inputs!$C$22)*B1585)</f>
        <v>49.7051217122053</v>
      </c>
      <c r="D1585" s="78" t="n">
        <f aca="false">MAX(C1585-05_Unit_Economics!$B$21,0)</f>
        <v>11.7975162377018</v>
      </c>
      <c r="E1585" s="78" t="n">
        <f aca="false">D1585*EXP(-01_Inputs!$C$20*01_Inputs!$C$22)</f>
        <v>11.2896798520213</v>
      </c>
      <c r="F1585" s="80" t="n">
        <f aca="false">AVERAGE(E1584:E1585)</f>
        <v>15.7023418757692</v>
      </c>
    </row>
    <row r="1586" customFormat="false" ht="15" hidden="false" customHeight="false" outlineLevel="0" collapsed="false">
      <c r="A1586" s="76" t="n">
        <v>1575</v>
      </c>
      <c r="B1586" s="77" t="n">
        <v>-1.712748</v>
      </c>
      <c r="C1586" s="78" t="n">
        <f aca="false">05_Unit_Economics!$B$15*EXP((01_Inputs!$C$20-01_Inputs!$C$21^2/2)*01_Inputs!$C$22+01_Inputs!$C$21*SQRT(01_Inputs!$C$22)*B1586)</f>
        <v>29.7177803110421</v>
      </c>
      <c r="D1586" s="78" t="n">
        <f aca="false">MAX(C1586-05_Unit_Economics!$B$21,0)</f>
        <v>0</v>
      </c>
      <c r="E1586" s="78" t="n">
        <f aca="false">D1586*EXP(-01_Inputs!$C$20*01_Inputs!$C$22)</f>
        <v>0</v>
      </c>
      <c r="F1586" s="79"/>
    </row>
    <row r="1587" customFormat="false" ht="15" hidden="false" customHeight="false" outlineLevel="0" collapsed="false">
      <c r="A1587" s="76" t="n">
        <v>1576</v>
      </c>
      <c r="B1587" s="77" t="n">
        <v>1.712748</v>
      </c>
      <c r="C1587" s="78" t="n">
        <f aca="false">05_Unit_Economics!$B$15*EXP((01_Inputs!$C$20-01_Inputs!$C$21^2/2)*01_Inputs!$C$22+01_Inputs!$C$21*SQRT(01_Inputs!$C$22)*B1587)</f>
        <v>98.5603578293613</v>
      </c>
      <c r="D1587" s="78" t="n">
        <f aca="false">MAX(C1587-05_Unit_Economics!$B$21,0)</f>
        <v>60.6527523548578</v>
      </c>
      <c r="E1587" s="78" t="n">
        <f aca="false">D1587*EXP(-01_Inputs!$C$20*01_Inputs!$C$22)</f>
        <v>58.0418913976138</v>
      </c>
      <c r="F1587" s="80" t="n">
        <f aca="false">AVERAGE(E1586:E1587)</f>
        <v>29.0209456988069</v>
      </c>
    </row>
    <row r="1588" customFormat="false" ht="15" hidden="false" customHeight="false" outlineLevel="0" collapsed="false">
      <c r="A1588" s="76" t="n">
        <v>1577</v>
      </c>
      <c r="B1588" s="77" t="n">
        <v>-0.052171</v>
      </c>
      <c r="C1588" s="78" t="n">
        <f aca="false">05_Unit_Economics!$B$15*EXP((01_Inputs!$C$20-01_Inputs!$C$21^2/2)*01_Inputs!$C$22+01_Inputs!$C$21*SQRT(01_Inputs!$C$22)*B1588)</f>
        <v>53.1409320848812</v>
      </c>
      <c r="D1588" s="78" t="n">
        <f aca="false">MAX(C1588-05_Unit_Economics!$B$21,0)</f>
        <v>15.2333266103777</v>
      </c>
      <c r="E1588" s="78" t="n">
        <f aca="false">D1588*EXP(-01_Inputs!$C$20*01_Inputs!$C$22)</f>
        <v>14.5775921852804</v>
      </c>
      <c r="F1588" s="79"/>
    </row>
    <row r="1589" customFormat="false" ht="15" hidden="false" customHeight="false" outlineLevel="0" collapsed="false">
      <c r="A1589" s="76" t="n">
        <v>1578</v>
      </c>
      <c r="B1589" s="77" t="n">
        <v>0.052171</v>
      </c>
      <c r="C1589" s="78" t="n">
        <f aca="false">05_Unit_Economics!$B$15*EXP((01_Inputs!$C$20-01_Inputs!$C$21^2/2)*01_Inputs!$C$22+01_Inputs!$C$21*SQRT(01_Inputs!$C$22)*B1589)</f>
        <v>55.1174950539485</v>
      </c>
      <c r="D1589" s="78" t="n">
        <f aca="false">MAX(C1589-05_Unit_Economics!$B$21,0)</f>
        <v>17.209889579445</v>
      </c>
      <c r="E1589" s="78" t="n">
        <f aca="false">D1589*EXP(-01_Inputs!$C$20*01_Inputs!$C$22)</f>
        <v>16.4690719407241</v>
      </c>
      <c r="F1589" s="80" t="n">
        <f aca="false">AVERAGE(E1588:E1589)</f>
        <v>15.5233320630022</v>
      </c>
    </row>
    <row r="1590" customFormat="false" ht="15" hidden="false" customHeight="false" outlineLevel="0" collapsed="false">
      <c r="A1590" s="76" t="n">
        <v>1579</v>
      </c>
      <c r="B1590" s="77" t="n">
        <v>-1.282427</v>
      </c>
      <c r="C1590" s="78" t="n">
        <f aca="false">05_Unit_Economics!$B$15*EXP((01_Inputs!$C$20-01_Inputs!$C$21^2/2)*01_Inputs!$C$22+01_Inputs!$C$21*SQRT(01_Inputs!$C$22)*B1590)</f>
        <v>34.5482839489145</v>
      </c>
      <c r="D1590" s="78" t="n">
        <f aca="false">MAX(C1590-05_Unit_Economics!$B$21,0)</f>
        <v>0</v>
      </c>
      <c r="E1590" s="78" t="n">
        <f aca="false">D1590*EXP(-01_Inputs!$C$20*01_Inputs!$C$22)</f>
        <v>0</v>
      </c>
      <c r="F1590" s="79"/>
    </row>
    <row r="1591" customFormat="false" ht="15" hidden="false" customHeight="false" outlineLevel="0" collapsed="false">
      <c r="A1591" s="76" t="n">
        <v>1580</v>
      </c>
      <c r="B1591" s="77" t="n">
        <v>1.282427</v>
      </c>
      <c r="C1591" s="78" t="n">
        <f aca="false">05_Unit_Economics!$B$15*EXP((01_Inputs!$C$20-01_Inputs!$C$21^2/2)*01_Inputs!$C$22+01_Inputs!$C$21*SQRT(01_Inputs!$C$22)*B1591)</f>
        <v>84.7797553615592</v>
      </c>
      <c r="D1591" s="78" t="n">
        <f aca="false">MAX(C1591-05_Unit_Economics!$B$21,0)</f>
        <v>46.8721498870557</v>
      </c>
      <c r="E1591" s="78" t="n">
        <f aca="false">D1591*EXP(-01_Inputs!$C$20*01_Inputs!$C$22)</f>
        <v>44.8544893296878</v>
      </c>
      <c r="F1591" s="80" t="n">
        <f aca="false">AVERAGE(E1590:E1591)</f>
        <v>22.4272446648439</v>
      </c>
    </row>
    <row r="1592" customFormat="false" ht="15" hidden="false" customHeight="false" outlineLevel="0" collapsed="false">
      <c r="A1592" s="76" t="n">
        <v>1581</v>
      </c>
      <c r="B1592" s="77" t="n">
        <v>1.53535</v>
      </c>
      <c r="C1592" s="78" t="n">
        <f aca="false">05_Unit_Economics!$B$15*EXP((01_Inputs!$C$20-01_Inputs!$C$21^2/2)*01_Inputs!$C$22+01_Inputs!$C$21*SQRT(01_Inputs!$C$22)*B1592)</f>
        <v>92.626921686379</v>
      </c>
      <c r="D1592" s="78" t="n">
        <f aca="false">MAX(C1592-05_Unit_Economics!$B$21,0)</f>
        <v>54.7193162118755</v>
      </c>
      <c r="E1592" s="78" t="n">
        <f aca="false">D1592*EXP(-01_Inputs!$C$20*01_Inputs!$C$22)</f>
        <v>52.3638661991733</v>
      </c>
      <c r="F1592" s="79"/>
    </row>
    <row r="1593" customFormat="false" ht="15" hidden="false" customHeight="false" outlineLevel="0" collapsed="false">
      <c r="A1593" s="76" t="n">
        <v>1582</v>
      </c>
      <c r="B1593" s="77" t="n">
        <v>-1.53535</v>
      </c>
      <c r="C1593" s="78" t="n">
        <f aca="false">05_Unit_Economics!$B$15*EXP((01_Inputs!$C$20-01_Inputs!$C$21^2/2)*01_Inputs!$C$22+01_Inputs!$C$21*SQRT(01_Inputs!$C$22)*B1593)</f>
        <v>31.6214228868341</v>
      </c>
      <c r="D1593" s="78" t="n">
        <f aca="false">MAX(C1593-05_Unit_Economics!$B$21,0)</f>
        <v>0</v>
      </c>
      <c r="E1593" s="78" t="n">
        <f aca="false">D1593*EXP(-01_Inputs!$C$20*01_Inputs!$C$22)</f>
        <v>0</v>
      </c>
      <c r="F1593" s="80" t="n">
        <f aca="false">AVERAGE(E1592:E1593)</f>
        <v>26.1819330995866</v>
      </c>
    </row>
    <row r="1594" customFormat="false" ht="15" hidden="false" customHeight="false" outlineLevel="0" collapsed="false">
      <c r="A1594" s="76" t="n">
        <v>1583</v>
      </c>
      <c r="B1594" s="77" t="n">
        <v>-0.075187</v>
      </c>
      <c r="C1594" s="78" t="n">
        <f aca="false">05_Unit_Economics!$B$15*EXP((01_Inputs!$C$20-01_Inputs!$C$21^2/2)*01_Inputs!$C$22+01_Inputs!$C$21*SQRT(01_Inputs!$C$22)*B1594)</f>
        <v>52.7145696008397</v>
      </c>
      <c r="D1594" s="78" t="n">
        <f aca="false">MAX(C1594-05_Unit_Economics!$B$21,0)</f>
        <v>14.8069641263362</v>
      </c>
      <c r="E1594" s="78" t="n">
        <f aca="false">D1594*EXP(-01_Inputs!$C$20*01_Inputs!$C$22)</f>
        <v>14.1695829188589</v>
      </c>
      <c r="F1594" s="79"/>
    </row>
    <row r="1595" customFormat="false" ht="15" hidden="false" customHeight="false" outlineLevel="0" collapsed="false">
      <c r="A1595" s="76" t="n">
        <v>1584</v>
      </c>
      <c r="B1595" s="77" t="n">
        <v>0.075187</v>
      </c>
      <c r="C1595" s="78" t="n">
        <f aca="false">05_Unit_Economics!$B$15*EXP((01_Inputs!$C$20-01_Inputs!$C$21^2/2)*01_Inputs!$C$22+01_Inputs!$C$21*SQRT(01_Inputs!$C$22)*B1595)</f>
        <v>55.563292720197</v>
      </c>
      <c r="D1595" s="78" t="n">
        <f aca="false">MAX(C1595-05_Unit_Economics!$B$21,0)</f>
        <v>17.6556872456935</v>
      </c>
      <c r="E1595" s="78" t="n">
        <f aca="false">D1595*EXP(-01_Inputs!$C$20*01_Inputs!$C$22)</f>
        <v>16.8956797816728</v>
      </c>
      <c r="F1595" s="80" t="n">
        <f aca="false">AVERAGE(E1594:E1595)</f>
        <v>15.5326313502658</v>
      </c>
    </row>
    <row r="1596" customFormat="false" ht="15" hidden="false" customHeight="false" outlineLevel="0" collapsed="false">
      <c r="A1596" s="76" t="n">
        <v>1585</v>
      </c>
      <c r="B1596" s="77" t="n">
        <v>0.633001</v>
      </c>
      <c r="C1596" s="78" t="n">
        <f aca="false">05_Unit_Economics!$B$15*EXP((01_Inputs!$C$20-01_Inputs!$C$21^2/2)*01_Inputs!$C$22+01_Inputs!$C$21*SQRT(01_Inputs!$C$22)*B1596)</f>
        <v>67.5425439686928</v>
      </c>
      <c r="D1596" s="78" t="n">
        <f aca="false">MAX(C1596-05_Unit_Economics!$B$21,0)</f>
        <v>29.6349384941893</v>
      </c>
      <c r="E1596" s="78" t="n">
        <f aca="false">D1596*EXP(-01_Inputs!$C$20*01_Inputs!$C$22)</f>
        <v>28.3592716714848</v>
      </c>
      <c r="F1596" s="79"/>
    </row>
    <row r="1597" customFormat="false" ht="15" hidden="false" customHeight="false" outlineLevel="0" collapsed="false">
      <c r="A1597" s="76" t="n">
        <v>1586</v>
      </c>
      <c r="B1597" s="77" t="n">
        <v>-0.633001</v>
      </c>
      <c r="C1597" s="78" t="n">
        <f aca="false">05_Unit_Economics!$B$15*EXP((01_Inputs!$C$20-01_Inputs!$C$21^2/2)*01_Inputs!$C$22+01_Inputs!$C$21*SQRT(01_Inputs!$C$22)*B1597)</f>
        <v>43.3651871731141</v>
      </c>
      <c r="D1597" s="78" t="n">
        <f aca="false">MAX(C1597-05_Unit_Economics!$B$21,0)</f>
        <v>5.45758169861063</v>
      </c>
      <c r="E1597" s="78" t="n">
        <f aca="false">D1597*EXP(-01_Inputs!$C$20*01_Inputs!$C$22)</f>
        <v>5.22265440471792</v>
      </c>
      <c r="F1597" s="80" t="n">
        <f aca="false">AVERAGE(E1596:E1597)</f>
        <v>16.7909630381014</v>
      </c>
    </row>
    <row r="1598" customFormat="false" ht="15" hidden="false" customHeight="false" outlineLevel="0" collapsed="false">
      <c r="A1598" s="76" t="n">
        <v>1587</v>
      </c>
      <c r="B1598" s="77" t="n">
        <v>-2.187152</v>
      </c>
      <c r="C1598" s="78" t="n">
        <f aca="false">05_Unit_Economics!$B$15*EXP((01_Inputs!$C$20-01_Inputs!$C$21^2/2)*01_Inputs!$C$22+01_Inputs!$C$21*SQRT(01_Inputs!$C$22)*B1598)</f>
        <v>25.1712917878844</v>
      </c>
      <c r="D1598" s="78" t="n">
        <f aca="false">MAX(C1598-05_Unit_Economics!$B$21,0)</f>
        <v>0</v>
      </c>
      <c r="E1598" s="78" t="n">
        <f aca="false">D1598*EXP(-01_Inputs!$C$20*01_Inputs!$C$22)</f>
        <v>0</v>
      </c>
      <c r="F1598" s="79"/>
    </row>
    <row r="1599" customFormat="false" ht="15" hidden="false" customHeight="false" outlineLevel="0" collapsed="false">
      <c r="A1599" s="76" t="n">
        <v>1588</v>
      </c>
      <c r="B1599" s="77" t="n">
        <v>2.187152</v>
      </c>
      <c r="C1599" s="78" t="n">
        <f aca="false">05_Unit_Economics!$B$15*EXP((01_Inputs!$C$20-01_Inputs!$C$21^2/2)*01_Inputs!$C$22+01_Inputs!$C$21*SQRT(01_Inputs!$C$22)*B1599)</f>
        <v>116.362524658367</v>
      </c>
      <c r="D1599" s="78" t="n">
        <f aca="false">MAX(C1599-05_Unit_Economics!$B$21,0)</f>
        <v>78.4549191838634</v>
      </c>
      <c r="E1599" s="78" t="n">
        <f aca="false">D1599*EXP(-01_Inputs!$C$20*01_Inputs!$C$22)</f>
        <v>75.0777453962262</v>
      </c>
      <c r="F1599" s="80" t="n">
        <f aca="false">AVERAGE(E1598:E1599)</f>
        <v>37.5388726981131</v>
      </c>
    </row>
    <row r="1600" customFormat="false" ht="15" hidden="false" customHeight="false" outlineLevel="0" collapsed="false">
      <c r="A1600" s="76" t="n">
        <v>1589</v>
      </c>
      <c r="B1600" s="77" t="n">
        <v>-0.364345</v>
      </c>
      <c r="C1600" s="78" t="n">
        <f aca="false">05_Unit_Economics!$B$15*EXP((01_Inputs!$C$20-01_Inputs!$C$21^2/2)*01_Inputs!$C$22+01_Inputs!$C$21*SQRT(01_Inputs!$C$22)*B1600)</f>
        <v>47.6406591451874</v>
      </c>
      <c r="D1600" s="78" t="n">
        <f aca="false">MAX(C1600-05_Unit_Economics!$B$21,0)</f>
        <v>9.73305367068392</v>
      </c>
      <c r="E1600" s="78" t="n">
        <f aca="false">D1600*EXP(-01_Inputs!$C$20*01_Inputs!$C$22)</f>
        <v>9.31408422845854</v>
      </c>
      <c r="F1600" s="79"/>
    </row>
    <row r="1601" customFormat="false" ht="15" hidden="false" customHeight="false" outlineLevel="0" collapsed="false">
      <c r="A1601" s="76" t="n">
        <v>1590</v>
      </c>
      <c r="B1601" s="77" t="n">
        <v>0.364345</v>
      </c>
      <c r="C1601" s="78" t="n">
        <f aca="false">05_Unit_Economics!$B$15*EXP((01_Inputs!$C$20-01_Inputs!$C$21^2/2)*01_Inputs!$C$22+01_Inputs!$C$21*SQRT(01_Inputs!$C$22)*B1601)</f>
        <v>61.4809936282449</v>
      </c>
      <c r="D1601" s="78" t="n">
        <f aca="false">MAX(C1601-05_Unit_Economics!$B$21,0)</f>
        <v>23.5733881537414</v>
      </c>
      <c r="E1601" s="78" t="n">
        <f aca="false">D1601*EXP(-01_Inputs!$C$20*01_Inputs!$C$22)</f>
        <v>22.5586470847711</v>
      </c>
      <c r="F1601" s="80" t="n">
        <f aca="false">AVERAGE(E1600:E1601)</f>
        <v>15.9363656566148</v>
      </c>
    </row>
    <row r="1602" customFormat="false" ht="15" hidden="false" customHeight="false" outlineLevel="0" collapsed="false">
      <c r="A1602" s="76" t="n">
        <v>1591</v>
      </c>
      <c r="B1602" s="77" t="n">
        <v>0.850535</v>
      </c>
      <c r="C1602" s="78" t="n">
        <f aca="false">05_Unit_Economics!$B$15*EXP((01_Inputs!$C$20-01_Inputs!$C$21^2/2)*01_Inputs!$C$22+01_Inputs!$C$21*SQRT(01_Inputs!$C$22)*B1602)</f>
        <v>72.8858544961049</v>
      </c>
      <c r="D1602" s="78" t="n">
        <f aca="false">MAX(C1602-05_Unit_Economics!$B$21,0)</f>
        <v>34.9782490216014</v>
      </c>
      <c r="E1602" s="78" t="n">
        <f aca="false">D1602*EXP(-01_Inputs!$C$20*01_Inputs!$C$22)</f>
        <v>33.4725738266992</v>
      </c>
      <c r="F1602" s="79"/>
    </row>
    <row r="1603" customFormat="false" ht="15" hidden="false" customHeight="false" outlineLevel="0" collapsed="false">
      <c r="A1603" s="76" t="n">
        <v>1592</v>
      </c>
      <c r="B1603" s="77" t="n">
        <v>-0.850535</v>
      </c>
      <c r="C1603" s="78" t="n">
        <f aca="false">05_Unit_Economics!$B$15*EXP((01_Inputs!$C$20-01_Inputs!$C$21^2/2)*01_Inputs!$C$22+01_Inputs!$C$21*SQRT(01_Inputs!$C$22)*B1603)</f>
        <v>40.1860564248058</v>
      </c>
      <c r="D1603" s="78" t="n">
        <f aca="false">MAX(C1603-05_Unit_Economics!$B$21,0)</f>
        <v>2.27845095030229</v>
      </c>
      <c r="E1603" s="78" t="n">
        <f aca="false">D1603*EXP(-01_Inputs!$C$20*01_Inputs!$C$22)</f>
        <v>2.1803726538</v>
      </c>
      <c r="F1603" s="80" t="n">
        <f aca="false">AVERAGE(E1602:E1603)</f>
        <v>17.8264732402496</v>
      </c>
    </row>
    <row r="1604" customFormat="false" ht="15" hidden="false" customHeight="false" outlineLevel="0" collapsed="false">
      <c r="A1604" s="76" t="n">
        <v>1593</v>
      </c>
      <c r="B1604" s="77" t="n">
        <v>0.295615</v>
      </c>
      <c r="C1604" s="78" t="n">
        <f aca="false">05_Unit_Economics!$B$15*EXP((01_Inputs!$C$20-01_Inputs!$C$21^2/2)*01_Inputs!$C$22+01_Inputs!$C$21*SQRT(01_Inputs!$C$22)*B1604)</f>
        <v>60.0196843160535</v>
      </c>
      <c r="D1604" s="78" t="n">
        <f aca="false">MAX(C1604-05_Unit_Economics!$B$21,0)</f>
        <v>22.11207884155</v>
      </c>
      <c r="E1604" s="78" t="n">
        <f aca="false">D1604*EXP(-01_Inputs!$C$20*01_Inputs!$C$22)</f>
        <v>21.1602413553773</v>
      </c>
      <c r="F1604" s="79"/>
    </row>
    <row r="1605" customFormat="false" ht="15" hidden="false" customHeight="false" outlineLevel="0" collapsed="false">
      <c r="A1605" s="76" t="n">
        <v>1594</v>
      </c>
      <c r="B1605" s="77" t="n">
        <v>-0.295615</v>
      </c>
      <c r="C1605" s="78" t="n">
        <f aca="false">05_Unit_Economics!$B$15*EXP((01_Inputs!$C$20-01_Inputs!$C$21^2/2)*01_Inputs!$C$22+01_Inputs!$C$21*SQRT(01_Inputs!$C$22)*B1605)</f>
        <v>48.8005742570564</v>
      </c>
      <c r="D1605" s="78" t="n">
        <f aca="false">MAX(C1605-05_Unit_Economics!$B$21,0)</f>
        <v>10.8929687825529</v>
      </c>
      <c r="E1605" s="78" t="n">
        <f aca="false">D1605*EXP(-01_Inputs!$C$20*01_Inputs!$C$22)</f>
        <v>10.4240695850944</v>
      </c>
      <c r="F1605" s="80" t="n">
        <f aca="false">AVERAGE(E1604:E1605)</f>
        <v>15.7921554702358</v>
      </c>
    </row>
    <row r="1606" customFormat="false" ht="15" hidden="false" customHeight="false" outlineLevel="0" collapsed="false">
      <c r="A1606" s="76" t="n">
        <v>1595</v>
      </c>
      <c r="B1606" s="77" t="n">
        <v>-0.183791</v>
      </c>
      <c r="C1606" s="78" t="n">
        <f aca="false">05_Unit_Economics!$B$15*EXP((01_Inputs!$C$20-01_Inputs!$C$21^2/2)*01_Inputs!$C$22+01_Inputs!$C$21*SQRT(01_Inputs!$C$22)*B1606)</f>
        <v>50.7484197929549</v>
      </c>
      <c r="D1606" s="78" t="n">
        <f aca="false">MAX(C1606-05_Unit_Economics!$B$21,0)</f>
        <v>12.8408143184515</v>
      </c>
      <c r="E1606" s="78" t="n">
        <f aca="false">D1606*EXP(-01_Inputs!$C$20*01_Inputs!$C$22)</f>
        <v>12.2880680792187</v>
      </c>
      <c r="F1606" s="79"/>
    </row>
    <row r="1607" customFormat="false" ht="15" hidden="false" customHeight="false" outlineLevel="0" collapsed="false">
      <c r="A1607" s="76" t="n">
        <v>1596</v>
      </c>
      <c r="B1607" s="77" t="n">
        <v>0.183791</v>
      </c>
      <c r="C1607" s="78" t="n">
        <f aca="false">05_Unit_Economics!$B$15*EXP((01_Inputs!$C$20-01_Inputs!$C$21^2/2)*01_Inputs!$C$22+01_Inputs!$C$21*SQRT(01_Inputs!$C$22)*B1607)</f>
        <v>57.7159855085235</v>
      </c>
      <c r="D1607" s="78" t="n">
        <f aca="false">MAX(C1607-05_Unit_Economics!$B$21,0)</f>
        <v>19.80838003402</v>
      </c>
      <c r="E1607" s="78" t="n">
        <f aca="false">D1607*EXP(-01_Inputs!$C$20*01_Inputs!$C$22)</f>
        <v>18.9557076646855</v>
      </c>
      <c r="F1607" s="80" t="n">
        <f aca="false">AVERAGE(E1606:E1607)</f>
        <v>15.6218878719521</v>
      </c>
    </row>
    <row r="1608" customFormat="false" ht="15" hidden="false" customHeight="false" outlineLevel="0" collapsed="false">
      <c r="A1608" s="76" t="n">
        <v>1597</v>
      </c>
      <c r="B1608" s="77" t="n">
        <v>0.908691</v>
      </c>
      <c r="C1608" s="78" t="n">
        <f aca="false">05_Unit_Economics!$B$15*EXP((01_Inputs!$C$20-01_Inputs!$C$21^2/2)*01_Inputs!$C$22+01_Inputs!$C$21*SQRT(01_Inputs!$C$22)*B1608)</f>
        <v>74.3846185356027</v>
      </c>
      <c r="D1608" s="78" t="n">
        <f aca="false">MAX(C1608-05_Unit_Economics!$B$21,0)</f>
        <v>36.4770130610992</v>
      </c>
      <c r="E1608" s="78" t="n">
        <f aca="false">D1608*EXP(-01_Inputs!$C$20*01_Inputs!$C$22)</f>
        <v>34.9068220056149</v>
      </c>
      <c r="F1608" s="79"/>
    </row>
    <row r="1609" customFormat="false" ht="15" hidden="false" customHeight="false" outlineLevel="0" collapsed="false">
      <c r="A1609" s="76" t="n">
        <v>1598</v>
      </c>
      <c r="B1609" s="77" t="n">
        <v>-0.908691</v>
      </c>
      <c r="C1609" s="78" t="n">
        <f aca="false">05_Unit_Economics!$B$15*EXP((01_Inputs!$C$20-01_Inputs!$C$21^2/2)*01_Inputs!$C$22+01_Inputs!$C$21*SQRT(01_Inputs!$C$22)*B1609)</f>
        <v>39.3763538620387</v>
      </c>
      <c r="D1609" s="78" t="n">
        <f aca="false">MAX(C1609-05_Unit_Economics!$B$21,0)</f>
        <v>1.46874838753521</v>
      </c>
      <c r="E1609" s="78" t="n">
        <f aca="false">D1609*EXP(-01_Inputs!$C$20*01_Inputs!$C$22)</f>
        <v>1.40552458198397</v>
      </c>
      <c r="F1609" s="80" t="n">
        <f aca="false">AVERAGE(E1608:E1609)</f>
        <v>18.1561732937994</v>
      </c>
    </row>
    <row r="1610" customFormat="false" ht="15" hidden="false" customHeight="false" outlineLevel="0" collapsed="false">
      <c r="A1610" s="76" t="n">
        <v>1599</v>
      </c>
      <c r="B1610" s="77" t="n">
        <v>0.504461</v>
      </c>
      <c r="C1610" s="78" t="n">
        <f aca="false">05_Unit_Economics!$B$15*EXP((01_Inputs!$C$20-01_Inputs!$C$21^2/2)*01_Inputs!$C$22+01_Inputs!$C$21*SQRT(01_Inputs!$C$22)*B1610)</f>
        <v>64.5712122300997</v>
      </c>
      <c r="D1610" s="78" t="n">
        <f aca="false">MAX(C1610-05_Unit_Economics!$B$21,0)</f>
        <v>26.6636067555963</v>
      </c>
      <c r="E1610" s="78" t="n">
        <f aca="false">D1610*EXP(-01_Inputs!$C$20*01_Inputs!$C$22)</f>
        <v>25.5158440052729</v>
      </c>
      <c r="F1610" s="79"/>
    </row>
    <row r="1611" customFormat="false" ht="15" hidden="false" customHeight="false" outlineLevel="0" collapsed="false">
      <c r="A1611" s="76" t="n">
        <v>1600</v>
      </c>
      <c r="B1611" s="77" t="n">
        <v>-0.504461</v>
      </c>
      <c r="C1611" s="78" t="n">
        <f aca="false">05_Unit_Economics!$B$15*EXP((01_Inputs!$C$20-01_Inputs!$C$21^2/2)*01_Inputs!$C$22+01_Inputs!$C$21*SQRT(01_Inputs!$C$22)*B1611)</f>
        <v>45.3606949628446</v>
      </c>
      <c r="D1611" s="78" t="n">
        <f aca="false">MAX(C1611-05_Unit_Economics!$B$21,0)</f>
        <v>7.45308948834109</v>
      </c>
      <c r="E1611" s="78" t="n">
        <f aca="false">D1611*EXP(-01_Inputs!$C$20*01_Inputs!$C$22)</f>
        <v>7.13226348126877</v>
      </c>
      <c r="F1611" s="80" t="n">
        <f aca="false">AVERAGE(E1610:E1611)</f>
        <v>16.3240537432708</v>
      </c>
    </row>
    <row r="1612" customFormat="false" ht="15" hidden="false" customHeight="false" outlineLevel="0" collapsed="false">
      <c r="A1612" s="76" t="n">
        <v>1601</v>
      </c>
      <c r="B1612" s="77" t="n">
        <v>2.504564</v>
      </c>
      <c r="C1612" s="78" t="n">
        <f aca="false">05_Unit_Economics!$B$15*EXP((01_Inputs!$C$20-01_Inputs!$C$21^2/2)*01_Inputs!$C$22+01_Inputs!$C$21*SQRT(01_Inputs!$C$22)*B1612)</f>
        <v>130.035141135356</v>
      </c>
      <c r="D1612" s="78" t="n">
        <f aca="false">MAX(C1612-05_Unit_Economics!$B$21,0)</f>
        <v>92.1275356608525</v>
      </c>
      <c r="E1612" s="78" t="n">
        <f aca="false">D1612*EXP(-01_Inputs!$C$20*01_Inputs!$C$22)</f>
        <v>88.1618098428921</v>
      </c>
      <c r="F1612" s="79"/>
    </row>
    <row r="1613" customFormat="false" ht="15" hidden="false" customHeight="false" outlineLevel="0" collapsed="false">
      <c r="A1613" s="76" t="n">
        <v>1602</v>
      </c>
      <c r="B1613" s="77" t="n">
        <v>-2.504564</v>
      </c>
      <c r="C1613" s="78" t="n">
        <f aca="false">05_Unit_Economics!$B$15*EXP((01_Inputs!$C$20-01_Inputs!$C$21^2/2)*01_Inputs!$C$22+01_Inputs!$C$21*SQRT(01_Inputs!$C$22)*B1613)</f>
        <v>22.5246424603162</v>
      </c>
      <c r="D1613" s="78" t="n">
        <f aca="false">MAX(C1613-05_Unit_Economics!$B$21,0)</f>
        <v>0</v>
      </c>
      <c r="E1613" s="78" t="n">
        <f aca="false">D1613*EXP(-01_Inputs!$C$20*01_Inputs!$C$22)</f>
        <v>0</v>
      </c>
      <c r="F1613" s="80" t="n">
        <f aca="false">AVERAGE(E1612:E1613)</f>
        <v>44.080904921446</v>
      </c>
    </row>
    <row r="1614" customFormat="false" ht="15" hidden="false" customHeight="false" outlineLevel="0" collapsed="false">
      <c r="A1614" s="76" t="n">
        <v>1603</v>
      </c>
      <c r="B1614" s="77" t="n">
        <v>-0.564247</v>
      </c>
      <c r="C1614" s="78" t="n">
        <f aca="false">05_Unit_Economics!$B$15*EXP((01_Inputs!$C$20-01_Inputs!$C$21^2/2)*01_Inputs!$C$22+01_Inputs!$C$21*SQRT(01_Inputs!$C$22)*B1614)</f>
        <v>44.421379790415</v>
      </c>
      <c r="D1614" s="78" t="n">
        <f aca="false">MAX(C1614-05_Unit_Economics!$B$21,0)</f>
        <v>6.51377431591151</v>
      </c>
      <c r="E1614" s="78" t="n">
        <f aca="false">D1614*EXP(-01_Inputs!$C$20*01_Inputs!$C$22)</f>
        <v>6.2333821096978</v>
      </c>
      <c r="F1614" s="79"/>
    </row>
    <row r="1615" customFormat="false" ht="15" hidden="false" customHeight="false" outlineLevel="0" collapsed="false">
      <c r="A1615" s="76" t="n">
        <v>1604</v>
      </c>
      <c r="B1615" s="77" t="n">
        <v>0.564247</v>
      </c>
      <c r="C1615" s="78" t="n">
        <f aca="false">05_Unit_Economics!$B$15*EXP((01_Inputs!$C$20-01_Inputs!$C$21^2/2)*01_Inputs!$C$22+01_Inputs!$C$21*SQRT(01_Inputs!$C$22)*B1615)</f>
        <v>65.9366069935238</v>
      </c>
      <c r="D1615" s="78" t="n">
        <f aca="false">MAX(C1615-05_Unit_Economics!$B$21,0)</f>
        <v>28.0290015190203</v>
      </c>
      <c r="E1615" s="78" t="n">
        <f aca="false">D1615*EXP(-01_Inputs!$C$20*01_Inputs!$C$22)</f>
        <v>26.8224639276445</v>
      </c>
      <c r="F1615" s="80" t="n">
        <f aca="false">AVERAGE(E1614:E1615)</f>
        <v>16.5279230186712</v>
      </c>
    </row>
    <row r="1616" customFormat="false" ht="15" hidden="false" customHeight="false" outlineLevel="0" collapsed="false">
      <c r="A1616" s="76" t="n">
        <v>1605</v>
      </c>
      <c r="B1616" s="77" t="n">
        <v>-1.494314</v>
      </c>
      <c r="C1616" s="78" t="n">
        <f aca="false">05_Unit_Economics!$B$15*EXP((01_Inputs!$C$20-01_Inputs!$C$21^2/2)*01_Inputs!$C$22+01_Inputs!$C$21*SQRT(01_Inputs!$C$22)*B1616)</f>
        <v>32.0788659071689</v>
      </c>
      <c r="D1616" s="78" t="n">
        <f aca="false">MAX(C1616-05_Unit_Economics!$B$21,0)</f>
        <v>0</v>
      </c>
      <c r="E1616" s="78" t="n">
        <f aca="false">D1616*EXP(-01_Inputs!$C$20*01_Inputs!$C$22)</f>
        <v>0</v>
      </c>
      <c r="F1616" s="79"/>
    </row>
    <row r="1617" customFormat="false" ht="15" hidden="false" customHeight="false" outlineLevel="0" collapsed="false">
      <c r="A1617" s="76" t="n">
        <v>1606</v>
      </c>
      <c r="B1617" s="77" t="n">
        <v>1.494314</v>
      </c>
      <c r="C1617" s="78" t="n">
        <f aca="false">05_Unit_Economics!$B$15*EXP((01_Inputs!$C$20-01_Inputs!$C$21^2/2)*01_Inputs!$C$22+01_Inputs!$C$21*SQRT(01_Inputs!$C$22)*B1617)</f>
        <v>91.3060664247513</v>
      </c>
      <c r="D1617" s="78" t="n">
        <f aca="false">MAX(C1617-05_Unit_Economics!$B$21,0)</f>
        <v>53.3984609502479</v>
      </c>
      <c r="E1617" s="78" t="n">
        <f aca="false">D1617*EXP(-01_Inputs!$C$20*01_Inputs!$C$22)</f>
        <v>51.0998685293096</v>
      </c>
      <c r="F1617" s="80" t="n">
        <f aca="false">AVERAGE(E1616:E1617)</f>
        <v>25.5499342646548</v>
      </c>
    </row>
    <row r="1618" customFormat="false" ht="15" hidden="false" customHeight="false" outlineLevel="0" collapsed="false">
      <c r="A1618" s="76" t="n">
        <v>1607</v>
      </c>
      <c r="B1618" s="77" t="n">
        <v>0.757145</v>
      </c>
      <c r="C1618" s="78" t="n">
        <f aca="false">05_Unit_Economics!$B$15*EXP((01_Inputs!$C$20-01_Inputs!$C$21^2/2)*01_Inputs!$C$22+01_Inputs!$C$21*SQRT(01_Inputs!$C$22)*B1618)</f>
        <v>70.5419861200754</v>
      </c>
      <c r="D1618" s="78" t="n">
        <f aca="false">MAX(C1618-05_Unit_Economics!$B$21,0)</f>
        <v>32.6343806455719</v>
      </c>
      <c r="E1618" s="78" t="n">
        <f aca="false">D1618*EXP(-01_Inputs!$C$20*01_Inputs!$C$22)</f>
        <v>31.2295997084618</v>
      </c>
      <c r="F1618" s="79"/>
    </row>
    <row r="1619" customFormat="false" ht="15" hidden="false" customHeight="false" outlineLevel="0" collapsed="false">
      <c r="A1619" s="76" t="n">
        <v>1608</v>
      </c>
      <c r="B1619" s="77" t="n">
        <v>-0.757145</v>
      </c>
      <c r="C1619" s="78" t="n">
        <f aca="false">05_Unit_Economics!$B$15*EXP((01_Inputs!$C$20-01_Inputs!$C$21^2/2)*01_Inputs!$C$22+01_Inputs!$C$21*SQRT(01_Inputs!$C$22)*B1619)</f>
        <v>41.5213013192592</v>
      </c>
      <c r="D1619" s="78" t="n">
        <f aca="false">MAX(C1619-05_Unit_Economics!$B$21,0)</f>
        <v>3.61369584475577</v>
      </c>
      <c r="E1619" s="78" t="n">
        <f aca="false">D1619*EXP(-01_Inputs!$C$20*01_Inputs!$C$22)</f>
        <v>3.45814053974294</v>
      </c>
      <c r="F1619" s="80" t="n">
        <f aca="false">AVERAGE(E1618:E1619)</f>
        <v>17.3438701241024</v>
      </c>
    </row>
    <row r="1620" customFormat="false" ht="15" hidden="false" customHeight="false" outlineLevel="0" collapsed="false">
      <c r="A1620" s="76" t="n">
        <v>1609</v>
      </c>
      <c r="B1620" s="77" t="n">
        <v>-0.514583</v>
      </c>
      <c r="C1620" s="78" t="n">
        <f aca="false">05_Unit_Economics!$B$15*EXP((01_Inputs!$C$20-01_Inputs!$C$21^2/2)*01_Inputs!$C$22+01_Inputs!$C$21*SQRT(01_Inputs!$C$22)*B1620)</f>
        <v>45.2002799477138</v>
      </c>
      <c r="D1620" s="78" t="n">
        <f aca="false">MAX(C1620-05_Unit_Economics!$B$21,0)</f>
        <v>7.29267447321028</v>
      </c>
      <c r="E1620" s="78" t="n">
        <f aca="false">D1620*EXP(-01_Inputs!$C$20*01_Inputs!$C$22)</f>
        <v>6.97875369770125</v>
      </c>
      <c r="F1620" s="79"/>
    </row>
    <row r="1621" customFormat="false" ht="15" hidden="false" customHeight="false" outlineLevel="0" collapsed="false">
      <c r="A1621" s="76" t="n">
        <v>1610</v>
      </c>
      <c r="B1621" s="77" t="n">
        <v>0.514583</v>
      </c>
      <c r="C1621" s="78" t="n">
        <f aca="false">05_Unit_Economics!$B$15*EXP((01_Inputs!$C$20-01_Inputs!$C$21^2/2)*01_Inputs!$C$22+01_Inputs!$C$21*SQRT(01_Inputs!$C$22)*B1621)</f>
        <v>64.8003743503098</v>
      </c>
      <c r="D1621" s="78" t="n">
        <f aca="false">MAX(C1621-05_Unit_Economics!$B$21,0)</f>
        <v>26.8927688758063</v>
      </c>
      <c r="E1621" s="78" t="n">
        <f aca="false">D1621*EXP(-01_Inputs!$C$20*01_Inputs!$C$22)</f>
        <v>25.7351416031108</v>
      </c>
      <c r="F1621" s="80" t="n">
        <f aca="false">AVERAGE(E1620:E1621)</f>
        <v>16.356947650406</v>
      </c>
    </row>
    <row r="1622" customFormat="false" ht="15" hidden="false" customHeight="false" outlineLevel="0" collapsed="false">
      <c r="A1622" s="76" t="n">
        <v>1611</v>
      </c>
      <c r="B1622" s="77" t="n">
        <v>0.053586</v>
      </c>
      <c r="C1622" s="78" t="n">
        <f aca="false">05_Unit_Economics!$B$15*EXP((01_Inputs!$C$20-01_Inputs!$C$21^2/2)*01_Inputs!$C$22+01_Inputs!$C$21*SQRT(01_Inputs!$C$22)*B1622)</f>
        <v>55.1447987538946</v>
      </c>
      <c r="D1622" s="78" t="n">
        <f aca="false">MAX(C1622-05_Unit_Economics!$B$21,0)</f>
        <v>17.2371932793911</v>
      </c>
      <c r="E1622" s="78" t="n">
        <f aca="false">D1622*EXP(-01_Inputs!$C$20*01_Inputs!$C$22)</f>
        <v>16.4952003244411</v>
      </c>
      <c r="F1622" s="79"/>
    </row>
    <row r="1623" customFormat="false" ht="15" hidden="false" customHeight="false" outlineLevel="0" collapsed="false">
      <c r="A1623" s="76" t="n">
        <v>1612</v>
      </c>
      <c r="B1623" s="77" t="n">
        <v>-0.053586</v>
      </c>
      <c r="C1623" s="78" t="n">
        <f aca="false">05_Unit_Economics!$B$15*EXP((01_Inputs!$C$20-01_Inputs!$C$21^2/2)*01_Inputs!$C$22+01_Inputs!$C$21*SQRT(01_Inputs!$C$22)*B1623)</f>
        <v>53.1146205541967</v>
      </c>
      <c r="D1623" s="78" t="n">
        <f aca="false">MAX(C1623-05_Unit_Economics!$B$21,0)</f>
        <v>15.2070150796933</v>
      </c>
      <c r="E1623" s="78" t="n">
        <f aca="false">D1623*EXP(-01_Inputs!$C$20*01_Inputs!$C$22)</f>
        <v>14.5524132618648</v>
      </c>
      <c r="F1623" s="80" t="n">
        <f aca="false">AVERAGE(E1622:E1623)</f>
        <v>15.5238067931529</v>
      </c>
    </row>
    <row r="1624" customFormat="false" ht="15" hidden="false" customHeight="false" outlineLevel="0" collapsed="false">
      <c r="A1624" s="76" t="n">
        <v>1613</v>
      </c>
      <c r="B1624" s="77" t="n">
        <v>-0.793543</v>
      </c>
      <c r="C1624" s="78" t="n">
        <f aca="false">05_Unit_Economics!$B$15*EXP((01_Inputs!$C$20-01_Inputs!$C$21^2/2)*01_Inputs!$C$22+01_Inputs!$C$21*SQRT(01_Inputs!$C$22)*B1624)</f>
        <v>40.9957039846615</v>
      </c>
      <c r="D1624" s="78" t="n">
        <f aca="false">MAX(C1624-05_Unit_Economics!$B$21,0)</f>
        <v>3.08809851015806</v>
      </c>
      <c r="E1624" s="78" t="n">
        <f aca="false">D1624*EXP(-01_Inputs!$C$20*01_Inputs!$C$22)</f>
        <v>2.95516809036237</v>
      </c>
      <c r="F1624" s="79"/>
    </row>
    <row r="1625" customFormat="false" ht="15" hidden="false" customHeight="false" outlineLevel="0" collapsed="false">
      <c r="A1625" s="76" t="n">
        <v>1614</v>
      </c>
      <c r="B1625" s="77" t="n">
        <v>0.793543</v>
      </c>
      <c r="C1625" s="78" t="n">
        <f aca="false">05_Unit_Economics!$B$15*EXP((01_Inputs!$C$20-01_Inputs!$C$21^2/2)*01_Inputs!$C$22+01_Inputs!$C$21*SQRT(01_Inputs!$C$22)*B1625)</f>
        <v>71.4463901497223</v>
      </c>
      <c r="D1625" s="78" t="n">
        <f aca="false">MAX(C1625-05_Unit_Economics!$B$21,0)</f>
        <v>33.5387846752188</v>
      </c>
      <c r="E1625" s="78" t="n">
        <f aca="false">D1625*EXP(-01_Inputs!$C$20*01_Inputs!$C$22)</f>
        <v>32.095072723787</v>
      </c>
      <c r="F1625" s="80" t="n">
        <f aca="false">AVERAGE(E1624:E1625)</f>
        <v>17.5251204070747</v>
      </c>
    </row>
    <row r="1626" customFormat="false" ht="15" hidden="false" customHeight="false" outlineLevel="0" collapsed="false">
      <c r="A1626" s="76" t="n">
        <v>1615</v>
      </c>
      <c r="B1626" s="77" t="n">
        <v>0.300587</v>
      </c>
      <c r="C1626" s="78" t="n">
        <f aca="false">05_Unit_Economics!$B$15*EXP((01_Inputs!$C$20-01_Inputs!$C$21^2/2)*01_Inputs!$C$22+01_Inputs!$C$21*SQRT(01_Inputs!$C$22)*B1626)</f>
        <v>60.1242215021251</v>
      </c>
      <c r="D1626" s="78" t="n">
        <f aca="false">MAX(C1626-05_Unit_Economics!$B$21,0)</f>
        <v>22.2166160276216</v>
      </c>
      <c r="E1626" s="78" t="n">
        <f aca="false">D1626*EXP(-01_Inputs!$C$20*01_Inputs!$C$22)</f>
        <v>21.2602786292916</v>
      </c>
      <c r="F1626" s="79"/>
    </row>
    <row r="1627" customFormat="false" ht="15" hidden="false" customHeight="false" outlineLevel="0" collapsed="false">
      <c r="A1627" s="76" t="n">
        <v>1616</v>
      </c>
      <c r="B1627" s="77" t="n">
        <v>-0.300587</v>
      </c>
      <c r="C1627" s="78" t="n">
        <f aca="false">05_Unit_Economics!$B$15*EXP((01_Inputs!$C$20-01_Inputs!$C$21^2/2)*01_Inputs!$C$22+01_Inputs!$C$21*SQRT(01_Inputs!$C$22)*B1627)</f>
        <v>48.7157253461839</v>
      </c>
      <c r="D1627" s="78" t="n">
        <f aca="false">MAX(C1627-05_Unit_Economics!$B$21,0)</f>
        <v>10.8081198716805</v>
      </c>
      <c r="E1627" s="78" t="n">
        <f aca="false">D1627*EXP(-01_Inputs!$C$20*01_Inputs!$C$22)</f>
        <v>10.3428730840477</v>
      </c>
      <c r="F1627" s="80" t="n">
        <f aca="false">AVERAGE(E1626:E1627)</f>
        <v>15.8015758566697</v>
      </c>
    </row>
    <row r="1628" customFormat="false" ht="15" hidden="false" customHeight="false" outlineLevel="0" collapsed="false">
      <c r="A1628" s="76" t="n">
        <v>1617</v>
      </c>
      <c r="B1628" s="77" t="n">
        <v>-1.533043</v>
      </c>
      <c r="C1628" s="78" t="n">
        <f aca="false">05_Unit_Economics!$B$15*EXP((01_Inputs!$C$20-01_Inputs!$C$21^2/2)*01_Inputs!$C$22+01_Inputs!$C$21*SQRT(01_Inputs!$C$22)*B1628)</f>
        <v>31.6469659157156</v>
      </c>
      <c r="D1628" s="78" t="n">
        <f aca="false">MAX(C1628-05_Unit_Economics!$B$21,0)</f>
        <v>0</v>
      </c>
      <c r="E1628" s="78" t="n">
        <f aca="false">D1628*EXP(-01_Inputs!$C$20*01_Inputs!$C$22)</f>
        <v>0</v>
      </c>
      <c r="F1628" s="79"/>
    </row>
    <row r="1629" customFormat="false" ht="15" hidden="false" customHeight="false" outlineLevel="0" collapsed="false">
      <c r="A1629" s="76" t="n">
        <v>1618</v>
      </c>
      <c r="B1629" s="77" t="n">
        <v>1.533043</v>
      </c>
      <c r="C1629" s="78" t="n">
        <f aca="false">05_Unit_Economics!$B$15*EXP((01_Inputs!$C$20-01_Inputs!$C$21^2/2)*01_Inputs!$C$22+01_Inputs!$C$21*SQRT(01_Inputs!$C$22)*B1629)</f>
        <v>92.5521602655798</v>
      </c>
      <c r="D1629" s="78" t="n">
        <f aca="false">MAX(C1629-05_Unit_Economics!$B$21,0)</f>
        <v>54.6445547910763</v>
      </c>
      <c r="E1629" s="78" t="n">
        <f aca="false">D1629*EXP(-01_Inputs!$C$20*01_Inputs!$C$22)</f>
        <v>52.2923229616732</v>
      </c>
      <c r="F1629" s="80" t="n">
        <f aca="false">AVERAGE(E1628:E1629)</f>
        <v>26.1461614808366</v>
      </c>
    </row>
    <row r="1630" customFormat="false" ht="15" hidden="false" customHeight="false" outlineLevel="0" collapsed="false">
      <c r="A1630" s="76" t="n">
        <v>1619</v>
      </c>
      <c r="B1630" s="77" t="n">
        <v>-0.432116</v>
      </c>
      <c r="C1630" s="78" t="n">
        <f aca="false">05_Unit_Economics!$B$15*EXP((01_Inputs!$C$20-01_Inputs!$C$21^2/2)*01_Inputs!$C$22+01_Inputs!$C$21*SQRT(01_Inputs!$C$22)*B1630)</f>
        <v>46.5239265794032</v>
      </c>
      <c r="D1630" s="78" t="n">
        <f aca="false">MAX(C1630-05_Unit_Economics!$B$21,0)</f>
        <v>8.61632110489968</v>
      </c>
      <c r="E1630" s="78" t="n">
        <f aca="false">D1630*EXP(-01_Inputs!$C$20*01_Inputs!$C$22)</f>
        <v>8.24542258019229</v>
      </c>
      <c r="F1630" s="79"/>
    </row>
    <row r="1631" customFormat="false" ht="15" hidden="false" customHeight="false" outlineLevel="0" collapsed="false">
      <c r="A1631" s="76" t="n">
        <v>1620</v>
      </c>
      <c r="B1631" s="77" t="n">
        <v>0.432116</v>
      </c>
      <c r="C1631" s="78" t="n">
        <f aca="false">05_Unit_Economics!$B$15*EXP((01_Inputs!$C$20-01_Inputs!$C$21^2/2)*01_Inputs!$C$22+01_Inputs!$C$21*SQRT(01_Inputs!$C$22)*B1631)</f>
        <v>62.9567467043369</v>
      </c>
      <c r="D1631" s="78" t="n">
        <f aca="false">MAX(C1631-05_Unit_Economics!$B$21,0)</f>
        <v>25.0491412298334</v>
      </c>
      <c r="E1631" s="78" t="n">
        <f aca="false">D1631*EXP(-01_Inputs!$C$20*01_Inputs!$C$22)</f>
        <v>23.9708748311904</v>
      </c>
      <c r="F1631" s="80" t="n">
        <f aca="false">AVERAGE(E1630:E1631)</f>
        <v>16.1081487056913</v>
      </c>
    </row>
    <row r="1632" customFormat="false" ht="15" hidden="false" customHeight="false" outlineLevel="0" collapsed="false">
      <c r="A1632" s="76" t="n">
        <v>1621</v>
      </c>
      <c r="B1632" s="77" t="n">
        <v>-0.738242</v>
      </c>
      <c r="C1632" s="78" t="n">
        <f aca="false">05_Unit_Economics!$B$15*EXP((01_Inputs!$C$20-01_Inputs!$C$21^2/2)*01_Inputs!$C$22+01_Inputs!$C$21*SQRT(01_Inputs!$C$22)*B1632)</f>
        <v>41.7969190698984</v>
      </c>
      <c r="D1632" s="78" t="n">
        <f aca="false">MAX(C1632-05_Unit_Economics!$B$21,0)</f>
        <v>3.88931359539495</v>
      </c>
      <c r="E1632" s="78" t="n">
        <f aca="false">D1632*EXP(-01_Inputs!$C$20*01_Inputs!$C$22)</f>
        <v>3.72189403696692</v>
      </c>
      <c r="F1632" s="79"/>
    </row>
    <row r="1633" customFormat="false" ht="15" hidden="false" customHeight="false" outlineLevel="0" collapsed="false">
      <c r="A1633" s="76" t="n">
        <v>1622</v>
      </c>
      <c r="B1633" s="77" t="n">
        <v>0.738242</v>
      </c>
      <c r="C1633" s="78" t="n">
        <f aca="false">05_Unit_Economics!$B$15*EXP((01_Inputs!$C$20-01_Inputs!$C$21^2/2)*01_Inputs!$C$22+01_Inputs!$C$21*SQRT(01_Inputs!$C$22)*B1633)</f>
        <v>70.0768172996769</v>
      </c>
      <c r="D1633" s="78" t="n">
        <f aca="false">MAX(C1633-05_Unit_Economics!$B$21,0)</f>
        <v>32.1692118251734</v>
      </c>
      <c r="E1633" s="78" t="n">
        <f aca="false">D1633*EXP(-01_Inputs!$C$20*01_Inputs!$C$22)</f>
        <v>30.7844545648884</v>
      </c>
      <c r="F1633" s="80" t="n">
        <f aca="false">AVERAGE(E1632:E1633)</f>
        <v>17.2531743009277</v>
      </c>
    </row>
    <row r="1634" customFormat="false" ht="15" hidden="false" customHeight="false" outlineLevel="0" collapsed="false">
      <c r="A1634" s="76" t="n">
        <v>1623</v>
      </c>
      <c r="B1634" s="77" t="n">
        <v>1.410255</v>
      </c>
      <c r="C1634" s="78" t="n">
        <f aca="false">05_Unit_Economics!$B$15*EXP((01_Inputs!$C$20-01_Inputs!$C$21^2/2)*01_Inputs!$C$22+01_Inputs!$C$21*SQRT(01_Inputs!$C$22)*B1634)</f>
        <v>88.6589140134664</v>
      </c>
      <c r="D1634" s="78" t="n">
        <f aca="false">MAX(C1634-05_Unit_Economics!$B$21,0)</f>
        <v>50.7513085389629</v>
      </c>
      <c r="E1634" s="78" t="n">
        <f aca="false">D1634*EXP(-01_Inputs!$C$20*01_Inputs!$C$22)</f>
        <v>48.5666655532962</v>
      </c>
      <c r="F1634" s="79"/>
    </row>
    <row r="1635" customFormat="false" ht="15" hidden="false" customHeight="false" outlineLevel="0" collapsed="false">
      <c r="A1635" s="76" t="n">
        <v>1624</v>
      </c>
      <c r="B1635" s="77" t="n">
        <v>-1.410255</v>
      </c>
      <c r="C1635" s="78" t="n">
        <f aca="false">05_Unit_Economics!$B$15*EXP((01_Inputs!$C$20-01_Inputs!$C$21^2/2)*01_Inputs!$C$22+01_Inputs!$C$21*SQRT(01_Inputs!$C$22)*B1635)</f>
        <v>33.0366674794344</v>
      </c>
      <c r="D1635" s="78" t="n">
        <f aca="false">MAX(C1635-05_Unit_Economics!$B$21,0)</f>
        <v>0</v>
      </c>
      <c r="E1635" s="78" t="n">
        <f aca="false">D1635*EXP(-01_Inputs!$C$20*01_Inputs!$C$22)</f>
        <v>0</v>
      </c>
      <c r="F1635" s="80" t="n">
        <f aca="false">AVERAGE(E1634:E1635)</f>
        <v>24.2833327766481</v>
      </c>
    </row>
    <row r="1636" customFormat="false" ht="15" hidden="false" customHeight="false" outlineLevel="0" collapsed="false">
      <c r="A1636" s="76" t="n">
        <v>1625</v>
      </c>
      <c r="B1636" s="77" t="n">
        <v>-0.947585</v>
      </c>
      <c r="C1636" s="78" t="n">
        <f aca="false">05_Unit_Economics!$B$15*EXP((01_Inputs!$C$20-01_Inputs!$C$21^2/2)*01_Inputs!$C$22+01_Inputs!$C$21*SQRT(01_Inputs!$C$22)*B1636)</f>
        <v>38.8439594321395</v>
      </c>
      <c r="D1636" s="78" t="n">
        <f aca="false">MAX(C1636-05_Unit_Economics!$B$21,0)</f>
        <v>0.936353957636072</v>
      </c>
      <c r="E1636" s="78" t="n">
        <f aca="false">D1636*EXP(-01_Inputs!$C$20*01_Inputs!$C$22)</f>
        <v>0.896047625355389</v>
      </c>
      <c r="F1636" s="79"/>
    </row>
    <row r="1637" customFormat="false" ht="15" hidden="false" customHeight="false" outlineLevel="0" collapsed="false">
      <c r="A1637" s="76" t="n">
        <v>1626</v>
      </c>
      <c r="B1637" s="77" t="n">
        <v>0.947585</v>
      </c>
      <c r="C1637" s="78" t="n">
        <f aca="false">05_Unit_Economics!$B$15*EXP((01_Inputs!$C$20-01_Inputs!$C$21^2/2)*01_Inputs!$C$22+01_Inputs!$C$21*SQRT(01_Inputs!$C$22)*B1637)</f>
        <v>75.4041324357681</v>
      </c>
      <c r="D1637" s="78" t="n">
        <f aca="false">MAX(C1637-05_Unit_Economics!$B$21,0)</f>
        <v>37.4965269612646</v>
      </c>
      <c r="E1637" s="78" t="n">
        <f aca="false">D1637*EXP(-01_Inputs!$C$20*01_Inputs!$C$22)</f>
        <v>35.8824498670769</v>
      </c>
      <c r="F1637" s="80" t="n">
        <f aca="false">AVERAGE(E1636:E1637)</f>
        <v>18.3892487462162</v>
      </c>
    </row>
    <row r="1638" customFormat="false" ht="15" hidden="false" customHeight="false" outlineLevel="0" collapsed="false">
      <c r="A1638" s="76" t="n">
        <v>1627</v>
      </c>
      <c r="B1638" s="77" t="n">
        <v>1.703147</v>
      </c>
      <c r="C1638" s="78" t="n">
        <f aca="false">05_Unit_Economics!$B$15*EXP((01_Inputs!$C$20-01_Inputs!$C$21^2/2)*01_Inputs!$C$22+01_Inputs!$C$21*SQRT(01_Inputs!$C$22)*B1638)</f>
        <v>98.2297163775629</v>
      </c>
      <c r="D1638" s="78" t="n">
        <f aca="false">MAX(C1638-05_Unit_Economics!$B$21,0)</f>
        <v>60.3221109030594</v>
      </c>
      <c r="E1638" s="78" t="n">
        <f aca="false">D1638*EXP(-01_Inputs!$C$20*01_Inputs!$C$22)</f>
        <v>57.7254827518107</v>
      </c>
      <c r="F1638" s="79"/>
    </row>
    <row r="1639" customFormat="false" ht="15" hidden="false" customHeight="false" outlineLevel="0" collapsed="false">
      <c r="A1639" s="76" t="n">
        <v>1628</v>
      </c>
      <c r="B1639" s="77" t="n">
        <v>-1.703147</v>
      </c>
      <c r="C1639" s="78" t="n">
        <f aca="false">05_Unit_Economics!$B$15*EXP((01_Inputs!$C$20-01_Inputs!$C$21^2/2)*01_Inputs!$C$22+01_Inputs!$C$21*SQRT(01_Inputs!$C$22)*B1639)</f>
        <v>29.8178104280842</v>
      </c>
      <c r="D1639" s="78" t="n">
        <f aca="false">MAX(C1639-05_Unit_Economics!$B$21,0)</f>
        <v>0</v>
      </c>
      <c r="E1639" s="78" t="n">
        <f aca="false">D1639*EXP(-01_Inputs!$C$20*01_Inputs!$C$22)</f>
        <v>0</v>
      </c>
      <c r="F1639" s="80" t="n">
        <f aca="false">AVERAGE(E1638:E1639)</f>
        <v>28.8627413759054</v>
      </c>
    </row>
    <row r="1640" customFormat="false" ht="15" hidden="false" customHeight="false" outlineLevel="0" collapsed="false">
      <c r="A1640" s="76" t="n">
        <v>1629</v>
      </c>
      <c r="B1640" s="77" t="n">
        <v>0.553718</v>
      </c>
      <c r="C1640" s="78" t="n">
        <f aca="false">05_Unit_Economics!$B$15*EXP((01_Inputs!$C$20-01_Inputs!$C$21^2/2)*01_Inputs!$C$22+01_Inputs!$C$21*SQRT(01_Inputs!$C$22)*B1640)</f>
        <v>65.6940678772538</v>
      </c>
      <c r="D1640" s="78" t="n">
        <f aca="false">MAX(C1640-05_Unit_Economics!$B$21,0)</f>
        <v>27.7864624027503</v>
      </c>
      <c r="E1640" s="78" t="n">
        <f aca="false">D1640*EXP(-01_Inputs!$C$20*01_Inputs!$C$22)</f>
        <v>26.590365160488</v>
      </c>
      <c r="F1640" s="79"/>
    </row>
    <row r="1641" customFormat="false" ht="15" hidden="false" customHeight="false" outlineLevel="0" collapsed="false">
      <c r="A1641" s="76" t="n">
        <v>1630</v>
      </c>
      <c r="B1641" s="77" t="n">
        <v>-0.553718</v>
      </c>
      <c r="C1641" s="78" t="n">
        <f aca="false">05_Unit_Economics!$B$15*EXP((01_Inputs!$C$20-01_Inputs!$C$21^2/2)*01_Inputs!$C$22+01_Inputs!$C$21*SQRT(01_Inputs!$C$22)*B1641)</f>
        <v>44.5853812375166</v>
      </c>
      <c r="D1641" s="78" t="n">
        <f aca="false">MAX(C1641-05_Unit_Economics!$B$21,0)</f>
        <v>6.6777757630131</v>
      </c>
      <c r="E1641" s="78" t="n">
        <f aca="false">D1641*EXP(-01_Inputs!$C$20*01_Inputs!$C$22)</f>
        <v>6.39032394353298</v>
      </c>
      <c r="F1641" s="80" t="n">
        <f aca="false">AVERAGE(E1640:E1641)</f>
        <v>16.4903445520105</v>
      </c>
    </row>
    <row r="1642" customFormat="false" ht="15" hidden="false" customHeight="false" outlineLevel="0" collapsed="false">
      <c r="A1642" s="76" t="n">
        <v>1631</v>
      </c>
      <c r="B1642" s="77" t="n">
        <v>-0.237988</v>
      </c>
      <c r="C1642" s="78" t="n">
        <f aca="false">05_Unit_Economics!$B$15*EXP((01_Inputs!$C$20-01_Inputs!$C$21^2/2)*01_Inputs!$C$22+01_Inputs!$C$21*SQRT(01_Inputs!$C$22)*B1642)</f>
        <v>49.7948482733172</v>
      </c>
      <c r="D1642" s="78" t="n">
        <f aca="false">MAX(C1642-05_Unit_Economics!$B$21,0)</f>
        <v>11.8872427988137</v>
      </c>
      <c r="E1642" s="78" t="n">
        <f aca="false">D1642*EXP(-01_Inputs!$C$20*01_Inputs!$C$22)</f>
        <v>11.3755440397677</v>
      </c>
      <c r="F1642" s="79"/>
    </row>
    <row r="1643" customFormat="false" ht="15" hidden="false" customHeight="false" outlineLevel="0" collapsed="false">
      <c r="A1643" s="76" t="n">
        <v>1632</v>
      </c>
      <c r="B1643" s="77" t="n">
        <v>0.237988</v>
      </c>
      <c r="C1643" s="78" t="n">
        <f aca="false">05_Unit_Economics!$B$15*EXP((01_Inputs!$C$20-01_Inputs!$C$21^2/2)*01_Inputs!$C$22+01_Inputs!$C$21*SQRT(01_Inputs!$C$22)*B1643)</f>
        <v>58.821246834086</v>
      </c>
      <c r="D1643" s="78" t="n">
        <f aca="false">MAX(C1643-05_Unit_Economics!$B$21,0)</f>
        <v>20.9136413595826</v>
      </c>
      <c r="E1643" s="78" t="n">
        <f aca="false">D1643*EXP(-01_Inputs!$C$20*01_Inputs!$C$22)</f>
        <v>20.0133918642245</v>
      </c>
      <c r="F1643" s="80" t="n">
        <f aca="false">AVERAGE(E1642:E1643)</f>
        <v>15.6944679519961</v>
      </c>
    </row>
    <row r="1644" customFormat="false" ht="15" hidden="false" customHeight="false" outlineLevel="0" collapsed="false">
      <c r="A1644" s="76" t="n">
        <v>1633</v>
      </c>
      <c r="B1644" s="77" t="n">
        <v>-0.069453</v>
      </c>
      <c r="C1644" s="78" t="n">
        <f aca="false">05_Unit_Economics!$B$15*EXP((01_Inputs!$C$20-01_Inputs!$C$21^2/2)*01_Inputs!$C$22+01_Inputs!$C$21*SQRT(01_Inputs!$C$22)*B1644)</f>
        <v>52.8204686994785</v>
      </c>
      <c r="D1644" s="78" t="n">
        <f aca="false">MAX(C1644-05_Unit_Economics!$B$21,0)</f>
        <v>14.912863224975</v>
      </c>
      <c r="E1644" s="78" t="n">
        <f aca="false">D1644*EXP(-01_Inputs!$C$20*01_Inputs!$C$22)</f>
        <v>14.2709234803941</v>
      </c>
      <c r="F1644" s="79"/>
    </row>
    <row r="1645" customFormat="false" ht="15" hidden="false" customHeight="false" outlineLevel="0" collapsed="false">
      <c r="A1645" s="76" t="n">
        <v>1634</v>
      </c>
      <c r="B1645" s="77" t="n">
        <v>0.069453</v>
      </c>
      <c r="C1645" s="78" t="n">
        <f aca="false">05_Unit_Economics!$B$15*EXP((01_Inputs!$C$20-01_Inputs!$C$21^2/2)*01_Inputs!$C$22+01_Inputs!$C$21*SQRT(01_Inputs!$C$22)*B1645)</f>
        <v>55.4518945679021</v>
      </c>
      <c r="D1645" s="78" t="n">
        <f aca="false">MAX(C1645-05_Unit_Economics!$B$21,0)</f>
        <v>17.5442890933986</v>
      </c>
      <c r="E1645" s="78" t="n">
        <f aca="false">D1645*EXP(-01_Inputs!$C$20*01_Inputs!$C$22)</f>
        <v>16.789076878979</v>
      </c>
      <c r="F1645" s="80" t="n">
        <f aca="false">AVERAGE(E1644:E1645)</f>
        <v>15.5300001796866</v>
      </c>
    </row>
    <row r="1646" customFormat="false" ht="15" hidden="false" customHeight="false" outlineLevel="0" collapsed="false">
      <c r="A1646" s="76" t="n">
        <v>1635</v>
      </c>
      <c r="B1646" s="77" t="n">
        <v>-1.060842</v>
      </c>
      <c r="C1646" s="78" t="n">
        <f aca="false">05_Unit_Economics!$B$15*EXP((01_Inputs!$C$20-01_Inputs!$C$21^2/2)*01_Inputs!$C$22+01_Inputs!$C$21*SQRT(01_Inputs!$C$22)*B1646)</f>
        <v>37.3343057944175</v>
      </c>
      <c r="D1646" s="78" t="n">
        <f aca="false">MAX(C1646-05_Unit_Economics!$B$21,0)</f>
        <v>0</v>
      </c>
      <c r="E1646" s="78" t="n">
        <f aca="false">D1646*EXP(-01_Inputs!$C$20*01_Inputs!$C$22)</f>
        <v>0</v>
      </c>
      <c r="F1646" s="79"/>
    </row>
    <row r="1647" customFormat="false" ht="15" hidden="false" customHeight="false" outlineLevel="0" collapsed="false">
      <c r="A1647" s="76" t="n">
        <v>1636</v>
      </c>
      <c r="B1647" s="77" t="n">
        <v>1.060842</v>
      </c>
      <c r="C1647" s="78" t="n">
        <f aca="false">05_Unit_Economics!$B$15*EXP((01_Inputs!$C$20-01_Inputs!$C$21^2/2)*01_Inputs!$C$22+01_Inputs!$C$21*SQRT(01_Inputs!$C$22)*B1647)</f>
        <v>78.4531813040598</v>
      </c>
      <c r="D1647" s="78" t="n">
        <f aca="false">MAX(C1647-05_Unit_Economics!$B$21,0)</f>
        <v>40.5455758295564</v>
      </c>
      <c r="E1647" s="78" t="n">
        <f aca="false">D1647*EXP(-01_Inputs!$C$20*01_Inputs!$C$22)</f>
        <v>38.8002492481175</v>
      </c>
      <c r="F1647" s="80" t="n">
        <f aca="false">AVERAGE(E1646:E1647)</f>
        <v>19.4001246240587</v>
      </c>
    </row>
    <row r="1648" customFormat="false" ht="15" hidden="false" customHeight="false" outlineLevel="0" collapsed="false">
      <c r="A1648" s="76" t="n">
        <v>1637</v>
      </c>
      <c r="B1648" s="77" t="n">
        <v>1.730259</v>
      </c>
      <c r="C1648" s="78" t="n">
        <f aca="false">05_Unit_Economics!$B$15*EXP((01_Inputs!$C$20-01_Inputs!$C$21^2/2)*01_Inputs!$C$22+01_Inputs!$C$21*SQRT(01_Inputs!$C$22)*B1648)</f>
        <v>99.1662743675723</v>
      </c>
      <c r="D1648" s="78" t="n">
        <f aca="false">MAX(C1648-05_Unit_Economics!$B$21,0)</f>
        <v>61.2586688930688</v>
      </c>
      <c r="E1648" s="78" t="n">
        <f aca="false">D1648*EXP(-01_Inputs!$C$20*01_Inputs!$C$22)</f>
        <v>58.6217256267532</v>
      </c>
      <c r="F1648" s="79"/>
    </row>
    <row r="1649" customFormat="false" ht="15" hidden="false" customHeight="false" outlineLevel="0" collapsed="false">
      <c r="A1649" s="76" t="n">
        <v>1638</v>
      </c>
      <c r="B1649" s="77" t="n">
        <v>-1.730259</v>
      </c>
      <c r="C1649" s="78" t="n">
        <f aca="false">05_Unit_Economics!$B$15*EXP((01_Inputs!$C$20-01_Inputs!$C$21^2/2)*01_Inputs!$C$22+01_Inputs!$C$21*SQRT(01_Inputs!$C$22)*B1649)</f>
        <v>29.5362014962261</v>
      </c>
      <c r="D1649" s="78" t="n">
        <f aca="false">MAX(C1649-05_Unit_Economics!$B$21,0)</f>
        <v>0</v>
      </c>
      <c r="E1649" s="78" t="n">
        <f aca="false">D1649*EXP(-01_Inputs!$C$20*01_Inputs!$C$22)</f>
        <v>0</v>
      </c>
      <c r="F1649" s="80" t="n">
        <f aca="false">AVERAGE(E1648:E1649)</f>
        <v>29.3108628133766</v>
      </c>
    </row>
    <row r="1650" customFormat="false" ht="15" hidden="false" customHeight="false" outlineLevel="0" collapsed="false">
      <c r="A1650" s="76" t="n">
        <v>1639</v>
      </c>
      <c r="B1650" s="77" t="n">
        <v>-0.031911</v>
      </c>
      <c r="C1650" s="78" t="n">
        <f aca="false">05_Unit_Economics!$B$15*EXP((01_Inputs!$C$20-01_Inputs!$C$21^2/2)*01_Inputs!$C$22+01_Inputs!$C$21*SQRT(01_Inputs!$C$22)*B1650)</f>
        <v>53.5190936214556</v>
      </c>
      <c r="D1650" s="78" t="n">
        <f aca="false">MAX(C1650-05_Unit_Economics!$B$21,0)</f>
        <v>15.6114881469521</v>
      </c>
      <c r="E1650" s="78" t="n">
        <f aca="false">D1650*EXP(-01_Inputs!$C$20*01_Inputs!$C$22)</f>
        <v>14.9394753642694</v>
      </c>
      <c r="F1650" s="79"/>
    </row>
    <row r="1651" customFormat="false" ht="15" hidden="false" customHeight="false" outlineLevel="0" collapsed="false">
      <c r="A1651" s="76" t="n">
        <v>1640</v>
      </c>
      <c r="B1651" s="77" t="n">
        <v>0.031911</v>
      </c>
      <c r="C1651" s="78" t="n">
        <f aca="false">05_Unit_Economics!$B$15*EXP((01_Inputs!$C$20-01_Inputs!$C$21^2/2)*01_Inputs!$C$22+01_Inputs!$C$21*SQRT(01_Inputs!$C$22)*B1651)</f>
        <v>54.728039343634</v>
      </c>
      <c r="D1651" s="78" t="n">
        <f aca="false">MAX(C1651-05_Unit_Economics!$B$21,0)</f>
        <v>16.8204338691305</v>
      </c>
      <c r="E1651" s="78" t="n">
        <f aca="false">D1651*EXP(-01_Inputs!$C$20*01_Inputs!$C$22)</f>
        <v>16.0963807574781</v>
      </c>
      <c r="F1651" s="80" t="n">
        <f aca="false">AVERAGE(E1650:E1651)</f>
        <v>15.5179280608738</v>
      </c>
    </row>
    <row r="1652" customFormat="false" ht="15" hidden="false" customHeight="false" outlineLevel="0" collapsed="false">
      <c r="A1652" s="76" t="n">
        <v>1641</v>
      </c>
      <c r="B1652" s="77" t="n">
        <v>-1.767622</v>
      </c>
      <c r="C1652" s="78" t="n">
        <f aca="false">05_Unit_Economics!$B$15*EXP((01_Inputs!$C$20-01_Inputs!$C$21^2/2)*01_Inputs!$C$22+01_Inputs!$C$21*SQRT(01_Inputs!$C$22)*B1652)</f>
        <v>29.1524696213659</v>
      </c>
      <c r="D1652" s="78" t="n">
        <f aca="false">MAX(C1652-05_Unit_Economics!$B$21,0)</f>
        <v>0</v>
      </c>
      <c r="E1652" s="78" t="n">
        <f aca="false">D1652*EXP(-01_Inputs!$C$20*01_Inputs!$C$22)</f>
        <v>0</v>
      </c>
      <c r="F1652" s="79"/>
    </row>
    <row r="1653" customFormat="false" ht="15" hidden="false" customHeight="false" outlineLevel="0" collapsed="false">
      <c r="A1653" s="76" t="n">
        <v>1642</v>
      </c>
      <c r="B1653" s="77" t="n">
        <v>1.767622</v>
      </c>
      <c r="C1653" s="78" t="n">
        <f aca="false">05_Unit_Economics!$B$15*EXP((01_Inputs!$C$20-01_Inputs!$C$21^2/2)*01_Inputs!$C$22+01_Inputs!$C$21*SQRT(01_Inputs!$C$22)*B1653)</f>
        <v>100.471592952248</v>
      </c>
      <c r="D1653" s="78" t="n">
        <f aca="false">MAX(C1653-05_Unit_Economics!$B$21,0)</f>
        <v>62.5639874777446</v>
      </c>
      <c r="E1653" s="78" t="n">
        <f aca="false">D1653*EXP(-01_Inputs!$C$20*01_Inputs!$C$22)</f>
        <v>59.8708554121218</v>
      </c>
      <c r="F1653" s="80" t="n">
        <f aca="false">AVERAGE(E1652:E1653)</f>
        <v>29.9354277060609</v>
      </c>
    </row>
    <row r="1654" customFormat="false" ht="15" hidden="false" customHeight="false" outlineLevel="0" collapsed="false">
      <c r="A1654" s="76" t="n">
        <v>1643</v>
      </c>
      <c r="B1654" s="77" t="n">
        <v>-0.656302</v>
      </c>
      <c r="C1654" s="78" t="n">
        <f aca="false">05_Unit_Economics!$B$15*EXP((01_Inputs!$C$20-01_Inputs!$C$21^2/2)*01_Inputs!$C$22+01_Inputs!$C$21*SQRT(01_Inputs!$C$22)*B1654)</f>
        <v>43.012967085119</v>
      </c>
      <c r="D1654" s="78" t="n">
        <f aca="false">MAX(C1654-05_Unit_Economics!$B$21,0)</f>
        <v>5.10536161061555</v>
      </c>
      <c r="E1654" s="78" t="n">
        <f aca="false">D1654*EXP(-01_Inputs!$C$20*01_Inputs!$C$22)</f>
        <v>4.88559599760951</v>
      </c>
      <c r="F1654" s="79"/>
    </row>
    <row r="1655" customFormat="false" ht="15" hidden="false" customHeight="false" outlineLevel="0" collapsed="false">
      <c r="A1655" s="76" t="n">
        <v>1644</v>
      </c>
      <c r="B1655" s="77" t="n">
        <v>0.656302</v>
      </c>
      <c r="C1655" s="78" t="n">
        <f aca="false">05_Unit_Economics!$B$15*EXP((01_Inputs!$C$20-01_Inputs!$C$21^2/2)*01_Inputs!$C$22+01_Inputs!$C$21*SQRT(01_Inputs!$C$22)*B1655)</f>
        <v>68.0956292913813</v>
      </c>
      <c r="D1655" s="78" t="n">
        <f aca="false">MAX(C1655-05_Unit_Economics!$B$21,0)</f>
        <v>30.1880238168779</v>
      </c>
      <c r="E1655" s="78" t="n">
        <f aca="false">D1655*EXP(-01_Inputs!$C$20*01_Inputs!$C$22)</f>
        <v>28.8885488598519</v>
      </c>
      <c r="F1655" s="80" t="n">
        <f aca="false">AVERAGE(E1654:E1655)</f>
        <v>16.8870724287307</v>
      </c>
    </row>
    <row r="1656" customFormat="false" ht="15" hidden="false" customHeight="false" outlineLevel="0" collapsed="false">
      <c r="A1656" s="76" t="n">
        <v>1645</v>
      </c>
      <c r="B1656" s="77" t="n">
        <v>-0.053437</v>
      </c>
      <c r="C1656" s="78" t="n">
        <f aca="false">05_Unit_Economics!$B$15*EXP((01_Inputs!$C$20-01_Inputs!$C$21^2/2)*01_Inputs!$C$22+01_Inputs!$C$21*SQRT(01_Inputs!$C$22)*B1656)</f>
        <v>53.1173905538857</v>
      </c>
      <c r="D1656" s="78" t="n">
        <f aca="false">MAX(C1656-05_Unit_Economics!$B$21,0)</f>
        <v>15.2097850793823</v>
      </c>
      <c r="E1656" s="78" t="n">
        <f aca="false">D1656*EXP(-01_Inputs!$C$20*01_Inputs!$C$22)</f>
        <v>14.5550640240294</v>
      </c>
      <c r="F1656" s="79"/>
    </row>
    <row r="1657" customFormat="false" ht="15" hidden="false" customHeight="false" outlineLevel="0" collapsed="false">
      <c r="A1657" s="76" t="n">
        <v>1646</v>
      </c>
      <c r="B1657" s="77" t="n">
        <v>0.053437</v>
      </c>
      <c r="C1657" s="78" t="n">
        <f aca="false">05_Unit_Economics!$B$15*EXP((01_Inputs!$C$20-01_Inputs!$C$21^2/2)*01_Inputs!$C$22+01_Inputs!$C$21*SQRT(01_Inputs!$C$22)*B1657)</f>
        <v>55.1419230276248</v>
      </c>
      <c r="D1657" s="78" t="n">
        <f aca="false">MAX(C1657-05_Unit_Economics!$B$21,0)</f>
        <v>17.2343175531213</v>
      </c>
      <c r="E1657" s="78" t="n">
        <f aca="false">D1657*EXP(-01_Inputs!$C$20*01_Inputs!$C$22)</f>
        <v>16.4924483868067</v>
      </c>
      <c r="F1657" s="80" t="n">
        <f aca="false">AVERAGE(E1656:E1657)</f>
        <v>15.523756205418</v>
      </c>
    </row>
    <row r="1658" customFormat="false" ht="15" hidden="false" customHeight="false" outlineLevel="0" collapsed="false">
      <c r="A1658" s="76" t="n">
        <v>1647</v>
      </c>
      <c r="B1658" s="77" t="n">
        <v>0.194656</v>
      </c>
      <c r="C1658" s="78" t="n">
        <f aca="false">05_Unit_Economics!$B$15*EXP((01_Inputs!$C$20-01_Inputs!$C$21^2/2)*01_Inputs!$C$22+01_Inputs!$C$21*SQRT(01_Inputs!$C$22)*B1658)</f>
        <v>57.9358828146636</v>
      </c>
      <c r="D1658" s="78" t="n">
        <f aca="false">MAX(C1658-05_Unit_Economics!$B$21,0)</f>
        <v>20.0282773401602</v>
      </c>
      <c r="E1658" s="78" t="n">
        <f aca="false">D1658*EXP(-01_Inputs!$C$20*01_Inputs!$C$22)</f>
        <v>19.166139262034</v>
      </c>
      <c r="F1658" s="79"/>
    </row>
    <row r="1659" customFormat="false" ht="15" hidden="false" customHeight="false" outlineLevel="0" collapsed="false">
      <c r="A1659" s="76" t="n">
        <v>1648</v>
      </c>
      <c r="B1659" s="77" t="n">
        <v>-0.194656</v>
      </c>
      <c r="C1659" s="78" t="n">
        <f aca="false">05_Unit_Economics!$B$15*EXP((01_Inputs!$C$20-01_Inputs!$C$21^2/2)*01_Inputs!$C$22+01_Inputs!$C$21*SQRT(01_Inputs!$C$22)*B1659)</f>
        <v>50.5558027090133</v>
      </c>
      <c r="D1659" s="78" t="n">
        <f aca="false">MAX(C1659-05_Unit_Economics!$B$21,0)</f>
        <v>12.6481972345099</v>
      </c>
      <c r="E1659" s="78" t="n">
        <f aca="false">D1659*EXP(-01_Inputs!$C$20*01_Inputs!$C$22)</f>
        <v>12.1037423984639</v>
      </c>
      <c r="F1659" s="80" t="n">
        <f aca="false">AVERAGE(E1658:E1659)</f>
        <v>15.6349408302489</v>
      </c>
    </row>
    <row r="1660" customFormat="false" ht="15" hidden="false" customHeight="false" outlineLevel="0" collapsed="false">
      <c r="A1660" s="76" t="n">
        <v>1649</v>
      </c>
      <c r="B1660" s="77" t="n">
        <v>-0.384717</v>
      </c>
      <c r="C1660" s="78" t="n">
        <f aca="false">05_Unit_Economics!$B$15*EXP((01_Inputs!$C$20-01_Inputs!$C$21^2/2)*01_Inputs!$C$22+01_Inputs!$C$21*SQRT(01_Inputs!$C$22)*B1660)</f>
        <v>47.302179863852</v>
      </c>
      <c r="D1660" s="78" t="n">
        <f aca="false">MAX(C1660-05_Unit_Economics!$B$21,0)</f>
        <v>9.39457438934848</v>
      </c>
      <c r="E1660" s="78" t="n">
        <f aca="false">D1660*EXP(-01_Inputs!$C$20*01_Inputs!$C$22)</f>
        <v>8.99017514066196</v>
      </c>
      <c r="F1660" s="79"/>
    </row>
    <row r="1661" customFormat="false" ht="15" hidden="false" customHeight="false" outlineLevel="0" collapsed="false">
      <c r="A1661" s="76" t="n">
        <v>1650</v>
      </c>
      <c r="B1661" s="77" t="n">
        <v>0.384717</v>
      </c>
      <c r="C1661" s="78" t="n">
        <f aca="false">05_Unit_Economics!$B$15*EXP((01_Inputs!$C$20-01_Inputs!$C$21^2/2)*01_Inputs!$C$22+01_Inputs!$C$21*SQRT(01_Inputs!$C$22)*B1661)</f>
        <v>61.9209319693314</v>
      </c>
      <c r="D1661" s="78" t="n">
        <f aca="false">MAX(C1661-05_Unit_Economics!$B$21,0)</f>
        <v>24.0133264948279</v>
      </c>
      <c r="E1661" s="78" t="n">
        <f aca="false">D1661*EXP(-01_Inputs!$C$20*01_Inputs!$C$22)</f>
        <v>22.9796478213179</v>
      </c>
      <c r="F1661" s="80" t="n">
        <f aca="false">AVERAGE(E1660:E1661)</f>
        <v>15.9849114809899</v>
      </c>
    </row>
    <row r="1662" customFormat="false" ht="15" hidden="false" customHeight="false" outlineLevel="0" collapsed="false">
      <c r="A1662" s="76" t="n">
        <v>1651</v>
      </c>
      <c r="B1662" s="77" t="n">
        <v>-0.26299</v>
      </c>
      <c r="C1662" s="78" t="n">
        <f aca="false">05_Unit_Economics!$B$15*EXP((01_Inputs!$C$20-01_Inputs!$C$21^2/2)*01_Inputs!$C$22+01_Inputs!$C$21*SQRT(01_Inputs!$C$22)*B1662)</f>
        <v>49.3610094596068</v>
      </c>
      <c r="D1662" s="78" t="n">
        <f aca="false">MAX(C1662-05_Unit_Economics!$B$21,0)</f>
        <v>11.4534039851033</v>
      </c>
      <c r="E1662" s="78" t="n">
        <f aca="false">D1662*EXP(-01_Inputs!$C$20*01_Inputs!$C$22)</f>
        <v>10.9603802700822</v>
      </c>
      <c r="F1662" s="79"/>
    </row>
    <row r="1663" customFormat="false" ht="15" hidden="false" customHeight="false" outlineLevel="0" collapsed="false">
      <c r="A1663" s="76" t="n">
        <v>1652</v>
      </c>
      <c r="B1663" s="77" t="n">
        <v>0.26299</v>
      </c>
      <c r="C1663" s="78" t="n">
        <f aca="false">05_Unit_Economics!$B$15*EXP((01_Inputs!$C$20-01_Inputs!$C$21^2/2)*01_Inputs!$C$22+01_Inputs!$C$21*SQRT(01_Inputs!$C$22)*B1663)</f>
        <v>59.3382326134864</v>
      </c>
      <c r="D1663" s="78" t="n">
        <f aca="false">MAX(C1663-05_Unit_Economics!$B$21,0)</f>
        <v>21.430627138983</v>
      </c>
      <c r="E1663" s="78" t="n">
        <f aca="false">D1663*EXP(-01_Inputs!$C$20*01_Inputs!$C$22)</f>
        <v>20.508123451779</v>
      </c>
      <c r="F1663" s="80" t="n">
        <f aca="false">AVERAGE(E1662:E1663)</f>
        <v>15.7342518609306</v>
      </c>
    </row>
    <row r="1664" customFormat="false" ht="15" hidden="false" customHeight="false" outlineLevel="0" collapsed="false">
      <c r="A1664" s="76" t="n">
        <v>1653</v>
      </c>
      <c r="B1664" s="77" t="n">
        <v>1.998203</v>
      </c>
      <c r="C1664" s="78" t="n">
        <f aca="false">05_Unit_Economics!$B$15*EXP((01_Inputs!$C$20-01_Inputs!$C$21^2/2)*01_Inputs!$C$22+01_Inputs!$C$21*SQRT(01_Inputs!$C$22)*B1664)</f>
        <v>108.916156558425</v>
      </c>
      <c r="D1664" s="78" t="n">
        <f aca="false">MAX(C1664-05_Unit_Economics!$B$21,0)</f>
        <v>71.0085510839219</v>
      </c>
      <c r="E1664" s="78" t="n">
        <f aca="false">D1664*EXP(-01_Inputs!$C$20*01_Inputs!$C$22)</f>
        <v>67.9519139741861</v>
      </c>
      <c r="F1664" s="79"/>
    </row>
    <row r="1665" customFormat="false" ht="15" hidden="false" customHeight="false" outlineLevel="0" collapsed="false">
      <c r="A1665" s="76" t="n">
        <v>1654</v>
      </c>
      <c r="B1665" s="77" t="n">
        <v>-1.998203</v>
      </c>
      <c r="C1665" s="78" t="n">
        <f aca="false">05_Unit_Economics!$B$15*EXP((01_Inputs!$C$20-01_Inputs!$C$21^2/2)*01_Inputs!$C$22+01_Inputs!$C$21*SQRT(01_Inputs!$C$22)*B1665)</f>
        <v>26.8921999628169</v>
      </c>
      <c r="D1665" s="78" t="n">
        <f aca="false">MAX(C1665-05_Unit_Economics!$B$21,0)</f>
        <v>0</v>
      </c>
      <c r="E1665" s="78" t="n">
        <f aca="false">D1665*EXP(-01_Inputs!$C$20*01_Inputs!$C$22)</f>
        <v>0</v>
      </c>
      <c r="F1665" s="80" t="n">
        <f aca="false">AVERAGE(E1664:E1665)</f>
        <v>33.975956987093</v>
      </c>
    </row>
    <row r="1666" customFormat="false" ht="15" hidden="false" customHeight="false" outlineLevel="0" collapsed="false">
      <c r="A1666" s="76" t="n">
        <v>1655</v>
      </c>
      <c r="B1666" s="77" t="n">
        <v>0.000515</v>
      </c>
      <c r="C1666" s="78" t="n">
        <f aca="false">05_Unit_Economics!$B$15*EXP((01_Inputs!$C$20-01_Inputs!$C$21^2/2)*01_Inputs!$C$22+01_Inputs!$C$21*SQRT(01_Inputs!$C$22)*B1666)</f>
        <v>54.1299469279216</v>
      </c>
      <c r="D1666" s="78" t="n">
        <f aca="false">MAX(C1666-05_Unit_Economics!$B$21,0)</f>
        <v>16.2223414534181</v>
      </c>
      <c r="E1666" s="78" t="n">
        <f aca="false">D1666*EXP(-01_Inputs!$C$20*01_Inputs!$C$22)</f>
        <v>15.5240338533275</v>
      </c>
      <c r="F1666" s="79"/>
    </row>
    <row r="1667" customFormat="false" ht="15" hidden="false" customHeight="false" outlineLevel="0" collapsed="false">
      <c r="A1667" s="76" t="n">
        <v>1656</v>
      </c>
      <c r="B1667" s="77" t="n">
        <v>-0.000515</v>
      </c>
      <c r="C1667" s="78" t="n">
        <f aca="false">05_Unit_Economics!$B$15*EXP((01_Inputs!$C$20-01_Inputs!$C$21^2/2)*01_Inputs!$C$22+01_Inputs!$C$21*SQRT(01_Inputs!$C$22)*B1667)</f>
        <v>54.1104365990022</v>
      </c>
      <c r="D1667" s="78" t="n">
        <f aca="false">MAX(C1667-05_Unit_Economics!$B$21,0)</f>
        <v>16.2028311244987</v>
      </c>
      <c r="E1667" s="78" t="n">
        <f aca="false">D1667*EXP(-01_Inputs!$C$20*01_Inputs!$C$22)</f>
        <v>15.5053633668565</v>
      </c>
      <c r="F1667" s="80" t="n">
        <f aca="false">AVERAGE(E1666:E1667)</f>
        <v>15.514698610092</v>
      </c>
    </row>
    <row r="1668" customFormat="false" ht="15" hidden="false" customHeight="false" outlineLevel="0" collapsed="false">
      <c r="A1668" s="76" t="n">
        <v>1657</v>
      </c>
      <c r="B1668" s="77" t="n">
        <v>1.604745</v>
      </c>
      <c r="C1668" s="78" t="n">
        <f aca="false">05_Unit_Economics!$B$15*EXP((01_Inputs!$C$20-01_Inputs!$C$21^2/2)*01_Inputs!$C$22+01_Inputs!$C$21*SQRT(01_Inputs!$C$22)*B1668)</f>
        <v>94.9042112559406</v>
      </c>
      <c r="D1668" s="78" t="n">
        <f aca="false">MAX(C1668-05_Unit_Economics!$B$21,0)</f>
        <v>56.9966057814372</v>
      </c>
      <c r="E1668" s="78" t="n">
        <f aca="false">D1668*EXP(-01_Inputs!$C$20*01_Inputs!$C$22)</f>
        <v>54.5431274650774</v>
      </c>
      <c r="F1668" s="79"/>
    </row>
    <row r="1669" customFormat="false" ht="15" hidden="false" customHeight="false" outlineLevel="0" collapsed="false">
      <c r="A1669" s="76" t="n">
        <v>1658</v>
      </c>
      <c r="B1669" s="77" t="n">
        <v>-1.604745</v>
      </c>
      <c r="C1669" s="78" t="n">
        <f aca="false">05_Unit_Economics!$B$15*EXP((01_Inputs!$C$20-01_Inputs!$C$21^2/2)*01_Inputs!$C$22+01_Inputs!$C$21*SQRT(01_Inputs!$C$22)*B1669)</f>
        <v>30.8626458466806</v>
      </c>
      <c r="D1669" s="78" t="n">
        <f aca="false">MAX(C1669-05_Unit_Economics!$B$21,0)</f>
        <v>0</v>
      </c>
      <c r="E1669" s="78" t="n">
        <f aca="false">D1669*EXP(-01_Inputs!$C$20*01_Inputs!$C$22)</f>
        <v>0</v>
      </c>
      <c r="F1669" s="80" t="n">
        <f aca="false">AVERAGE(E1668:E1669)</f>
        <v>27.2715637325387</v>
      </c>
    </row>
    <row r="1670" customFormat="false" ht="15" hidden="false" customHeight="false" outlineLevel="0" collapsed="false">
      <c r="A1670" s="76" t="n">
        <v>1659</v>
      </c>
      <c r="B1670" s="77" t="n">
        <v>-0.880672</v>
      </c>
      <c r="C1670" s="78" t="n">
        <f aca="false">05_Unit_Economics!$B$15*EXP((01_Inputs!$C$20-01_Inputs!$C$21^2/2)*01_Inputs!$C$22+01_Inputs!$C$21*SQRT(01_Inputs!$C$22)*B1670)</f>
        <v>39.7644036067516</v>
      </c>
      <c r="D1670" s="78" t="n">
        <f aca="false">MAX(C1670-05_Unit_Economics!$B$21,0)</f>
        <v>1.85679813224809</v>
      </c>
      <c r="E1670" s="78" t="n">
        <f aca="false">D1670*EXP(-01_Inputs!$C$20*01_Inputs!$C$22)</f>
        <v>1.77687032088338</v>
      </c>
      <c r="F1670" s="79"/>
    </row>
    <row r="1671" customFormat="false" ht="15" hidden="false" customHeight="false" outlineLevel="0" collapsed="false">
      <c r="A1671" s="76" t="n">
        <v>1660</v>
      </c>
      <c r="B1671" s="77" t="n">
        <v>0.880672</v>
      </c>
      <c r="C1671" s="78" t="n">
        <f aca="false">05_Unit_Economics!$B$15*EXP((01_Inputs!$C$20-01_Inputs!$C$21^2/2)*01_Inputs!$C$22+01_Inputs!$C$21*SQRT(01_Inputs!$C$22)*B1671)</f>
        <v>73.6587197513844</v>
      </c>
      <c r="D1671" s="78" t="n">
        <f aca="false">MAX(C1671-05_Unit_Economics!$B$21,0)</f>
        <v>35.7511142768809</v>
      </c>
      <c r="E1671" s="78" t="n">
        <f aca="false">D1671*EXP(-01_Inputs!$C$20*01_Inputs!$C$22)</f>
        <v>34.2121702913323</v>
      </c>
      <c r="F1671" s="80" t="n">
        <f aca="false">AVERAGE(E1670:E1671)</f>
        <v>17.9945203061079</v>
      </c>
    </row>
    <row r="1672" customFormat="false" ht="15" hidden="false" customHeight="false" outlineLevel="0" collapsed="false">
      <c r="A1672" s="76" t="n">
        <v>1661</v>
      </c>
      <c r="B1672" s="77" t="n">
        <v>0.82468</v>
      </c>
      <c r="C1672" s="78" t="n">
        <f aca="false">05_Unit_Economics!$B$15*EXP((01_Inputs!$C$20-01_Inputs!$C$21^2/2)*01_Inputs!$C$22+01_Inputs!$C$21*SQRT(01_Inputs!$C$22)*B1672)</f>
        <v>72.2292674679825</v>
      </c>
      <c r="D1672" s="78" t="n">
        <f aca="false">MAX(C1672-05_Unit_Economics!$B$21,0)</f>
        <v>34.321661993479</v>
      </c>
      <c r="E1672" s="78" t="n">
        <f aca="false">D1672*EXP(-01_Inputs!$C$20*01_Inputs!$C$22)</f>
        <v>32.844250271712</v>
      </c>
      <c r="F1672" s="79"/>
    </row>
    <row r="1673" customFormat="false" ht="15" hidden="false" customHeight="false" outlineLevel="0" collapsed="false">
      <c r="A1673" s="76" t="n">
        <v>1662</v>
      </c>
      <c r="B1673" s="77" t="n">
        <v>-0.82468</v>
      </c>
      <c r="C1673" s="78" t="n">
        <f aca="false">05_Unit_Economics!$B$15*EXP((01_Inputs!$C$20-01_Inputs!$C$21^2/2)*01_Inputs!$C$22+01_Inputs!$C$21*SQRT(01_Inputs!$C$22)*B1673)</f>
        <v>40.5513604668496</v>
      </c>
      <c r="D1673" s="78" t="n">
        <f aca="false">MAX(C1673-05_Unit_Economics!$B$21,0)</f>
        <v>2.64375499234614</v>
      </c>
      <c r="E1673" s="78" t="n">
        <f aca="false">D1673*EXP(-01_Inputs!$C$20*01_Inputs!$C$22)</f>
        <v>2.52995180251476</v>
      </c>
      <c r="F1673" s="80" t="n">
        <f aca="false">AVERAGE(E1672:E1673)</f>
        <v>17.6871010371134</v>
      </c>
    </row>
    <row r="1674" customFormat="false" ht="15" hidden="false" customHeight="false" outlineLevel="0" collapsed="false">
      <c r="A1674" s="76" t="n">
        <v>1663</v>
      </c>
      <c r="B1674" s="77" t="n">
        <v>0.881587</v>
      </c>
      <c r="C1674" s="78" t="n">
        <f aca="false">05_Unit_Economics!$B$15*EXP((01_Inputs!$C$20-01_Inputs!$C$21^2/2)*01_Inputs!$C$22+01_Inputs!$C$21*SQRT(01_Inputs!$C$22)*B1674)</f>
        <v>73.6823127340095</v>
      </c>
      <c r="D1674" s="78" t="n">
        <f aca="false">MAX(C1674-05_Unit_Economics!$B$21,0)</f>
        <v>35.774707259506</v>
      </c>
      <c r="E1674" s="78" t="n">
        <f aca="false">D1674*EXP(-01_Inputs!$C$20*01_Inputs!$C$22)</f>
        <v>34.234747689424</v>
      </c>
      <c r="F1674" s="79"/>
    </row>
    <row r="1675" customFormat="false" ht="15" hidden="false" customHeight="false" outlineLevel="0" collapsed="false">
      <c r="A1675" s="76" t="n">
        <v>1664</v>
      </c>
      <c r="B1675" s="77" t="n">
        <v>-0.881587</v>
      </c>
      <c r="C1675" s="78" t="n">
        <f aca="false">05_Unit_Economics!$B$15*EXP((01_Inputs!$C$20-01_Inputs!$C$21^2/2)*01_Inputs!$C$22+01_Inputs!$C$21*SQRT(01_Inputs!$C$22)*B1675)</f>
        <v>39.7516710953987</v>
      </c>
      <c r="D1675" s="78" t="n">
        <f aca="false">MAX(C1675-05_Unit_Economics!$B$21,0)</f>
        <v>1.84406562089524</v>
      </c>
      <c r="E1675" s="78" t="n">
        <f aca="false">D1675*EXP(-01_Inputs!$C$20*01_Inputs!$C$22)</f>
        <v>1.76468589375569</v>
      </c>
      <c r="F1675" s="80" t="n">
        <f aca="false">AVERAGE(E1674:E1675)</f>
        <v>17.9997167915898</v>
      </c>
    </row>
    <row r="1676" customFormat="false" ht="15" hidden="false" customHeight="false" outlineLevel="0" collapsed="false">
      <c r="A1676" s="76" t="n">
        <v>1665</v>
      </c>
      <c r="B1676" s="77" t="n">
        <v>1.441274</v>
      </c>
      <c r="C1676" s="78" t="n">
        <f aca="false">05_Unit_Economics!$B$15*EXP((01_Inputs!$C$20-01_Inputs!$C$21^2/2)*01_Inputs!$C$22+01_Inputs!$C$21*SQRT(01_Inputs!$C$22)*B1676)</f>
        <v>89.6266967457176</v>
      </c>
      <c r="D1676" s="78" t="n">
        <f aca="false">MAX(C1676-05_Unit_Economics!$B$21,0)</f>
        <v>51.7190912712141</v>
      </c>
      <c r="E1676" s="78" t="n">
        <f aca="false">D1676*EXP(-01_Inputs!$C$20*01_Inputs!$C$22)</f>
        <v>49.4927890688981</v>
      </c>
      <c r="F1676" s="79"/>
    </row>
    <row r="1677" customFormat="false" ht="15" hidden="false" customHeight="false" outlineLevel="0" collapsed="false">
      <c r="A1677" s="76" t="n">
        <v>1666</v>
      </c>
      <c r="B1677" s="77" t="n">
        <v>-1.441274</v>
      </c>
      <c r="C1677" s="78" t="n">
        <f aca="false">05_Unit_Economics!$B$15*EXP((01_Inputs!$C$20-01_Inputs!$C$21^2/2)*01_Inputs!$C$22+01_Inputs!$C$21*SQRT(01_Inputs!$C$22)*B1677)</f>
        <v>32.6799398806428</v>
      </c>
      <c r="D1677" s="78" t="n">
        <f aca="false">MAX(C1677-05_Unit_Economics!$B$21,0)</f>
        <v>0</v>
      </c>
      <c r="E1677" s="78" t="n">
        <f aca="false">D1677*EXP(-01_Inputs!$C$20*01_Inputs!$C$22)</f>
        <v>0</v>
      </c>
      <c r="F1677" s="80" t="n">
        <f aca="false">AVERAGE(E1676:E1677)</f>
        <v>24.746394534449</v>
      </c>
    </row>
    <row r="1678" customFormat="false" ht="15" hidden="false" customHeight="false" outlineLevel="0" collapsed="false">
      <c r="A1678" s="76" t="n">
        <v>1667</v>
      </c>
      <c r="B1678" s="77" t="n">
        <v>-2.502967</v>
      </c>
      <c r="C1678" s="78" t="n">
        <f aca="false">05_Unit_Economics!$B$15*EXP((01_Inputs!$C$20-01_Inputs!$C$21^2/2)*01_Inputs!$C$22+01_Inputs!$C$21*SQRT(01_Inputs!$C$22)*B1678)</f>
        <v>22.5372361285069</v>
      </c>
      <c r="D1678" s="78" t="n">
        <f aca="false">MAX(C1678-05_Unit_Economics!$B$21,0)</f>
        <v>0</v>
      </c>
      <c r="E1678" s="78" t="n">
        <f aca="false">D1678*EXP(-01_Inputs!$C$20*01_Inputs!$C$22)</f>
        <v>0</v>
      </c>
      <c r="F1678" s="79"/>
    </row>
    <row r="1679" customFormat="false" ht="15" hidden="false" customHeight="false" outlineLevel="0" collapsed="false">
      <c r="A1679" s="76" t="n">
        <v>1668</v>
      </c>
      <c r="B1679" s="77" t="n">
        <v>2.502967</v>
      </c>
      <c r="C1679" s="78" t="n">
        <f aca="false">05_Unit_Economics!$B$15*EXP((01_Inputs!$C$20-01_Inputs!$C$21^2/2)*01_Inputs!$C$22+01_Inputs!$C$21*SQRT(01_Inputs!$C$22)*B1679)</f>
        <v>129.962478302555</v>
      </c>
      <c r="D1679" s="78" t="n">
        <f aca="false">MAX(C1679-05_Unit_Economics!$B$21,0)</f>
        <v>92.0548728280519</v>
      </c>
      <c r="E1679" s="78" t="n">
        <f aca="false">D1679*EXP(-01_Inputs!$C$20*01_Inputs!$C$22)</f>
        <v>88.0922748574823</v>
      </c>
      <c r="F1679" s="80" t="n">
        <f aca="false">AVERAGE(E1678:E1679)</f>
        <v>44.0461374287412</v>
      </c>
    </row>
    <row r="1680" customFormat="false" ht="15" hidden="false" customHeight="false" outlineLevel="0" collapsed="false">
      <c r="A1680" s="76" t="n">
        <v>1669</v>
      </c>
      <c r="B1680" s="77" t="n">
        <v>-1.0385</v>
      </c>
      <c r="C1680" s="78" t="n">
        <f aca="false">05_Unit_Economics!$B$15*EXP((01_Inputs!$C$20-01_Inputs!$C$21^2/2)*01_Inputs!$C$22+01_Inputs!$C$21*SQRT(01_Inputs!$C$22)*B1680)</f>
        <v>37.6273933001549</v>
      </c>
      <c r="D1680" s="78" t="n">
        <f aca="false">MAX(C1680-05_Unit_Economics!$B$21,0)</f>
        <v>0</v>
      </c>
      <c r="E1680" s="78" t="n">
        <f aca="false">D1680*EXP(-01_Inputs!$C$20*01_Inputs!$C$22)</f>
        <v>0</v>
      </c>
      <c r="F1680" s="79"/>
    </row>
    <row r="1681" customFormat="false" ht="15" hidden="false" customHeight="false" outlineLevel="0" collapsed="false">
      <c r="A1681" s="76" t="n">
        <v>1670</v>
      </c>
      <c r="B1681" s="77" t="n">
        <v>1.0385</v>
      </c>
      <c r="C1681" s="78" t="n">
        <f aca="false">05_Unit_Economics!$B$15*EXP((01_Inputs!$C$20-01_Inputs!$C$21^2/2)*01_Inputs!$C$22+01_Inputs!$C$21*SQRT(01_Inputs!$C$22)*B1681)</f>
        <v>77.8420933383816</v>
      </c>
      <c r="D1681" s="78" t="n">
        <f aca="false">MAX(C1681-05_Unit_Economics!$B$21,0)</f>
        <v>39.9344878638782</v>
      </c>
      <c r="E1681" s="78" t="n">
        <f aca="false">D1681*EXP(-01_Inputs!$C$20*01_Inputs!$C$22)</f>
        <v>38.2154662009976</v>
      </c>
      <c r="F1681" s="80" t="n">
        <f aca="false">AVERAGE(E1680:E1681)</f>
        <v>19.1077331004988</v>
      </c>
    </row>
    <row r="1682" customFormat="false" ht="15" hidden="false" customHeight="false" outlineLevel="0" collapsed="false">
      <c r="A1682" s="76" t="n">
        <v>1671</v>
      </c>
      <c r="B1682" s="77" t="n">
        <v>-0.679154</v>
      </c>
      <c r="C1682" s="78" t="n">
        <f aca="false">05_Unit_Economics!$B$15*EXP((01_Inputs!$C$20-01_Inputs!$C$21^2/2)*01_Inputs!$C$22+01_Inputs!$C$21*SQRT(01_Inputs!$C$22)*B1682)</f>
        <v>42.6703129067682</v>
      </c>
      <c r="D1682" s="78" t="n">
        <f aca="false">MAX(C1682-05_Unit_Economics!$B$21,0)</f>
        <v>4.76270743226472</v>
      </c>
      <c r="E1682" s="78" t="n">
        <f aca="false">D1682*EXP(-01_Inputs!$C$20*01_Inputs!$C$22)</f>
        <v>4.55769172559202</v>
      </c>
      <c r="F1682" s="79"/>
    </row>
    <row r="1683" customFormat="false" ht="15" hidden="false" customHeight="false" outlineLevel="0" collapsed="false">
      <c r="A1683" s="76" t="n">
        <v>1672</v>
      </c>
      <c r="B1683" s="77" t="n">
        <v>0.679154</v>
      </c>
      <c r="C1683" s="78" t="n">
        <f aca="false">05_Unit_Economics!$B$15*EXP((01_Inputs!$C$20-01_Inputs!$C$21^2/2)*01_Inputs!$C$22+01_Inputs!$C$21*SQRT(01_Inputs!$C$22)*B1683)</f>
        <v>68.6424556517856</v>
      </c>
      <c r="D1683" s="78" t="n">
        <f aca="false">MAX(C1683-05_Unit_Economics!$B$21,0)</f>
        <v>30.7348501772822</v>
      </c>
      <c r="E1683" s="78" t="n">
        <f aca="false">D1683*EXP(-01_Inputs!$C$20*01_Inputs!$C$22)</f>
        <v>29.4118365094913</v>
      </c>
      <c r="F1683" s="80" t="n">
        <f aca="false">AVERAGE(E1682:E1683)</f>
        <v>16.9847641175417</v>
      </c>
    </row>
    <row r="1684" customFormat="false" ht="15" hidden="false" customHeight="false" outlineLevel="0" collapsed="false">
      <c r="A1684" s="76" t="n">
        <v>1673</v>
      </c>
      <c r="B1684" s="77" t="n">
        <v>0.382676</v>
      </c>
      <c r="C1684" s="78" t="n">
        <f aca="false">05_Unit_Economics!$B$15*EXP((01_Inputs!$C$20-01_Inputs!$C$21^2/2)*01_Inputs!$C$22+01_Inputs!$C$21*SQRT(01_Inputs!$C$22)*B1684)</f>
        <v>61.8767145468173</v>
      </c>
      <c r="D1684" s="78" t="n">
        <f aca="false">MAX(C1684-05_Unit_Economics!$B$21,0)</f>
        <v>23.9691090723138</v>
      </c>
      <c r="E1684" s="78" t="n">
        <f aca="false">D1684*EXP(-01_Inputs!$C$20*01_Inputs!$C$22)</f>
        <v>22.9373337838538</v>
      </c>
      <c r="F1684" s="79"/>
    </row>
    <row r="1685" customFormat="false" ht="15" hidden="false" customHeight="false" outlineLevel="0" collapsed="false">
      <c r="A1685" s="76" t="n">
        <v>1674</v>
      </c>
      <c r="B1685" s="77" t="n">
        <v>-0.382676</v>
      </c>
      <c r="C1685" s="78" t="n">
        <f aca="false">05_Unit_Economics!$B$15*EXP((01_Inputs!$C$20-01_Inputs!$C$21^2/2)*01_Inputs!$C$22+01_Inputs!$C$21*SQRT(01_Inputs!$C$22)*B1685)</f>
        <v>47.3359822479668</v>
      </c>
      <c r="D1685" s="78" t="n">
        <f aca="false">MAX(C1685-05_Unit_Economics!$B$21,0)</f>
        <v>9.42837677346333</v>
      </c>
      <c r="E1685" s="78" t="n">
        <f aca="false">D1685*EXP(-01_Inputs!$C$20*01_Inputs!$C$22)</f>
        <v>9.02252246591269</v>
      </c>
      <c r="F1685" s="80" t="n">
        <f aca="false">AVERAGE(E1684:E1685)</f>
        <v>15.9799281248832</v>
      </c>
    </row>
    <row r="1686" customFormat="false" ht="15" hidden="false" customHeight="false" outlineLevel="0" collapsed="false">
      <c r="A1686" s="76" t="n">
        <v>1675</v>
      </c>
      <c r="B1686" s="77" t="n">
        <v>-0.796563</v>
      </c>
      <c r="C1686" s="78" t="n">
        <f aca="false">05_Unit_Economics!$B$15*EXP((01_Inputs!$C$20-01_Inputs!$C$21^2/2)*01_Inputs!$C$22+01_Inputs!$C$21*SQRT(01_Inputs!$C$22)*B1686)</f>
        <v>40.9523944186876</v>
      </c>
      <c r="D1686" s="78" t="n">
        <f aca="false">MAX(C1686-05_Unit_Economics!$B$21,0)</f>
        <v>3.04478894418418</v>
      </c>
      <c r="E1686" s="78" t="n">
        <f aca="false">D1686*EXP(-01_Inputs!$C$20*01_Inputs!$C$22)</f>
        <v>2.91372282980723</v>
      </c>
      <c r="F1686" s="79"/>
    </row>
    <row r="1687" customFormat="false" ht="15" hidden="false" customHeight="false" outlineLevel="0" collapsed="false">
      <c r="A1687" s="76" t="n">
        <v>1676</v>
      </c>
      <c r="B1687" s="77" t="n">
        <v>0.796563</v>
      </c>
      <c r="C1687" s="78" t="n">
        <f aca="false">05_Unit_Economics!$B$15*EXP((01_Inputs!$C$20-01_Inputs!$C$21^2/2)*01_Inputs!$C$22+01_Inputs!$C$21*SQRT(01_Inputs!$C$22)*B1687)</f>
        <v>71.5219489098805</v>
      </c>
      <c r="D1687" s="78" t="n">
        <f aca="false">MAX(C1687-05_Unit_Economics!$B$21,0)</f>
        <v>33.614343435377</v>
      </c>
      <c r="E1687" s="78" t="n">
        <f aca="false">D1687*EXP(-01_Inputs!$C$20*01_Inputs!$C$22)</f>
        <v>32.1673789783421</v>
      </c>
      <c r="F1687" s="80" t="n">
        <f aca="false">AVERAGE(E1686:E1687)</f>
        <v>17.5405509040747</v>
      </c>
    </row>
    <row r="1688" customFormat="false" ht="15" hidden="false" customHeight="false" outlineLevel="0" collapsed="false">
      <c r="A1688" s="76" t="n">
        <v>1677</v>
      </c>
      <c r="B1688" s="77" t="n">
        <v>-0.382514</v>
      </c>
      <c r="C1688" s="78" t="n">
        <f aca="false">05_Unit_Economics!$B$15*EXP((01_Inputs!$C$20-01_Inputs!$C$21^2/2)*01_Inputs!$C$22+01_Inputs!$C$21*SQRT(01_Inputs!$C$22)*B1688)</f>
        <v>47.3386662742517</v>
      </c>
      <c r="D1688" s="78" t="n">
        <f aca="false">MAX(C1688-05_Unit_Economics!$B$21,0)</f>
        <v>9.43106079974822</v>
      </c>
      <c r="E1688" s="78" t="n">
        <f aca="false">D1688*EXP(-01_Inputs!$C$20*01_Inputs!$C$22)</f>
        <v>9.02509095548797</v>
      </c>
      <c r="F1688" s="79"/>
    </row>
    <row r="1689" customFormat="false" ht="15" hidden="false" customHeight="false" outlineLevel="0" collapsed="false">
      <c r="A1689" s="76" t="n">
        <v>1678</v>
      </c>
      <c r="B1689" s="77" t="n">
        <v>0.382514</v>
      </c>
      <c r="C1689" s="78" t="n">
        <f aca="false">05_Unit_Economics!$B$15*EXP((01_Inputs!$C$20-01_Inputs!$C$21^2/2)*01_Inputs!$C$22+01_Inputs!$C$21*SQRT(01_Inputs!$C$22)*B1689)</f>
        <v>61.873206236564</v>
      </c>
      <c r="D1689" s="78" t="n">
        <f aca="false">MAX(C1689-05_Unit_Economics!$B$21,0)</f>
        <v>23.9656007620605</v>
      </c>
      <c r="E1689" s="78" t="n">
        <f aca="false">D1689*EXP(-01_Inputs!$C$20*01_Inputs!$C$22)</f>
        <v>22.9339764924729</v>
      </c>
      <c r="F1689" s="80" t="n">
        <f aca="false">AVERAGE(E1688:E1689)</f>
        <v>15.9795337239804</v>
      </c>
    </row>
    <row r="1690" customFormat="false" ht="15" hidden="false" customHeight="false" outlineLevel="0" collapsed="false">
      <c r="A1690" s="76" t="n">
        <v>1679</v>
      </c>
      <c r="B1690" s="77" t="n">
        <v>-1.081396</v>
      </c>
      <c r="C1690" s="78" t="n">
        <f aca="false">05_Unit_Economics!$B$15*EXP((01_Inputs!$C$20-01_Inputs!$C$21^2/2)*01_Inputs!$C$22+01_Inputs!$C$21*SQRT(01_Inputs!$C$22)*B1690)</f>
        <v>37.066690285707</v>
      </c>
      <c r="D1690" s="78" t="n">
        <f aca="false">MAX(C1690-05_Unit_Economics!$B$21,0)</f>
        <v>0</v>
      </c>
      <c r="E1690" s="78" t="n">
        <f aca="false">D1690*EXP(-01_Inputs!$C$20*01_Inputs!$C$22)</f>
        <v>0</v>
      </c>
      <c r="F1690" s="79"/>
    </row>
    <row r="1691" customFormat="false" ht="15" hidden="false" customHeight="false" outlineLevel="0" collapsed="false">
      <c r="A1691" s="76" t="n">
        <v>1680</v>
      </c>
      <c r="B1691" s="77" t="n">
        <v>1.081396</v>
      </c>
      <c r="C1691" s="78" t="n">
        <f aca="false">05_Unit_Economics!$B$15*EXP((01_Inputs!$C$20-01_Inputs!$C$21^2/2)*01_Inputs!$C$22+01_Inputs!$C$21*SQRT(01_Inputs!$C$22)*B1691)</f>
        <v>79.0196005840877</v>
      </c>
      <c r="D1691" s="78" t="n">
        <f aca="false">MAX(C1691-05_Unit_Economics!$B$21,0)</f>
        <v>41.1119951095842</v>
      </c>
      <c r="E1691" s="78" t="n">
        <f aca="false">D1691*EXP(-01_Inputs!$C$20*01_Inputs!$C$22)</f>
        <v>39.3422864197291</v>
      </c>
      <c r="F1691" s="80" t="n">
        <f aca="false">AVERAGE(E1690:E1691)</f>
        <v>19.6711432098646</v>
      </c>
    </row>
    <row r="1692" customFormat="false" ht="15" hidden="false" customHeight="false" outlineLevel="0" collapsed="false">
      <c r="A1692" s="76" t="n">
        <v>1681</v>
      </c>
      <c r="B1692" s="77" t="n">
        <v>-0.080994</v>
      </c>
      <c r="C1692" s="78" t="n">
        <f aca="false">05_Unit_Economics!$B$15*EXP((01_Inputs!$C$20-01_Inputs!$C$21^2/2)*01_Inputs!$C$22+01_Inputs!$C$21*SQRT(01_Inputs!$C$22)*B1692)</f>
        <v>52.6075386781979</v>
      </c>
      <c r="D1692" s="78" t="n">
        <f aca="false">MAX(C1692-05_Unit_Economics!$B$21,0)</f>
        <v>14.6999332036944</v>
      </c>
      <c r="E1692" s="78" t="n">
        <f aca="false">D1692*EXP(-01_Inputs!$C$20*01_Inputs!$C$22)</f>
        <v>14.0671592538648</v>
      </c>
      <c r="F1692" s="79"/>
    </row>
    <row r="1693" customFormat="false" ht="15" hidden="false" customHeight="false" outlineLevel="0" collapsed="false">
      <c r="A1693" s="76" t="n">
        <v>1682</v>
      </c>
      <c r="B1693" s="77" t="n">
        <v>0.080994</v>
      </c>
      <c r="C1693" s="78" t="n">
        <f aca="false">05_Unit_Economics!$B$15*EXP((01_Inputs!$C$20-01_Inputs!$C$21^2/2)*01_Inputs!$C$22+01_Inputs!$C$21*SQRT(01_Inputs!$C$22)*B1693)</f>
        <v>55.6763371741722</v>
      </c>
      <c r="D1693" s="78" t="n">
        <f aca="false">MAX(C1693-05_Unit_Economics!$B$21,0)</f>
        <v>17.7687316996687</v>
      </c>
      <c r="E1693" s="78" t="n">
        <f aca="false">D1693*EXP(-01_Inputs!$C$20*01_Inputs!$C$22)</f>
        <v>17.0038581192748</v>
      </c>
      <c r="F1693" s="80" t="n">
        <f aca="false">AVERAGE(E1692:E1693)</f>
        <v>15.5355086865698</v>
      </c>
    </row>
    <row r="1694" customFormat="false" ht="15" hidden="false" customHeight="false" outlineLevel="0" collapsed="false">
      <c r="A1694" s="76" t="n">
        <v>1683</v>
      </c>
      <c r="B1694" s="77" t="n">
        <v>1.625277</v>
      </c>
      <c r="C1694" s="78" t="n">
        <f aca="false">05_Unit_Economics!$B$15*EXP((01_Inputs!$C$20-01_Inputs!$C$21^2/2)*01_Inputs!$C$22+01_Inputs!$C$21*SQRT(01_Inputs!$C$22)*B1694)</f>
        <v>95.5886682758583</v>
      </c>
      <c r="D1694" s="78" t="n">
        <f aca="false">MAX(C1694-05_Unit_Economics!$B$21,0)</f>
        <v>57.6810628013548</v>
      </c>
      <c r="E1694" s="78" t="n">
        <f aca="false">D1694*EXP(-01_Inputs!$C$20*01_Inputs!$C$22)</f>
        <v>55.1981213190078</v>
      </c>
      <c r="F1694" s="79"/>
    </row>
    <row r="1695" customFormat="false" ht="15" hidden="false" customHeight="false" outlineLevel="0" collapsed="false">
      <c r="A1695" s="76" t="n">
        <v>1684</v>
      </c>
      <c r="B1695" s="77" t="n">
        <v>-1.625277</v>
      </c>
      <c r="C1695" s="78" t="n">
        <f aca="false">05_Unit_Economics!$B$15*EXP((01_Inputs!$C$20-01_Inputs!$C$21^2/2)*01_Inputs!$C$22+01_Inputs!$C$21*SQRT(01_Inputs!$C$22)*B1695)</f>
        <v>30.6416556918431</v>
      </c>
      <c r="D1695" s="78" t="n">
        <f aca="false">MAX(C1695-05_Unit_Economics!$B$21,0)</f>
        <v>0</v>
      </c>
      <c r="E1695" s="78" t="n">
        <f aca="false">D1695*EXP(-01_Inputs!$C$20*01_Inputs!$C$22)</f>
        <v>0</v>
      </c>
      <c r="F1695" s="80" t="n">
        <f aca="false">AVERAGE(E1694:E1695)</f>
        <v>27.5990606595039</v>
      </c>
    </row>
    <row r="1696" customFormat="false" ht="15" hidden="false" customHeight="false" outlineLevel="0" collapsed="false">
      <c r="A1696" s="76" t="n">
        <v>1685</v>
      </c>
      <c r="B1696" s="77" t="n">
        <v>-0.880889</v>
      </c>
      <c r="C1696" s="78" t="n">
        <f aca="false">05_Unit_Economics!$B$15*EXP((01_Inputs!$C$20-01_Inputs!$C$21^2/2)*01_Inputs!$C$22+01_Inputs!$C$21*SQRT(01_Inputs!$C$22)*B1696)</f>
        <v>39.7613836149833</v>
      </c>
      <c r="D1696" s="78" t="n">
        <f aca="false">MAX(C1696-05_Unit_Economics!$B$21,0)</f>
        <v>1.8537781404798</v>
      </c>
      <c r="E1696" s="78" t="n">
        <f aca="false">D1696*EXP(-01_Inputs!$C$20*01_Inputs!$C$22)</f>
        <v>1.77398032780917</v>
      </c>
      <c r="F1696" s="79"/>
    </row>
    <row r="1697" customFormat="false" ht="15" hidden="false" customHeight="false" outlineLevel="0" collapsed="false">
      <c r="A1697" s="76" t="n">
        <v>1686</v>
      </c>
      <c r="B1697" s="77" t="n">
        <v>0.880889</v>
      </c>
      <c r="C1697" s="78" t="n">
        <f aca="false">05_Unit_Economics!$B$15*EXP((01_Inputs!$C$20-01_Inputs!$C$21^2/2)*01_Inputs!$C$22+01_Inputs!$C$21*SQRT(01_Inputs!$C$22)*B1697)</f>
        <v>73.6643143436015</v>
      </c>
      <c r="D1697" s="78" t="n">
        <f aca="false">MAX(C1697-05_Unit_Economics!$B$21,0)</f>
        <v>35.756708869098</v>
      </c>
      <c r="E1697" s="78" t="n">
        <f aca="false">D1697*EXP(-01_Inputs!$C$20*01_Inputs!$C$22)</f>
        <v>34.2175240584949</v>
      </c>
      <c r="F1697" s="80" t="n">
        <f aca="false">AVERAGE(E1696:E1697)</f>
        <v>17.995752193152</v>
      </c>
    </row>
    <row r="1698" customFormat="false" ht="15" hidden="false" customHeight="false" outlineLevel="0" collapsed="false">
      <c r="A1698" s="76" t="n">
        <v>1687</v>
      </c>
      <c r="B1698" s="77" t="n">
        <v>-2.836299</v>
      </c>
      <c r="C1698" s="78" t="n">
        <f aca="false">05_Unit_Economics!$B$15*EXP((01_Inputs!$C$20-01_Inputs!$C$21^2/2)*01_Inputs!$C$22+01_Inputs!$C$21*SQRT(01_Inputs!$C$22)*B1698)</f>
        <v>20.0554849584352</v>
      </c>
      <c r="D1698" s="78" t="n">
        <f aca="false">MAX(C1698-05_Unit_Economics!$B$21,0)</f>
        <v>0</v>
      </c>
      <c r="E1698" s="78" t="n">
        <f aca="false">D1698*EXP(-01_Inputs!$C$20*01_Inputs!$C$22)</f>
        <v>0</v>
      </c>
      <c r="F1698" s="79"/>
    </row>
    <row r="1699" customFormat="false" ht="15" hidden="false" customHeight="false" outlineLevel="0" collapsed="false">
      <c r="A1699" s="76" t="n">
        <v>1688</v>
      </c>
      <c r="B1699" s="77" t="n">
        <v>2.836299</v>
      </c>
      <c r="C1699" s="78" t="n">
        <f aca="false">05_Unit_Economics!$B$15*EXP((01_Inputs!$C$20-01_Inputs!$C$21^2/2)*01_Inputs!$C$22+01_Inputs!$C$21*SQRT(01_Inputs!$C$22)*B1699)</f>
        <v>146.044589169545</v>
      </c>
      <c r="D1699" s="78" t="n">
        <f aca="false">MAX(C1699-05_Unit_Economics!$B$21,0)</f>
        <v>108.136983695041</v>
      </c>
      <c r="E1699" s="78" t="n">
        <f aca="false">D1699*EXP(-01_Inputs!$C$20*01_Inputs!$C$22)</f>
        <v>103.482114496168</v>
      </c>
      <c r="F1699" s="80" t="n">
        <f aca="false">AVERAGE(E1698:E1699)</f>
        <v>51.7410572480841</v>
      </c>
    </row>
    <row r="1700" customFormat="false" ht="15" hidden="false" customHeight="false" outlineLevel="0" collapsed="false">
      <c r="A1700" s="76" t="n">
        <v>1689</v>
      </c>
      <c r="B1700" s="77" t="n">
        <v>-1.670406</v>
      </c>
      <c r="C1700" s="78" t="n">
        <f aca="false">05_Unit_Economics!$B$15*EXP((01_Inputs!$C$20-01_Inputs!$C$21^2/2)*01_Inputs!$C$22+01_Inputs!$C$21*SQRT(01_Inputs!$C$22)*B1700)</f>
        <v>30.1614684420831</v>
      </c>
      <c r="D1700" s="78" t="n">
        <f aca="false">MAX(C1700-05_Unit_Economics!$B$21,0)</f>
        <v>0</v>
      </c>
      <c r="E1700" s="78" t="n">
        <f aca="false">D1700*EXP(-01_Inputs!$C$20*01_Inputs!$C$22)</f>
        <v>0</v>
      </c>
      <c r="F1700" s="79"/>
    </row>
    <row r="1701" customFormat="false" ht="15" hidden="false" customHeight="false" outlineLevel="0" collapsed="false">
      <c r="A1701" s="76" t="n">
        <v>1690</v>
      </c>
      <c r="B1701" s="77" t="n">
        <v>1.670406</v>
      </c>
      <c r="C1701" s="78" t="n">
        <f aca="false">05_Unit_Economics!$B$15*EXP((01_Inputs!$C$20-01_Inputs!$C$21^2/2)*01_Inputs!$C$22+01_Inputs!$C$21*SQRT(01_Inputs!$C$22)*B1701)</f>
        <v>97.1104927127466</v>
      </c>
      <c r="D1701" s="78" t="n">
        <f aca="false">MAX(C1701-05_Unit_Economics!$B$21,0)</f>
        <v>59.2028872382432</v>
      </c>
      <c r="E1701" s="78" t="n">
        <f aca="false">D1701*EXP(-01_Inputs!$C$20*01_Inputs!$C$22)</f>
        <v>56.6544372364673</v>
      </c>
      <c r="F1701" s="80" t="n">
        <f aca="false">AVERAGE(E1700:E1701)</f>
        <v>28.3272186182337</v>
      </c>
    </row>
    <row r="1702" customFormat="false" ht="15" hidden="false" customHeight="false" outlineLevel="0" collapsed="false">
      <c r="A1702" s="76" t="n">
        <v>1691</v>
      </c>
      <c r="B1702" s="77" t="n">
        <v>0.147609</v>
      </c>
      <c r="C1702" s="78" t="n">
        <f aca="false">05_Unit_Economics!$B$15*EXP((01_Inputs!$C$20-01_Inputs!$C$21^2/2)*01_Inputs!$C$22+01_Inputs!$C$21*SQRT(01_Inputs!$C$22)*B1702)</f>
        <v>56.989696044964</v>
      </c>
      <c r="D1702" s="78" t="n">
        <f aca="false">MAX(C1702-05_Unit_Economics!$B$21,0)</f>
        <v>19.0820905704605</v>
      </c>
      <c r="E1702" s="78" t="n">
        <f aca="false">D1702*EXP(-01_Inputs!$C$20*01_Inputs!$C$22)</f>
        <v>18.2606820882613</v>
      </c>
      <c r="F1702" s="79"/>
    </row>
    <row r="1703" customFormat="false" ht="15" hidden="false" customHeight="false" outlineLevel="0" collapsed="false">
      <c r="A1703" s="76" t="n">
        <v>1692</v>
      </c>
      <c r="B1703" s="77" t="n">
        <v>-0.147609</v>
      </c>
      <c r="C1703" s="78" t="n">
        <f aca="false">05_Unit_Economics!$B$15*EXP((01_Inputs!$C$20-01_Inputs!$C$21^2/2)*01_Inputs!$C$22+01_Inputs!$C$21*SQRT(01_Inputs!$C$22)*B1703)</f>
        <v>51.3951690326567</v>
      </c>
      <c r="D1703" s="78" t="n">
        <f aca="false">MAX(C1703-05_Unit_Economics!$B$21,0)</f>
        <v>13.4875635581532</v>
      </c>
      <c r="E1703" s="78" t="n">
        <f aca="false">D1703*EXP(-01_Inputs!$C$20*01_Inputs!$C$22)</f>
        <v>12.906977323644</v>
      </c>
      <c r="F1703" s="80" t="n">
        <f aca="false">AVERAGE(E1702:E1703)</f>
        <v>15.5838297059526</v>
      </c>
    </row>
    <row r="1704" customFormat="false" ht="15" hidden="false" customHeight="false" outlineLevel="0" collapsed="false">
      <c r="A1704" s="76" t="n">
        <v>1693</v>
      </c>
      <c r="B1704" s="77" t="n">
        <v>1.775558</v>
      </c>
      <c r="C1704" s="78" t="n">
        <f aca="false">05_Unit_Economics!$B$15*EXP((01_Inputs!$C$20-01_Inputs!$C$21^2/2)*01_Inputs!$C$22+01_Inputs!$C$21*SQRT(01_Inputs!$C$22)*B1704)</f>
        <v>100.751050780194</v>
      </c>
      <c r="D1704" s="78" t="n">
        <f aca="false">MAX(C1704-05_Unit_Economics!$B$21,0)</f>
        <v>62.8434453056907</v>
      </c>
      <c r="E1704" s="78" t="n">
        <f aca="false">D1704*EXP(-01_Inputs!$C$20*01_Inputs!$C$22)</f>
        <v>60.1382836865217</v>
      </c>
      <c r="F1704" s="79"/>
    </row>
    <row r="1705" customFormat="false" ht="15" hidden="false" customHeight="false" outlineLevel="0" collapsed="false">
      <c r="A1705" s="76" t="n">
        <v>1694</v>
      </c>
      <c r="B1705" s="77" t="n">
        <v>-1.775558</v>
      </c>
      <c r="C1705" s="78" t="n">
        <f aca="false">05_Unit_Economics!$B$15*EXP((01_Inputs!$C$20-01_Inputs!$C$21^2/2)*01_Inputs!$C$22+01_Inputs!$C$21*SQRT(01_Inputs!$C$22)*B1705)</f>
        <v>29.0716080742499</v>
      </c>
      <c r="D1705" s="78" t="n">
        <f aca="false">MAX(C1705-05_Unit_Economics!$B$21,0)</f>
        <v>0</v>
      </c>
      <c r="E1705" s="78" t="n">
        <f aca="false">D1705*EXP(-01_Inputs!$C$20*01_Inputs!$C$22)</f>
        <v>0</v>
      </c>
      <c r="F1705" s="80" t="n">
        <f aca="false">AVERAGE(E1704:E1705)</f>
        <v>30.0691418432608</v>
      </c>
    </row>
    <row r="1706" customFormat="false" ht="15" hidden="false" customHeight="false" outlineLevel="0" collapsed="false">
      <c r="A1706" s="76" t="n">
        <v>1695</v>
      </c>
      <c r="B1706" s="77" t="n">
        <v>0.19532</v>
      </c>
      <c r="C1706" s="78" t="n">
        <f aca="false">05_Unit_Economics!$B$15*EXP((01_Inputs!$C$20-01_Inputs!$C$21^2/2)*01_Inputs!$C$22+01_Inputs!$C$21*SQRT(01_Inputs!$C$22)*B1706)</f>
        <v>57.9493486785025</v>
      </c>
      <c r="D1706" s="78" t="n">
        <f aca="false">MAX(C1706-05_Unit_Economics!$B$21,0)</f>
        <v>20.0417432039991</v>
      </c>
      <c r="E1706" s="78" t="n">
        <f aca="false">D1706*EXP(-01_Inputs!$C$20*01_Inputs!$C$22)</f>
        <v>19.1790254737255</v>
      </c>
      <c r="F1706" s="79"/>
    </row>
    <row r="1707" customFormat="false" ht="15" hidden="false" customHeight="false" outlineLevel="0" collapsed="false">
      <c r="A1707" s="76" t="n">
        <v>1696</v>
      </c>
      <c r="B1707" s="77" t="n">
        <v>-0.19532</v>
      </c>
      <c r="C1707" s="78" t="n">
        <f aca="false">05_Unit_Economics!$B$15*EXP((01_Inputs!$C$20-01_Inputs!$C$21^2/2)*01_Inputs!$C$22+01_Inputs!$C$21*SQRT(01_Inputs!$C$22)*B1707)</f>
        <v>50.5440549056114</v>
      </c>
      <c r="D1707" s="78" t="n">
        <f aca="false">MAX(C1707-05_Unit_Economics!$B$21,0)</f>
        <v>12.6364494311079</v>
      </c>
      <c r="E1707" s="78" t="n">
        <f aca="false">D1707*EXP(-01_Inputs!$C$20*01_Inputs!$C$22)</f>
        <v>12.0925002915068</v>
      </c>
      <c r="F1707" s="80" t="n">
        <f aca="false">AVERAGE(E1706:E1707)</f>
        <v>15.6357628826161</v>
      </c>
    </row>
    <row r="1708" customFormat="false" ht="15" hidden="false" customHeight="false" outlineLevel="0" collapsed="false">
      <c r="A1708" s="76" t="n">
        <v>1697</v>
      </c>
      <c r="B1708" s="77" t="n">
        <v>0.6631</v>
      </c>
      <c r="C1708" s="78" t="n">
        <f aca="false">05_Unit_Economics!$B$15*EXP((01_Inputs!$C$20-01_Inputs!$C$21^2/2)*01_Inputs!$C$22+01_Inputs!$C$21*SQRT(01_Inputs!$C$22)*B1708)</f>
        <v>68.2578421221236</v>
      </c>
      <c r="D1708" s="78" t="n">
        <f aca="false">MAX(C1708-05_Unit_Economics!$B$21,0)</f>
        <v>30.3502366476201</v>
      </c>
      <c r="E1708" s="78" t="n">
        <f aca="false">D1708*EXP(-01_Inputs!$C$20*01_Inputs!$C$22)</f>
        <v>29.0437790701836</v>
      </c>
      <c r="F1708" s="79"/>
    </row>
    <row r="1709" customFormat="false" ht="15" hidden="false" customHeight="false" outlineLevel="0" collapsed="false">
      <c r="A1709" s="76" t="n">
        <v>1698</v>
      </c>
      <c r="B1709" s="77" t="n">
        <v>-0.6631</v>
      </c>
      <c r="C1709" s="78" t="n">
        <f aca="false">05_Unit_Economics!$B$15*EXP((01_Inputs!$C$20-01_Inputs!$C$21^2/2)*01_Inputs!$C$22+01_Inputs!$C$21*SQRT(01_Inputs!$C$22)*B1709)</f>
        <v>42.9107479857074</v>
      </c>
      <c r="D1709" s="78" t="n">
        <f aca="false">MAX(C1709-05_Unit_Economics!$B$21,0)</f>
        <v>5.00314251120398</v>
      </c>
      <c r="E1709" s="78" t="n">
        <f aca="false">D1709*EXP(-01_Inputs!$C$20*01_Inputs!$C$22)</f>
        <v>4.78777702589828</v>
      </c>
      <c r="F1709" s="80" t="n">
        <f aca="false">AVERAGE(E1708:E1709)</f>
        <v>16.9157780480409</v>
      </c>
    </row>
    <row r="1710" customFormat="false" ht="15" hidden="false" customHeight="false" outlineLevel="0" collapsed="false">
      <c r="A1710" s="76" t="n">
        <v>1699</v>
      </c>
      <c r="B1710" s="77" t="n">
        <v>-0.160004</v>
      </c>
      <c r="C1710" s="78" t="n">
        <f aca="false">05_Unit_Economics!$B$15*EXP((01_Inputs!$C$20-01_Inputs!$C$21^2/2)*01_Inputs!$C$22+01_Inputs!$C$21*SQRT(01_Inputs!$C$22)*B1710)</f>
        <v>51.1726868811314</v>
      </c>
      <c r="D1710" s="78" t="n">
        <f aca="false">MAX(C1710-05_Unit_Economics!$B$21,0)</f>
        <v>13.265081406628</v>
      </c>
      <c r="E1710" s="78" t="n">
        <f aca="false">D1710*EXP(-01_Inputs!$C$20*01_Inputs!$C$22)</f>
        <v>12.6940721482748</v>
      </c>
      <c r="F1710" s="79"/>
    </row>
    <row r="1711" customFormat="false" ht="15" hidden="false" customHeight="false" outlineLevel="0" collapsed="false">
      <c r="A1711" s="76" t="n">
        <v>1700</v>
      </c>
      <c r="B1711" s="77" t="n">
        <v>0.160004</v>
      </c>
      <c r="C1711" s="78" t="n">
        <f aca="false">05_Unit_Economics!$B$15*EXP((01_Inputs!$C$20-01_Inputs!$C$21^2/2)*01_Inputs!$C$22+01_Inputs!$C$21*SQRT(01_Inputs!$C$22)*B1711)</f>
        <v>57.2374686549954</v>
      </c>
      <c r="D1711" s="78" t="n">
        <f aca="false">MAX(C1711-05_Unit_Economics!$B$21,0)</f>
        <v>19.3298631804919</v>
      </c>
      <c r="E1711" s="78" t="n">
        <f aca="false">D1711*EXP(-01_Inputs!$C$20*01_Inputs!$C$22)</f>
        <v>18.4977890679842</v>
      </c>
      <c r="F1711" s="80" t="n">
        <f aca="false">AVERAGE(E1710:E1711)</f>
        <v>15.5959306081295</v>
      </c>
    </row>
    <row r="1712" customFormat="false" ht="15" hidden="false" customHeight="false" outlineLevel="0" collapsed="false">
      <c r="A1712" s="76" t="n">
        <v>1701</v>
      </c>
      <c r="B1712" s="77" t="n">
        <v>-0.18069</v>
      </c>
      <c r="C1712" s="78" t="n">
        <f aca="false">05_Unit_Economics!$B$15*EXP((01_Inputs!$C$20-01_Inputs!$C$21^2/2)*01_Inputs!$C$22+01_Inputs!$C$21*SQRT(01_Inputs!$C$22)*B1712)</f>
        <v>50.8035294916231</v>
      </c>
      <c r="D1712" s="78" t="n">
        <f aca="false">MAX(C1712-05_Unit_Economics!$B$21,0)</f>
        <v>12.8959240171196</v>
      </c>
      <c r="E1712" s="78" t="n">
        <f aca="false">D1712*EXP(-01_Inputs!$C$20*01_Inputs!$C$22)</f>
        <v>12.3408055234543</v>
      </c>
      <c r="F1712" s="79"/>
    </row>
    <row r="1713" customFormat="false" ht="15" hidden="false" customHeight="false" outlineLevel="0" collapsed="false">
      <c r="A1713" s="76" t="n">
        <v>1702</v>
      </c>
      <c r="B1713" s="77" t="n">
        <v>0.18069</v>
      </c>
      <c r="C1713" s="78" t="n">
        <f aca="false">05_Unit_Economics!$B$15*EXP((01_Inputs!$C$20-01_Inputs!$C$21^2/2)*01_Inputs!$C$22+01_Inputs!$C$21*SQRT(01_Inputs!$C$22)*B1713)</f>
        <v>57.6533774456283</v>
      </c>
      <c r="D1713" s="78" t="n">
        <f aca="false">MAX(C1713-05_Unit_Economics!$B$21,0)</f>
        <v>19.7457719711248</v>
      </c>
      <c r="E1713" s="78" t="n">
        <f aca="false">D1713*EXP(-01_Inputs!$C$20*01_Inputs!$C$22)</f>
        <v>18.8957946311282</v>
      </c>
      <c r="F1713" s="80" t="n">
        <f aca="false">AVERAGE(E1712:E1713)</f>
        <v>15.6183000772913</v>
      </c>
    </row>
    <row r="1714" customFormat="false" ht="15" hidden="false" customHeight="false" outlineLevel="0" collapsed="false">
      <c r="A1714" s="76" t="n">
        <v>1703</v>
      </c>
      <c r="B1714" s="77" t="n">
        <v>-0.673573</v>
      </c>
      <c r="C1714" s="78" t="n">
        <f aca="false">05_Unit_Economics!$B$15*EXP((01_Inputs!$C$20-01_Inputs!$C$21^2/2)*01_Inputs!$C$22+01_Inputs!$C$21*SQRT(01_Inputs!$C$22)*B1714)</f>
        <v>42.7537444214309</v>
      </c>
      <c r="D1714" s="78" t="n">
        <f aca="false">MAX(C1714-05_Unit_Economics!$B$21,0)</f>
        <v>4.84613894692746</v>
      </c>
      <c r="E1714" s="78" t="n">
        <f aca="false">D1714*EXP(-01_Inputs!$C$20*01_Inputs!$C$22)</f>
        <v>4.6375318437265</v>
      </c>
      <c r="F1714" s="79"/>
    </row>
    <row r="1715" customFormat="false" ht="15" hidden="false" customHeight="false" outlineLevel="0" collapsed="false">
      <c r="A1715" s="76" t="n">
        <v>1704</v>
      </c>
      <c r="B1715" s="77" t="n">
        <v>0.673573</v>
      </c>
      <c r="C1715" s="78" t="n">
        <f aca="false">05_Unit_Economics!$B$15*EXP((01_Inputs!$C$20-01_Inputs!$C$21^2/2)*01_Inputs!$C$22+01_Inputs!$C$21*SQRT(01_Inputs!$C$22)*B1715)</f>
        <v>68.5085037810735</v>
      </c>
      <c r="D1715" s="78" t="n">
        <f aca="false">MAX(C1715-05_Unit_Economics!$B$21,0)</f>
        <v>30.6008983065701</v>
      </c>
      <c r="E1715" s="78" t="n">
        <f aca="false">D1715*EXP(-01_Inputs!$C$20*01_Inputs!$C$22)</f>
        <v>29.2836507367025</v>
      </c>
      <c r="F1715" s="80" t="n">
        <f aca="false">AVERAGE(E1714:E1715)</f>
        <v>16.9605912902145</v>
      </c>
    </row>
    <row r="1716" customFormat="false" ht="15" hidden="false" customHeight="false" outlineLevel="0" collapsed="false">
      <c r="A1716" s="76" t="n">
        <v>1705</v>
      </c>
      <c r="B1716" s="77" t="n">
        <v>-0.474128</v>
      </c>
      <c r="C1716" s="78" t="n">
        <f aca="false">05_Unit_Economics!$B$15*EXP((01_Inputs!$C$20-01_Inputs!$C$21^2/2)*01_Inputs!$C$22+01_Inputs!$C$21*SQRT(01_Inputs!$C$22)*B1716)</f>
        <v>45.8448344471561</v>
      </c>
      <c r="D1716" s="78" t="n">
        <f aca="false">MAX(C1716-05_Unit_Economics!$B$21,0)</f>
        <v>7.93722897265266</v>
      </c>
      <c r="E1716" s="78" t="n">
        <f aca="false">D1716*EXP(-01_Inputs!$C$20*01_Inputs!$C$22)</f>
        <v>7.59556267674968</v>
      </c>
      <c r="F1716" s="79"/>
    </row>
    <row r="1717" customFormat="false" ht="15" hidden="false" customHeight="false" outlineLevel="0" collapsed="false">
      <c r="A1717" s="76" t="n">
        <v>1706</v>
      </c>
      <c r="B1717" s="77" t="n">
        <v>0.474128</v>
      </c>
      <c r="C1717" s="78" t="n">
        <f aca="false">05_Unit_Economics!$B$15*EXP((01_Inputs!$C$20-01_Inputs!$C$21^2/2)*01_Inputs!$C$22+01_Inputs!$C$21*SQRT(01_Inputs!$C$22)*B1717)</f>
        <v>63.8893148305904</v>
      </c>
      <c r="D1717" s="78" t="n">
        <f aca="false">MAX(C1717-05_Unit_Economics!$B$21,0)</f>
        <v>25.9817093560869</v>
      </c>
      <c r="E1717" s="78" t="n">
        <f aca="false">D1717*EXP(-01_Inputs!$C$20*01_Inputs!$C$22)</f>
        <v>24.8632995902218</v>
      </c>
      <c r="F1717" s="80" t="n">
        <f aca="false">AVERAGE(E1716:E1717)</f>
        <v>16.2294311334858</v>
      </c>
    </row>
    <row r="1718" customFormat="false" ht="15" hidden="false" customHeight="false" outlineLevel="0" collapsed="false">
      <c r="A1718" s="76" t="n">
        <v>1707</v>
      </c>
      <c r="B1718" s="77" t="n">
        <v>-1.346858</v>
      </c>
      <c r="C1718" s="78" t="n">
        <f aca="false">05_Unit_Economics!$B$15*EXP((01_Inputs!$C$20-01_Inputs!$C$21^2/2)*01_Inputs!$C$22+01_Inputs!$C$21*SQRT(01_Inputs!$C$22)*B1718)</f>
        <v>33.7779097235775</v>
      </c>
      <c r="D1718" s="78" t="n">
        <f aca="false">MAX(C1718-05_Unit_Economics!$B$21,0)</f>
        <v>0</v>
      </c>
      <c r="E1718" s="78" t="n">
        <f aca="false">D1718*EXP(-01_Inputs!$C$20*01_Inputs!$C$22)</f>
        <v>0</v>
      </c>
      <c r="F1718" s="79"/>
    </row>
    <row r="1719" customFormat="false" ht="15" hidden="false" customHeight="false" outlineLevel="0" collapsed="false">
      <c r="A1719" s="76" t="n">
        <v>1708</v>
      </c>
      <c r="B1719" s="77" t="n">
        <v>1.346858</v>
      </c>
      <c r="C1719" s="78" t="n">
        <f aca="false">05_Unit_Economics!$B$15*EXP((01_Inputs!$C$20-01_Inputs!$C$21^2/2)*01_Inputs!$C$22+01_Inputs!$C$21*SQRT(01_Inputs!$C$22)*B1719)</f>
        <v>86.7133308520323</v>
      </c>
      <c r="D1719" s="78" t="n">
        <f aca="false">MAX(C1719-05_Unit_Economics!$B$21,0)</f>
        <v>48.8057253775288</v>
      </c>
      <c r="E1719" s="78" t="n">
        <f aca="false">D1719*EXP(-01_Inputs!$C$20*01_Inputs!$C$22)</f>
        <v>46.7048320473689</v>
      </c>
      <c r="F1719" s="80" t="n">
        <f aca="false">AVERAGE(E1718:E1719)</f>
        <v>23.3524160236844</v>
      </c>
    </row>
    <row r="1720" customFormat="false" ht="15" hidden="false" customHeight="false" outlineLevel="0" collapsed="false">
      <c r="A1720" s="76" t="n">
        <v>1709</v>
      </c>
      <c r="B1720" s="77" t="n">
        <v>0.921846</v>
      </c>
      <c r="C1720" s="78" t="n">
        <f aca="false">05_Unit_Economics!$B$15*EXP((01_Inputs!$C$20-01_Inputs!$C$21^2/2)*01_Inputs!$C$22+01_Inputs!$C$21*SQRT(01_Inputs!$C$22)*B1720)</f>
        <v>74.7278935711092</v>
      </c>
      <c r="D1720" s="78" t="n">
        <f aca="false">MAX(C1720-05_Unit_Economics!$B$21,0)</f>
        <v>36.8202880966057</v>
      </c>
      <c r="E1720" s="78" t="n">
        <f aca="false">D1720*EXP(-01_Inputs!$C$20*01_Inputs!$C$22)</f>
        <v>35.2353204093446</v>
      </c>
      <c r="F1720" s="79"/>
    </row>
    <row r="1721" customFormat="false" ht="15" hidden="false" customHeight="false" outlineLevel="0" collapsed="false">
      <c r="A1721" s="76" t="n">
        <v>1710</v>
      </c>
      <c r="B1721" s="77" t="n">
        <v>-0.921846</v>
      </c>
      <c r="C1721" s="78" t="n">
        <f aca="false">05_Unit_Economics!$B$15*EXP((01_Inputs!$C$20-01_Inputs!$C$21^2/2)*01_Inputs!$C$22+01_Inputs!$C$21*SQRT(01_Inputs!$C$22)*B1721)</f>
        <v>39.1954720169316</v>
      </c>
      <c r="D1721" s="78" t="n">
        <f aca="false">MAX(C1721-05_Unit_Economics!$B$21,0)</f>
        <v>1.28786654242811</v>
      </c>
      <c r="E1721" s="78" t="n">
        <f aca="false">D1721*EXP(-01_Inputs!$C$20*01_Inputs!$C$22)</f>
        <v>1.2324289844737</v>
      </c>
      <c r="F1721" s="80" t="n">
        <f aca="false">AVERAGE(E1720:E1721)</f>
        <v>18.2338746969091</v>
      </c>
    </row>
    <row r="1722" customFormat="false" ht="15" hidden="false" customHeight="false" outlineLevel="0" collapsed="false">
      <c r="A1722" s="76" t="n">
        <v>1711</v>
      </c>
      <c r="B1722" s="77" t="n">
        <v>0.126121</v>
      </c>
      <c r="C1722" s="78" t="n">
        <f aca="false">05_Unit_Economics!$B$15*EXP((01_Inputs!$C$20-01_Inputs!$C$21^2/2)*01_Inputs!$C$22+01_Inputs!$C$21*SQRT(01_Inputs!$C$22)*B1722)</f>
        <v>56.562695643937</v>
      </c>
      <c r="D1722" s="78" t="n">
        <f aca="false">MAX(C1722-05_Unit_Economics!$B$21,0)</f>
        <v>18.6550901694335</v>
      </c>
      <c r="E1722" s="78" t="n">
        <f aca="false">D1722*EXP(-01_Inputs!$C$20*01_Inputs!$C$22)</f>
        <v>17.8520623646559</v>
      </c>
      <c r="F1722" s="79"/>
    </row>
    <row r="1723" customFormat="false" ht="15" hidden="false" customHeight="false" outlineLevel="0" collapsed="false">
      <c r="A1723" s="76" t="n">
        <v>1712</v>
      </c>
      <c r="B1723" s="77" t="n">
        <v>-0.126121</v>
      </c>
      <c r="C1723" s="78" t="n">
        <f aca="false">05_Unit_Economics!$B$15*EXP((01_Inputs!$C$20-01_Inputs!$C$21^2/2)*01_Inputs!$C$22+01_Inputs!$C$21*SQRT(01_Inputs!$C$22)*B1723)</f>
        <v>51.7831589885447</v>
      </c>
      <c r="D1723" s="78" t="n">
        <f aca="false">MAX(C1723-05_Unit_Economics!$B$21,0)</f>
        <v>13.8755535140412</v>
      </c>
      <c r="E1723" s="78" t="n">
        <f aca="false">D1723*EXP(-01_Inputs!$C$20*01_Inputs!$C$22)</f>
        <v>13.2782658473908</v>
      </c>
      <c r="F1723" s="80" t="n">
        <f aca="false">AVERAGE(E1722:E1723)</f>
        <v>15.5651641060233</v>
      </c>
    </row>
    <row r="1724" customFormat="false" ht="15" hidden="false" customHeight="false" outlineLevel="0" collapsed="false">
      <c r="A1724" s="76" t="n">
        <v>1713</v>
      </c>
      <c r="B1724" s="77" t="n">
        <v>-1.121938</v>
      </c>
      <c r="C1724" s="78" t="n">
        <f aca="false">05_Unit_Economics!$B$15*EXP((01_Inputs!$C$20-01_Inputs!$C$21^2/2)*01_Inputs!$C$22+01_Inputs!$C$21*SQRT(01_Inputs!$C$22)*B1724)</f>
        <v>36.5444391269981</v>
      </c>
      <c r="D1724" s="78" t="n">
        <f aca="false">MAX(C1724-05_Unit_Economics!$B$21,0)</f>
        <v>0</v>
      </c>
      <c r="E1724" s="78" t="n">
        <f aca="false">D1724*EXP(-01_Inputs!$C$20*01_Inputs!$C$22)</f>
        <v>0</v>
      </c>
      <c r="F1724" s="79"/>
    </row>
    <row r="1725" customFormat="false" ht="15" hidden="false" customHeight="false" outlineLevel="0" collapsed="false">
      <c r="A1725" s="76" t="n">
        <v>1714</v>
      </c>
      <c r="B1725" s="77" t="n">
        <v>1.121938</v>
      </c>
      <c r="C1725" s="78" t="n">
        <f aca="false">05_Unit_Economics!$B$15*EXP((01_Inputs!$C$20-01_Inputs!$C$21^2/2)*01_Inputs!$C$22+01_Inputs!$C$21*SQRT(01_Inputs!$C$22)*B1725)</f>
        <v>80.1488579745854</v>
      </c>
      <c r="D1725" s="78" t="n">
        <f aca="false">MAX(C1725-05_Unit_Economics!$B$21,0)</f>
        <v>42.241252500082</v>
      </c>
      <c r="E1725" s="78" t="n">
        <f aca="false">D1725*EXP(-01_Inputs!$C$20*01_Inputs!$C$22)</f>
        <v>40.4229337485717</v>
      </c>
      <c r="F1725" s="80" t="n">
        <f aca="false">AVERAGE(E1724:E1725)</f>
        <v>20.2114668742858</v>
      </c>
    </row>
    <row r="1726" customFormat="false" ht="15" hidden="false" customHeight="false" outlineLevel="0" collapsed="false">
      <c r="A1726" s="76" t="n">
        <v>1715</v>
      </c>
      <c r="B1726" s="77" t="n">
        <v>-0.647191</v>
      </c>
      <c r="C1726" s="78" t="n">
        <f aca="false">05_Unit_Economics!$B$15*EXP((01_Inputs!$C$20-01_Inputs!$C$21^2/2)*01_Inputs!$C$22+01_Inputs!$C$21*SQRT(01_Inputs!$C$22)*B1726)</f>
        <v>43.1503479122176</v>
      </c>
      <c r="D1726" s="78" t="n">
        <f aca="false">MAX(C1726-05_Unit_Economics!$B$21,0)</f>
        <v>5.24274243771409</v>
      </c>
      <c r="E1726" s="78" t="n">
        <f aca="false">D1726*EXP(-01_Inputs!$C$20*01_Inputs!$C$22)</f>
        <v>5.01706312378239</v>
      </c>
      <c r="F1726" s="79"/>
    </row>
    <row r="1727" customFormat="false" ht="15" hidden="false" customHeight="false" outlineLevel="0" collapsed="false">
      <c r="A1727" s="76" t="n">
        <v>1716</v>
      </c>
      <c r="B1727" s="77" t="n">
        <v>0.647191</v>
      </c>
      <c r="C1727" s="78" t="n">
        <f aca="false">05_Unit_Economics!$B$15*EXP((01_Inputs!$C$20-01_Inputs!$C$21^2/2)*01_Inputs!$C$22+01_Inputs!$C$21*SQRT(01_Inputs!$C$22)*B1727)</f>
        <v>67.8788284003925</v>
      </c>
      <c r="D1727" s="78" t="n">
        <f aca="false">MAX(C1727-05_Unit_Economics!$B$21,0)</f>
        <v>29.9712229258891</v>
      </c>
      <c r="E1727" s="78" t="n">
        <f aca="false">D1727*EXP(-01_Inputs!$C$20*01_Inputs!$C$22)</f>
        <v>28.6810803892364</v>
      </c>
      <c r="F1727" s="80" t="n">
        <f aca="false">AVERAGE(E1726:E1727)</f>
        <v>16.8490717565094</v>
      </c>
    </row>
    <row r="1728" customFormat="false" ht="15" hidden="false" customHeight="false" outlineLevel="0" collapsed="false">
      <c r="A1728" s="76" t="n">
        <v>1717</v>
      </c>
      <c r="B1728" s="77" t="n">
        <v>0.961541</v>
      </c>
      <c r="C1728" s="78" t="n">
        <f aca="false">05_Unit_Economics!$B$15*EXP((01_Inputs!$C$20-01_Inputs!$C$21^2/2)*01_Inputs!$C$22+01_Inputs!$C$21*SQRT(01_Inputs!$C$22)*B1728)</f>
        <v>75.7733524730497</v>
      </c>
      <c r="D1728" s="78" t="n">
        <f aca="false">MAX(C1728-05_Unit_Economics!$B$21,0)</f>
        <v>37.8657469985462</v>
      </c>
      <c r="E1728" s="78" t="n">
        <f aca="false">D1728*EXP(-01_Inputs!$C$20*01_Inputs!$C$22)</f>
        <v>36.2357764429319</v>
      </c>
      <c r="F1728" s="79"/>
    </row>
    <row r="1729" customFormat="false" ht="15" hidden="false" customHeight="false" outlineLevel="0" collapsed="false">
      <c r="A1729" s="76" t="n">
        <v>1718</v>
      </c>
      <c r="B1729" s="77" t="n">
        <v>-0.961541</v>
      </c>
      <c r="C1729" s="78" t="n">
        <f aca="false">05_Unit_Economics!$B$15*EXP((01_Inputs!$C$20-01_Inputs!$C$21^2/2)*01_Inputs!$C$22+01_Inputs!$C$21*SQRT(01_Inputs!$C$22)*B1729)</f>
        <v>38.6546848694917</v>
      </c>
      <c r="D1729" s="78" t="n">
        <f aca="false">MAX(C1729-05_Unit_Economics!$B$21,0)</f>
        <v>0.747079394988198</v>
      </c>
      <c r="E1729" s="78" t="n">
        <f aca="false">D1729*EXP(-01_Inputs!$C$20*01_Inputs!$C$22)</f>
        <v>0.714920583580526</v>
      </c>
      <c r="F1729" s="80" t="n">
        <f aca="false">AVERAGE(E1728:E1729)</f>
        <v>18.4753485132562</v>
      </c>
    </row>
    <row r="1730" customFormat="false" ht="15" hidden="false" customHeight="false" outlineLevel="0" collapsed="false">
      <c r="A1730" s="76" t="n">
        <v>1719</v>
      </c>
      <c r="B1730" s="77" t="n">
        <v>0.098066</v>
      </c>
      <c r="C1730" s="78" t="n">
        <f aca="false">05_Unit_Economics!$B$15*EXP((01_Inputs!$C$20-01_Inputs!$C$21^2/2)*01_Inputs!$C$22+01_Inputs!$C$21*SQRT(01_Inputs!$C$22)*B1730)</f>
        <v>56.0100103131645</v>
      </c>
      <c r="D1730" s="78" t="n">
        <f aca="false">MAX(C1730-05_Unit_Economics!$B$21,0)</f>
        <v>18.102404838661</v>
      </c>
      <c r="E1730" s="78" t="n">
        <f aca="false">D1730*EXP(-01_Inputs!$C$20*01_Inputs!$C$22)</f>
        <v>17.3231679501359</v>
      </c>
      <c r="F1730" s="79"/>
    </row>
    <row r="1731" customFormat="false" ht="15" hidden="false" customHeight="false" outlineLevel="0" collapsed="false">
      <c r="A1731" s="76" t="n">
        <v>1720</v>
      </c>
      <c r="B1731" s="77" t="n">
        <v>-0.098066</v>
      </c>
      <c r="C1731" s="78" t="n">
        <f aca="false">05_Unit_Economics!$B$15*EXP((01_Inputs!$C$20-01_Inputs!$C$21^2/2)*01_Inputs!$C$22+01_Inputs!$C$21*SQRT(01_Inputs!$C$22)*B1731)</f>
        <v>52.2941353692667</v>
      </c>
      <c r="D1731" s="78" t="n">
        <f aca="false">MAX(C1731-05_Unit_Economics!$B$21,0)</f>
        <v>14.3865298947633</v>
      </c>
      <c r="E1731" s="78" t="n">
        <f aca="false">D1731*EXP(-01_Inputs!$C$20*01_Inputs!$C$22)</f>
        <v>13.767246717098</v>
      </c>
      <c r="F1731" s="80" t="n">
        <f aca="false">AVERAGE(E1730:E1731)</f>
        <v>15.545207333617</v>
      </c>
    </row>
    <row r="1732" customFormat="false" ht="15" hidden="false" customHeight="false" outlineLevel="0" collapsed="false">
      <c r="A1732" s="76" t="n">
        <v>1721</v>
      </c>
      <c r="B1732" s="77" t="n">
        <v>0.766016</v>
      </c>
      <c r="C1732" s="78" t="n">
        <f aca="false">05_Unit_Economics!$B$15*EXP((01_Inputs!$C$20-01_Inputs!$C$21^2/2)*01_Inputs!$C$22+01_Inputs!$C$21*SQRT(01_Inputs!$C$22)*B1732)</f>
        <v>70.7613487735246</v>
      </c>
      <c r="D1732" s="78" t="n">
        <f aca="false">MAX(C1732-05_Unit_Economics!$B$21,0)</f>
        <v>32.8537432990211</v>
      </c>
      <c r="E1732" s="78" t="n">
        <f aca="false">D1732*EXP(-01_Inputs!$C$20*01_Inputs!$C$22)</f>
        <v>31.4395196678018</v>
      </c>
      <c r="F1732" s="79"/>
    </row>
    <row r="1733" customFormat="false" ht="15" hidden="false" customHeight="false" outlineLevel="0" collapsed="false">
      <c r="A1733" s="76" t="n">
        <v>1722</v>
      </c>
      <c r="B1733" s="77" t="n">
        <v>-0.766016</v>
      </c>
      <c r="C1733" s="78" t="n">
        <f aca="false">05_Unit_Economics!$B$15*EXP((01_Inputs!$C$20-01_Inputs!$C$21^2/2)*01_Inputs!$C$22+01_Inputs!$C$21*SQRT(01_Inputs!$C$22)*B1733)</f>
        <v>41.3925838345034</v>
      </c>
      <c r="D1733" s="78" t="n">
        <f aca="false">MAX(C1733-05_Unit_Economics!$B$21,0)</f>
        <v>3.48497835999996</v>
      </c>
      <c r="E1733" s="78" t="n">
        <f aca="false">D1733*EXP(-01_Inputs!$C$20*01_Inputs!$C$22)</f>
        <v>3.33496383330989</v>
      </c>
      <c r="F1733" s="80" t="n">
        <f aca="false">AVERAGE(E1732:E1733)</f>
        <v>17.3872417505559</v>
      </c>
    </row>
    <row r="1734" customFormat="false" ht="15" hidden="false" customHeight="false" outlineLevel="0" collapsed="false">
      <c r="A1734" s="76" t="n">
        <v>1723</v>
      </c>
      <c r="B1734" s="77" t="n">
        <v>-0.109972</v>
      </c>
      <c r="C1734" s="78" t="n">
        <f aca="false">05_Unit_Economics!$B$15*EXP((01_Inputs!$C$20-01_Inputs!$C$21^2/2)*01_Inputs!$C$22+01_Inputs!$C$21*SQRT(01_Inputs!$C$22)*B1734)</f>
        <v>52.0766738843262</v>
      </c>
      <c r="D1734" s="78" t="n">
        <f aca="false">MAX(C1734-05_Unit_Economics!$B$21,0)</f>
        <v>14.1690684098227</v>
      </c>
      <c r="E1734" s="78" t="n">
        <f aca="false">D1734*EXP(-01_Inputs!$C$20*01_Inputs!$C$22)</f>
        <v>13.5591460884862</v>
      </c>
      <c r="F1734" s="79"/>
    </row>
    <row r="1735" customFormat="false" ht="15" hidden="false" customHeight="false" outlineLevel="0" collapsed="false">
      <c r="A1735" s="76" t="n">
        <v>1724</v>
      </c>
      <c r="B1735" s="77" t="n">
        <v>0.109972</v>
      </c>
      <c r="C1735" s="78" t="n">
        <f aca="false">05_Unit_Economics!$B$15*EXP((01_Inputs!$C$20-01_Inputs!$C$21^2/2)*01_Inputs!$C$22+01_Inputs!$C$21*SQRT(01_Inputs!$C$22)*B1735)</f>
        <v>56.2438966024712</v>
      </c>
      <c r="D1735" s="78" t="n">
        <f aca="false">MAX(C1735-05_Unit_Economics!$B$21,0)</f>
        <v>18.3362911279677</v>
      </c>
      <c r="E1735" s="78" t="n">
        <f aca="false">D1735*EXP(-01_Inputs!$C$20*01_Inputs!$C$22)</f>
        <v>17.5469863602866</v>
      </c>
      <c r="F1735" s="80" t="n">
        <f aca="false">AVERAGE(E1734:E1735)</f>
        <v>15.5530662243864</v>
      </c>
    </row>
    <row r="1736" customFormat="false" ht="15" hidden="false" customHeight="false" outlineLevel="0" collapsed="false">
      <c r="A1736" s="76" t="n">
        <v>1725</v>
      </c>
      <c r="B1736" s="77" t="n">
        <v>-0.460237</v>
      </c>
      <c r="C1736" s="78" t="n">
        <f aca="false">05_Unit_Economics!$B$15*EXP((01_Inputs!$C$20-01_Inputs!$C$21^2/2)*01_Inputs!$C$22+01_Inputs!$C$21*SQRT(01_Inputs!$C$22)*B1736)</f>
        <v>46.0682678652763</v>
      </c>
      <c r="D1736" s="78" t="n">
        <f aca="false">MAX(C1736-05_Unit_Economics!$B$21,0)</f>
        <v>8.1606623907728</v>
      </c>
      <c r="E1736" s="78" t="n">
        <f aca="false">D1736*EXP(-01_Inputs!$C$20*01_Inputs!$C$22)</f>
        <v>7.80937817045149</v>
      </c>
      <c r="F1736" s="79"/>
    </row>
    <row r="1737" customFormat="false" ht="15" hidden="false" customHeight="false" outlineLevel="0" collapsed="false">
      <c r="A1737" s="76" t="n">
        <v>1726</v>
      </c>
      <c r="B1737" s="77" t="n">
        <v>0.460237</v>
      </c>
      <c r="C1737" s="78" t="n">
        <f aca="false">05_Unit_Economics!$B$15*EXP((01_Inputs!$C$20-01_Inputs!$C$21^2/2)*01_Inputs!$C$22+01_Inputs!$C$21*SQRT(01_Inputs!$C$22)*B1737)</f>
        <v>63.5794484376168</v>
      </c>
      <c r="D1737" s="78" t="n">
        <f aca="false">MAX(C1737-05_Unit_Economics!$B$21,0)</f>
        <v>25.6718429631133</v>
      </c>
      <c r="E1737" s="78" t="n">
        <f aca="false">D1737*EXP(-01_Inputs!$C$20*01_Inputs!$C$22)</f>
        <v>24.5667717191779</v>
      </c>
      <c r="F1737" s="80" t="n">
        <f aca="false">AVERAGE(E1736:E1737)</f>
        <v>16.1880749448147</v>
      </c>
    </row>
    <row r="1738" customFormat="false" ht="15" hidden="false" customHeight="false" outlineLevel="0" collapsed="false">
      <c r="A1738" s="76" t="n">
        <v>1727</v>
      </c>
      <c r="B1738" s="77" t="n">
        <v>-0.174612</v>
      </c>
      <c r="C1738" s="78" t="n">
        <f aca="false">05_Unit_Economics!$B$15*EXP((01_Inputs!$C$20-01_Inputs!$C$21^2/2)*01_Inputs!$C$22+01_Inputs!$C$21*SQRT(01_Inputs!$C$22)*B1738)</f>
        <v>50.9117188747479</v>
      </c>
      <c r="D1738" s="78" t="n">
        <f aca="false">MAX(C1738-05_Unit_Economics!$B$21,0)</f>
        <v>13.0041134002444</v>
      </c>
      <c r="E1738" s="78" t="n">
        <f aca="false">D1738*EXP(-01_Inputs!$C$20*01_Inputs!$C$22)</f>
        <v>12.4443377817922</v>
      </c>
      <c r="F1738" s="79"/>
    </row>
    <row r="1739" customFormat="false" ht="15" hidden="false" customHeight="false" outlineLevel="0" collapsed="false">
      <c r="A1739" s="76" t="n">
        <v>1728</v>
      </c>
      <c r="B1739" s="77" t="n">
        <v>0.174612</v>
      </c>
      <c r="C1739" s="78" t="n">
        <f aca="false">05_Unit_Economics!$B$15*EXP((01_Inputs!$C$20-01_Inputs!$C$21^2/2)*01_Inputs!$C$22+01_Inputs!$C$21*SQRT(01_Inputs!$C$22)*B1739)</f>
        <v>57.5308617757832</v>
      </c>
      <c r="D1739" s="78" t="n">
        <f aca="false">MAX(C1739-05_Unit_Economics!$B$21,0)</f>
        <v>19.6232563012797</v>
      </c>
      <c r="E1739" s="78" t="n">
        <f aca="false">D1739*EXP(-01_Inputs!$C$20*01_Inputs!$C$22)</f>
        <v>18.7785527760175</v>
      </c>
      <c r="F1739" s="80" t="n">
        <f aca="false">AVERAGE(E1738:E1739)</f>
        <v>15.6114452789048</v>
      </c>
    </row>
    <row r="1740" customFormat="false" ht="15" hidden="false" customHeight="false" outlineLevel="0" collapsed="false">
      <c r="A1740" s="76" t="n">
        <v>1729</v>
      </c>
      <c r="B1740" s="77" t="n">
        <v>2.364952</v>
      </c>
      <c r="C1740" s="78" t="n">
        <f aca="false">05_Unit_Economics!$B$15*EXP((01_Inputs!$C$20-01_Inputs!$C$21^2/2)*01_Inputs!$C$22+01_Inputs!$C$21*SQRT(01_Inputs!$C$22)*B1740)</f>
        <v>123.833823078144</v>
      </c>
      <c r="D1740" s="78" t="n">
        <f aca="false">MAX(C1740-05_Unit_Economics!$B$21,0)</f>
        <v>85.9262176036407</v>
      </c>
      <c r="E1740" s="78" t="n">
        <f aca="false">D1740*EXP(-01_Inputs!$C$20*01_Inputs!$C$22)</f>
        <v>82.2274339864941</v>
      </c>
      <c r="F1740" s="79"/>
    </row>
    <row r="1741" customFormat="false" ht="15" hidden="false" customHeight="false" outlineLevel="0" collapsed="false">
      <c r="A1741" s="76" t="n">
        <v>1730</v>
      </c>
      <c r="B1741" s="77" t="n">
        <v>-2.364952</v>
      </c>
      <c r="C1741" s="78" t="n">
        <f aca="false">05_Unit_Economics!$B$15*EXP((01_Inputs!$C$20-01_Inputs!$C$21^2/2)*01_Inputs!$C$22+01_Inputs!$C$21*SQRT(01_Inputs!$C$22)*B1741)</f>
        <v>23.6526256602959</v>
      </c>
      <c r="D1741" s="78" t="n">
        <f aca="false">MAX(C1741-05_Unit_Economics!$B$21,0)</f>
        <v>0</v>
      </c>
      <c r="E1741" s="78" t="n">
        <f aca="false">D1741*EXP(-01_Inputs!$C$20*01_Inputs!$C$22)</f>
        <v>0</v>
      </c>
      <c r="F1741" s="80" t="n">
        <f aca="false">AVERAGE(E1740:E1741)</f>
        <v>41.1137169932471</v>
      </c>
    </row>
    <row r="1742" customFormat="false" ht="15" hidden="false" customHeight="false" outlineLevel="0" collapsed="false">
      <c r="A1742" s="76" t="n">
        <v>1731</v>
      </c>
      <c r="B1742" s="77" t="n">
        <v>-0.588811</v>
      </c>
      <c r="C1742" s="78" t="n">
        <f aca="false">05_Unit_Economics!$B$15*EXP((01_Inputs!$C$20-01_Inputs!$C$21^2/2)*01_Inputs!$C$22+01_Inputs!$C$21*SQRT(01_Inputs!$C$22)*B1742)</f>
        <v>44.0411084346014</v>
      </c>
      <c r="D1742" s="78" t="n">
        <f aca="false">MAX(C1742-05_Unit_Economics!$B$21,0)</f>
        <v>6.13350296009794</v>
      </c>
      <c r="E1742" s="78" t="n">
        <f aca="false">D1742*EXP(-01_Inputs!$C$20*01_Inputs!$C$22)</f>
        <v>5.86947993083837</v>
      </c>
      <c r="F1742" s="79"/>
    </row>
    <row r="1743" customFormat="false" ht="15" hidden="false" customHeight="false" outlineLevel="0" collapsed="false">
      <c r="A1743" s="76" t="n">
        <v>1732</v>
      </c>
      <c r="B1743" s="77" t="n">
        <v>0.588811</v>
      </c>
      <c r="C1743" s="78" t="n">
        <f aca="false">05_Unit_Economics!$B$15*EXP((01_Inputs!$C$20-01_Inputs!$C$21^2/2)*01_Inputs!$C$22+01_Inputs!$C$21*SQRT(01_Inputs!$C$22)*B1743)</f>
        <v>66.5059342386908</v>
      </c>
      <c r="D1743" s="78" t="n">
        <f aca="false">MAX(C1743-05_Unit_Economics!$B$21,0)</f>
        <v>28.5983287641873</v>
      </c>
      <c r="E1743" s="78" t="n">
        <f aca="false">D1743*EXP(-01_Inputs!$C$20*01_Inputs!$C$22)</f>
        <v>27.3672838880043</v>
      </c>
      <c r="F1743" s="80" t="n">
        <f aca="false">AVERAGE(E1742:E1743)</f>
        <v>16.6183819094214</v>
      </c>
    </row>
    <row r="1744" customFormat="false" ht="15" hidden="false" customHeight="false" outlineLevel="0" collapsed="false">
      <c r="A1744" s="76" t="n">
        <v>1733</v>
      </c>
      <c r="B1744" s="77" t="n">
        <v>0.356165</v>
      </c>
      <c r="C1744" s="78" t="n">
        <f aca="false">05_Unit_Economics!$B$15*EXP((01_Inputs!$C$20-01_Inputs!$C$21^2/2)*01_Inputs!$C$22+01_Inputs!$C$21*SQRT(01_Inputs!$C$22)*B1744)</f>
        <v>61.3052252759446</v>
      </c>
      <c r="D1744" s="78" t="n">
        <f aca="false">MAX(C1744-05_Unit_Economics!$B$21,0)</f>
        <v>23.3976198014411</v>
      </c>
      <c r="E1744" s="78" t="n">
        <f aca="false">D1744*EXP(-01_Inputs!$C$20*01_Inputs!$C$22)</f>
        <v>22.3904448644388</v>
      </c>
      <c r="F1744" s="79"/>
    </row>
    <row r="1745" customFormat="false" ht="15" hidden="false" customHeight="false" outlineLevel="0" collapsed="false">
      <c r="A1745" s="76" t="n">
        <v>1734</v>
      </c>
      <c r="B1745" s="77" t="n">
        <v>-0.356165</v>
      </c>
      <c r="C1745" s="78" t="n">
        <f aca="false">05_Unit_Economics!$B$15*EXP((01_Inputs!$C$20-01_Inputs!$C$21^2/2)*01_Inputs!$C$22+01_Inputs!$C$21*SQRT(01_Inputs!$C$22)*B1745)</f>
        <v>47.7772497885259</v>
      </c>
      <c r="D1745" s="78" t="n">
        <f aca="false">MAX(C1745-05_Unit_Economics!$B$21,0)</f>
        <v>9.86964431402238</v>
      </c>
      <c r="E1745" s="78" t="n">
        <f aca="false">D1745*EXP(-01_Inputs!$C$20*01_Inputs!$C$22)</f>
        <v>9.44479518515507</v>
      </c>
      <c r="F1745" s="80" t="n">
        <f aca="false">AVERAGE(E1744:E1745)</f>
        <v>15.9176200247969</v>
      </c>
    </row>
    <row r="1746" customFormat="false" ht="15" hidden="false" customHeight="false" outlineLevel="0" collapsed="false">
      <c r="A1746" s="76" t="n">
        <v>1735</v>
      </c>
      <c r="B1746" s="77" t="n">
        <v>2.136813</v>
      </c>
      <c r="C1746" s="78" t="n">
        <f aca="false">05_Unit_Economics!$B$15*EXP((01_Inputs!$C$20-01_Inputs!$C$21^2/2)*01_Inputs!$C$22+01_Inputs!$C$21*SQRT(01_Inputs!$C$22)*B1746)</f>
        <v>114.330328904859</v>
      </c>
      <c r="D1746" s="78" t="n">
        <f aca="false">MAX(C1746-05_Unit_Economics!$B$21,0)</f>
        <v>76.4227234303555</v>
      </c>
      <c r="E1746" s="78" t="n">
        <f aca="false">D1746*EXP(-01_Inputs!$C$20*01_Inputs!$C$22)</f>
        <v>73.1330276275469</v>
      </c>
      <c r="F1746" s="79"/>
    </row>
    <row r="1747" customFormat="false" ht="15" hidden="false" customHeight="false" outlineLevel="0" collapsed="false">
      <c r="A1747" s="76" t="n">
        <v>1736</v>
      </c>
      <c r="B1747" s="77" t="n">
        <v>-2.136813</v>
      </c>
      <c r="C1747" s="78" t="n">
        <f aca="false">05_Unit_Economics!$B$15*EXP((01_Inputs!$C$20-01_Inputs!$C$21^2/2)*01_Inputs!$C$22+01_Inputs!$C$21*SQRT(01_Inputs!$C$22)*B1747)</f>
        <v>25.6187058097947</v>
      </c>
      <c r="D1747" s="78" t="n">
        <f aca="false">MAX(C1747-05_Unit_Economics!$B$21,0)</f>
        <v>0</v>
      </c>
      <c r="E1747" s="78" t="n">
        <f aca="false">D1747*EXP(-01_Inputs!$C$20*01_Inputs!$C$22)</f>
        <v>0</v>
      </c>
      <c r="F1747" s="80" t="n">
        <f aca="false">AVERAGE(E1746:E1747)</f>
        <v>36.5665138137734</v>
      </c>
    </row>
    <row r="1748" customFormat="false" ht="15" hidden="false" customHeight="false" outlineLevel="0" collapsed="false">
      <c r="A1748" s="76" t="n">
        <v>1737</v>
      </c>
      <c r="B1748" s="77" t="n">
        <v>1.168915</v>
      </c>
      <c r="C1748" s="78" t="n">
        <f aca="false">05_Unit_Economics!$B$15*EXP((01_Inputs!$C$20-01_Inputs!$C$21^2/2)*01_Inputs!$C$22+01_Inputs!$C$21*SQRT(01_Inputs!$C$22)*B1748)</f>
        <v>81.4775547399148</v>
      </c>
      <c r="D1748" s="78" t="n">
        <f aca="false">MAX(C1748-05_Unit_Economics!$B$21,0)</f>
        <v>43.5699492654113</v>
      </c>
      <c r="E1748" s="78" t="n">
        <f aca="false">D1748*EXP(-01_Inputs!$C$20*01_Inputs!$C$22)</f>
        <v>41.6944353764352</v>
      </c>
      <c r="F1748" s="79"/>
    </row>
    <row r="1749" customFormat="false" ht="15" hidden="false" customHeight="false" outlineLevel="0" collapsed="false">
      <c r="A1749" s="76" t="n">
        <v>1738</v>
      </c>
      <c r="B1749" s="77" t="n">
        <v>-1.168915</v>
      </c>
      <c r="C1749" s="78" t="n">
        <f aca="false">05_Unit_Economics!$B$15*EXP((01_Inputs!$C$20-01_Inputs!$C$21^2/2)*01_Inputs!$C$22+01_Inputs!$C$21*SQRT(01_Inputs!$C$22)*B1749)</f>
        <v>35.9484899945798</v>
      </c>
      <c r="D1749" s="78" t="n">
        <f aca="false">MAX(C1749-05_Unit_Economics!$B$21,0)</f>
        <v>0</v>
      </c>
      <c r="E1749" s="78" t="n">
        <f aca="false">D1749*EXP(-01_Inputs!$C$20*01_Inputs!$C$22)</f>
        <v>0</v>
      </c>
      <c r="F1749" s="80" t="n">
        <f aca="false">AVERAGE(E1748:E1749)</f>
        <v>20.8472176882176</v>
      </c>
    </row>
    <row r="1750" customFormat="false" ht="15" hidden="false" customHeight="false" outlineLevel="0" collapsed="false">
      <c r="A1750" s="76" t="n">
        <v>1739</v>
      </c>
      <c r="B1750" s="77" t="n">
        <v>-0.930117</v>
      </c>
      <c r="C1750" s="78" t="n">
        <f aca="false">05_Unit_Economics!$B$15*EXP((01_Inputs!$C$20-01_Inputs!$C$21^2/2)*01_Inputs!$C$22+01_Inputs!$C$21*SQRT(01_Inputs!$C$22)*B1750)</f>
        <v>39.0821710784975</v>
      </c>
      <c r="D1750" s="78" t="n">
        <f aca="false">MAX(C1750-05_Unit_Economics!$B$21,0)</f>
        <v>1.174565603994</v>
      </c>
      <c r="E1750" s="78" t="n">
        <f aca="false">D1750*EXP(-01_Inputs!$C$20*01_Inputs!$C$22)</f>
        <v>1.12400520305378</v>
      </c>
      <c r="F1750" s="79"/>
    </row>
    <row r="1751" customFormat="false" ht="15" hidden="false" customHeight="false" outlineLevel="0" collapsed="false">
      <c r="A1751" s="76" t="n">
        <v>1740</v>
      </c>
      <c r="B1751" s="77" t="n">
        <v>0.930117</v>
      </c>
      <c r="C1751" s="78" t="n">
        <f aca="false">05_Unit_Economics!$B$15*EXP((01_Inputs!$C$20-01_Inputs!$C$21^2/2)*01_Inputs!$C$22+01_Inputs!$C$21*SQRT(01_Inputs!$C$22)*B1751)</f>
        <v>74.9445330318957</v>
      </c>
      <c r="D1751" s="78" t="n">
        <f aca="false">MAX(C1751-05_Unit_Economics!$B$21,0)</f>
        <v>37.0369275573922</v>
      </c>
      <c r="E1751" s="78" t="n">
        <f aca="false">D1751*EXP(-01_Inputs!$C$20*01_Inputs!$C$22)</f>
        <v>35.442634398689</v>
      </c>
      <c r="F1751" s="80" t="n">
        <f aca="false">AVERAGE(E1750:E1751)</f>
        <v>18.2833198008714</v>
      </c>
    </row>
    <row r="1752" customFormat="false" ht="15" hidden="false" customHeight="false" outlineLevel="0" collapsed="false">
      <c r="A1752" s="76" t="n">
        <v>1741</v>
      </c>
      <c r="B1752" s="77" t="n">
        <v>0.78212</v>
      </c>
      <c r="C1752" s="78" t="n">
        <f aca="false">05_Unit_Economics!$B$15*EXP((01_Inputs!$C$20-01_Inputs!$C$21^2/2)*01_Inputs!$C$22+01_Inputs!$C$21*SQRT(01_Inputs!$C$22)*B1752)</f>
        <v>71.1613141633386</v>
      </c>
      <c r="D1752" s="78" t="n">
        <f aca="false">MAX(C1752-05_Unit_Economics!$B$21,0)</f>
        <v>33.2537086888351</v>
      </c>
      <c r="E1752" s="78" t="n">
        <f aca="false">D1752*EXP(-01_Inputs!$C$20*01_Inputs!$C$22)</f>
        <v>31.8222681304366</v>
      </c>
      <c r="F1752" s="79"/>
    </row>
    <row r="1753" customFormat="false" ht="15" hidden="false" customHeight="false" outlineLevel="0" collapsed="false">
      <c r="A1753" s="76" t="n">
        <v>1742</v>
      </c>
      <c r="B1753" s="77" t="n">
        <v>-0.78212</v>
      </c>
      <c r="C1753" s="78" t="n">
        <f aca="false">05_Unit_Economics!$B$15*EXP((01_Inputs!$C$20-01_Inputs!$C$21^2/2)*01_Inputs!$C$22+01_Inputs!$C$21*SQRT(01_Inputs!$C$22)*B1753)</f>
        <v>41.1599349420058</v>
      </c>
      <c r="D1753" s="78" t="n">
        <f aca="false">MAX(C1753-05_Unit_Economics!$B$21,0)</f>
        <v>3.25232946750233</v>
      </c>
      <c r="E1753" s="78" t="n">
        <f aca="false">D1753*EXP(-01_Inputs!$C$20*01_Inputs!$C$22)</f>
        <v>3.11232955493256</v>
      </c>
      <c r="F1753" s="80" t="n">
        <f aca="false">AVERAGE(E1752:E1753)</f>
        <v>17.4672988426846</v>
      </c>
    </row>
    <row r="1754" customFormat="false" ht="15" hidden="false" customHeight="false" outlineLevel="0" collapsed="false">
      <c r="A1754" s="76" t="n">
        <v>1743</v>
      </c>
      <c r="B1754" s="77" t="n">
        <v>-0.518688</v>
      </c>
      <c r="C1754" s="78" t="n">
        <f aca="false">05_Unit_Economics!$B$15*EXP((01_Inputs!$C$20-01_Inputs!$C$21^2/2)*01_Inputs!$C$22+01_Inputs!$C$21*SQRT(01_Inputs!$C$22)*B1754)</f>
        <v>45.135385075516</v>
      </c>
      <c r="D1754" s="78" t="n">
        <f aca="false">MAX(C1754-05_Unit_Economics!$B$21,0)</f>
        <v>7.22777960101249</v>
      </c>
      <c r="E1754" s="78" t="n">
        <f aca="false">D1754*EXP(-01_Inputs!$C$20*01_Inputs!$C$22)</f>
        <v>6.91665229293186</v>
      </c>
      <c r="F1754" s="79"/>
    </row>
    <row r="1755" customFormat="false" ht="15" hidden="false" customHeight="false" outlineLevel="0" collapsed="false">
      <c r="A1755" s="76" t="n">
        <v>1744</v>
      </c>
      <c r="B1755" s="77" t="n">
        <v>0.518688</v>
      </c>
      <c r="C1755" s="78" t="n">
        <f aca="false">05_Unit_Economics!$B$15*EXP((01_Inputs!$C$20-01_Inputs!$C$21^2/2)*01_Inputs!$C$22+01_Inputs!$C$21*SQRT(01_Inputs!$C$22)*B1755)</f>
        <v>64.8935432023047</v>
      </c>
      <c r="D1755" s="78" t="n">
        <f aca="false">MAX(C1755-05_Unit_Economics!$B$21,0)</f>
        <v>26.9859377278012</v>
      </c>
      <c r="E1755" s="78" t="n">
        <f aca="false">D1755*EXP(-01_Inputs!$C$20*01_Inputs!$C$22)</f>
        <v>25.8242999047406</v>
      </c>
      <c r="F1755" s="80" t="n">
        <f aca="false">AVERAGE(E1754:E1755)</f>
        <v>16.3704760988362</v>
      </c>
    </row>
    <row r="1756" customFormat="false" ht="15" hidden="false" customHeight="false" outlineLevel="0" collapsed="false">
      <c r="A1756" s="76" t="n">
        <v>1745</v>
      </c>
      <c r="B1756" s="77" t="n">
        <v>-0.230117</v>
      </c>
      <c r="C1756" s="78" t="n">
        <f aca="false">05_Unit_Economics!$B$15*EXP((01_Inputs!$C$20-01_Inputs!$C$21^2/2)*01_Inputs!$C$22+01_Inputs!$C$21*SQRT(01_Inputs!$C$22)*B1756)</f>
        <v>49.932214736208</v>
      </c>
      <c r="D1756" s="78" t="n">
        <f aca="false">MAX(C1756-05_Unit_Economics!$B$21,0)</f>
        <v>12.0246092617045</v>
      </c>
      <c r="E1756" s="78" t="n">
        <f aca="false">D1756*EXP(-01_Inputs!$C$20*01_Inputs!$C$22)</f>
        <v>11.5069974200552</v>
      </c>
      <c r="F1756" s="79"/>
    </row>
    <row r="1757" customFormat="false" ht="15" hidden="false" customHeight="false" outlineLevel="0" collapsed="false">
      <c r="A1757" s="76" t="n">
        <v>1746</v>
      </c>
      <c r="B1757" s="77" t="n">
        <v>0.230117</v>
      </c>
      <c r="C1757" s="78" t="n">
        <f aca="false">05_Unit_Economics!$B$15*EXP((01_Inputs!$C$20-01_Inputs!$C$21^2/2)*01_Inputs!$C$22+01_Inputs!$C$21*SQRT(01_Inputs!$C$22)*B1757)</f>
        <v>58.6594261204824</v>
      </c>
      <c r="D1757" s="78" t="n">
        <f aca="false">MAX(C1757-05_Unit_Economics!$B$21,0)</f>
        <v>20.7518206459789</v>
      </c>
      <c r="E1757" s="78" t="n">
        <f aca="false">D1757*EXP(-01_Inputs!$C$20*01_Inputs!$C$22)</f>
        <v>19.8585368919404</v>
      </c>
      <c r="F1757" s="80" t="n">
        <f aca="false">AVERAGE(E1756:E1757)</f>
        <v>15.6827671559978</v>
      </c>
    </row>
    <row r="1758" customFormat="false" ht="15" hidden="false" customHeight="false" outlineLevel="0" collapsed="false">
      <c r="A1758" s="76" t="n">
        <v>1747</v>
      </c>
      <c r="B1758" s="77" t="n">
        <v>0.481731</v>
      </c>
      <c r="C1758" s="78" t="n">
        <f aca="false">05_Unit_Economics!$B$15*EXP((01_Inputs!$C$20-01_Inputs!$C$21^2/2)*01_Inputs!$C$22+01_Inputs!$C$21*SQRT(01_Inputs!$C$22)*B1758)</f>
        <v>64.0595538986985</v>
      </c>
      <c r="D1758" s="78" t="n">
        <f aca="false">MAX(C1758-05_Unit_Economics!$B$21,0)</f>
        <v>26.1519484241951</v>
      </c>
      <c r="E1758" s="78" t="n">
        <f aca="false">D1758*EXP(-01_Inputs!$C$20*01_Inputs!$C$22)</f>
        <v>25.0262105401645</v>
      </c>
      <c r="F1758" s="79"/>
    </row>
    <row r="1759" customFormat="false" ht="15" hidden="false" customHeight="false" outlineLevel="0" collapsed="false">
      <c r="A1759" s="76" t="n">
        <v>1748</v>
      </c>
      <c r="B1759" s="77" t="n">
        <v>-0.481731</v>
      </c>
      <c r="C1759" s="78" t="n">
        <f aca="false">05_Unit_Economics!$B$15*EXP((01_Inputs!$C$20-01_Inputs!$C$21^2/2)*01_Inputs!$C$22+01_Inputs!$C$21*SQRT(01_Inputs!$C$22)*B1759)</f>
        <v>45.7230012244928</v>
      </c>
      <c r="D1759" s="78" t="n">
        <f aca="false">MAX(C1759-05_Unit_Economics!$B$21,0)</f>
        <v>7.81539574998928</v>
      </c>
      <c r="E1759" s="78" t="n">
        <f aca="false">D1759*EXP(-01_Inputs!$C$20*01_Inputs!$C$22)</f>
        <v>7.47897389217027</v>
      </c>
      <c r="F1759" s="80" t="n">
        <f aca="false">AVERAGE(E1758:E1759)</f>
        <v>16.2525922161674</v>
      </c>
    </row>
    <row r="1760" customFormat="false" ht="15" hidden="false" customHeight="false" outlineLevel="0" collapsed="false">
      <c r="A1760" s="76" t="n">
        <v>1749</v>
      </c>
      <c r="B1760" s="77" t="n">
        <v>-0.584398</v>
      </c>
      <c r="C1760" s="78" t="n">
        <f aca="false">05_Unit_Economics!$B$15*EXP((01_Inputs!$C$20-01_Inputs!$C$21^2/2)*01_Inputs!$C$22+01_Inputs!$C$21*SQRT(01_Inputs!$C$22)*B1760)</f>
        <v>44.1091846886894</v>
      </c>
      <c r="D1760" s="78" t="n">
        <f aca="false">MAX(C1760-05_Unit_Economics!$B$21,0)</f>
        <v>6.20157921418597</v>
      </c>
      <c r="E1760" s="78" t="n">
        <f aca="false">D1760*EXP(-01_Inputs!$C$20*01_Inputs!$C$22)</f>
        <v>5.93462577159785</v>
      </c>
      <c r="F1760" s="79"/>
    </row>
    <row r="1761" customFormat="false" ht="15" hidden="false" customHeight="false" outlineLevel="0" collapsed="false">
      <c r="A1761" s="76" t="n">
        <v>1750</v>
      </c>
      <c r="B1761" s="77" t="n">
        <v>0.584398</v>
      </c>
      <c r="C1761" s="78" t="n">
        <f aca="false">05_Unit_Economics!$B$15*EXP((01_Inputs!$C$20-01_Inputs!$C$21^2/2)*01_Inputs!$C$22+01_Inputs!$C$21*SQRT(01_Inputs!$C$22)*B1761)</f>
        <v>66.4032917865678</v>
      </c>
      <c r="D1761" s="78" t="n">
        <f aca="false">MAX(C1761-05_Unit_Economics!$B$21,0)</f>
        <v>28.4956863120643</v>
      </c>
      <c r="E1761" s="78" t="n">
        <f aca="false">D1761*EXP(-01_Inputs!$C$20*01_Inputs!$C$22)</f>
        <v>27.2690597872405</v>
      </c>
      <c r="F1761" s="80" t="n">
        <f aca="false">AVERAGE(E1760:E1761)</f>
        <v>16.6018427794192</v>
      </c>
    </row>
    <row r="1762" customFormat="false" ht="15" hidden="false" customHeight="false" outlineLevel="0" collapsed="false">
      <c r="A1762" s="76" t="n">
        <v>1751</v>
      </c>
      <c r="B1762" s="77" t="n">
        <v>1.373107</v>
      </c>
      <c r="C1762" s="78" t="n">
        <f aca="false">05_Unit_Economics!$B$15*EXP((01_Inputs!$C$20-01_Inputs!$C$21^2/2)*01_Inputs!$C$22+01_Inputs!$C$21*SQRT(01_Inputs!$C$22)*B1762)</f>
        <v>87.5136499261089</v>
      </c>
      <c r="D1762" s="78" t="n">
        <f aca="false">MAX(C1762-05_Unit_Economics!$B$21,0)</f>
        <v>49.6060444516054</v>
      </c>
      <c r="E1762" s="78" t="n">
        <f aca="false">D1762*EXP(-01_Inputs!$C$20*01_Inputs!$C$22)</f>
        <v>47.4707005525476</v>
      </c>
      <c r="F1762" s="79"/>
    </row>
    <row r="1763" customFormat="false" ht="15" hidden="false" customHeight="false" outlineLevel="0" collapsed="false">
      <c r="A1763" s="76" t="n">
        <v>1752</v>
      </c>
      <c r="B1763" s="77" t="n">
        <v>-1.373107</v>
      </c>
      <c r="C1763" s="78" t="n">
        <f aca="false">05_Unit_Economics!$B$15*EXP((01_Inputs!$C$20-01_Inputs!$C$21^2/2)*01_Inputs!$C$22+01_Inputs!$C$21*SQRT(01_Inputs!$C$22)*B1763)</f>
        <v>33.4690081355733</v>
      </c>
      <c r="D1763" s="78" t="n">
        <f aca="false">MAX(C1763-05_Unit_Economics!$B$21,0)</f>
        <v>0</v>
      </c>
      <c r="E1763" s="78" t="n">
        <f aca="false">D1763*EXP(-01_Inputs!$C$20*01_Inputs!$C$22)</f>
        <v>0</v>
      </c>
      <c r="F1763" s="80" t="n">
        <f aca="false">AVERAGE(E1762:E1763)</f>
        <v>23.7353502762738</v>
      </c>
    </row>
    <row r="1764" customFormat="false" ht="15" hidden="false" customHeight="false" outlineLevel="0" collapsed="false">
      <c r="A1764" s="76" t="n">
        <v>1753</v>
      </c>
      <c r="B1764" s="77" t="n">
        <v>-0.522469</v>
      </c>
      <c r="C1764" s="78" t="n">
        <f aca="false">05_Unit_Economics!$B$15*EXP((01_Inputs!$C$20-01_Inputs!$C$21^2/2)*01_Inputs!$C$22+01_Inputs!$C$21*SQRT(01_Inputs!$C$22)*B1764)</f>
        <v>45.0756946680377</v>
      </c>
      <c r="D1764" s="78" t="n">
        <f aca="false">MAX(C1764-05_Unit_Economics!$B$21,0)</f>
        <v>7.16808919353427</v>
      </c>
      <c r="E1764" s="78" t="n">
        <f aca="false">D1764*EXP(-01_Inputs!$C$20*01_Inputs!$C$22)</f>
        <v>6.8595313212724</v>
      </c>
      <c r="F1764" s="79"/>
    </row>
    <row r="1765" customFormat="false" ht="15" hidden="false" customHeight="false" outlineLevel="0" collapsed="false">
      <c r="A1765" s="76" t="n">
        <v>1754</v>
      </c>
      <c r="B1765" s="77" t="n">
        <v>0.522469</v>
      </c>
      <c r="C1765" s="78" t="n">
        <f aca="false">05_Unit_Economics!$B$15*EXP((01_Inputs!$C$20-01_Inputs!$C$21^2/2)*01_Inputs!$C$22+01_Inputs!$C$21*SQRT(01_Inputs!$C$22)*B1765)</f>
        <v>64.9794769203533</v>
      </c>
      <c r="D1765" s="78" t="n">
        <f aca="false">MAX(C1765-05_Unit_Economics!$B$21,0)</f>
        <v>27.0718714458499</v>
      </c>
      <c r="E1765" s="78" t="n">
        <f aca="false">D1765*EXP(-01_Inputs!$C$20*01_Inputs!$C$22)</f>
        <v>25.9065345163076</v>
      </c>
      <c r="F1765" s="80" t="n">
        <f aca="false">AVERAGE(E1764:E1765)</f>
        <v>16.38303291879</v>
      </c>
    </row>
    <row r="1766" customFormat="false" ht="15" hidden="false" customHeight="false" outlineLevel="0" collapsed="false">
      <c r="A1766" s="76" t="n">
        <v>1755</v>
      </c>
      <c r="B1766" s="77" t="n">
        <v>1.501037</v>
      </c>
      <c r="C1766" s="78" t="n">
        <f aca="false">05_Unit_Economics!$B$15*EXP((01_Inputs!$C$20-01_Inputs!$C$21^2/2)*01_Inputs!$C$22+01_Inputs!$C$21*SQRT(01_Inputs!$C$22)*B1766)</f>
        <v>91.5211671364687</v>
      </c>
      <c r="D1766" s="78" t="n">
        <f aca="false">MAX(C1766-05_Unit_Economics!$B$21,0)</f>
        <v>53.6135616619652</v>
      </c>
      <c r="E1766" s="78" t="n">
        <f aca="false">D1766*EXP(-01_Inputs!$C$20*01_Inputs!$C$22)</f>
        <v>51.3057100066429</v>
      </c>
      <c r="F1766" s="79"/>
    </row>
    <row r="1767" customFormat="false" ht="15" hidden="false" customHeight="false" outlineLevel="0" collapsed="false">
      <c r="A1767" s="76" t="n">
        <v>1756</v>
      </c>
      <c r="B1767" s="77" t="n">
        <v>-1.501037</v>
      </c>
      <c r="C1767" s="78" t="n">
        <f aca="false">05_Unit_Economics!$B$15*EXP((01_Inputs!$C$20-01_Inputs!$C$21^2/2)*01_Inputs!$C$22+01_Inputs!$C$21*SQRT(01_Inputs!$C$22)*B1767)</f>
        <v>32.0034714699735</v>
      </c>
      <c r="D1767" s="78" t="n">
        <f aca="false">MAX(C1767-05_Unit_Economics!$B$21,0)</f>
        <v>0</v>
      </c>
      <c r="E1767" s="78" t="n">
        <f aca="false">D1767*EXP(-01_Inputs!$C$20*01_Inputs!$C$22)</f>
        <v>0</v>
      </c>
      <c r="F1767" s="80" t="n">
        <f aca="false">AVERAGE(E1766:E1767)</f>
        <v>25.6528550033214</v>
      </c>
    </row>
    <row r="1768" customFormat="false" ht="15" hidden="false" customHeight="false" outlineLevel="0" collapsed="false">
      <c r="A1768" s="76" t="n">
        <v>1757</v>
      </c>
      <c r="B1768" s="77" t="n">
        <v>-1.964742</v>
      </c>
      <c r="C1768" s="78" t="n">
        <f aca="false">05_Unit_Economics!$B$15*EXP((01_Inputs!$C$20-01_Inputs!$C$21^2/2)*01_Inputs!$C$22+01_Inputs!$C$21*SQRT(01_Inputs!$C$22)*B1768)</f>
        <v>27.2089953588823</v>
      </c>
      <c r="D1768" s="78" t="n">
        <f aca="false">MAX(C1768-05_Unit_Economics!$B$21,0)</f>
        <v>0</v>
      </c>
      <c r="E1768" s="78" t="n">
        <f aca="false">D1768*EXP(-01_Inputs!$C$20*01_Inputs!$C$22)</f>
        <v>0</v>
      </c>
      <c r="F1768" s="79"/>
    </row>
    <row r="1769" customFormat="false" ht="15" hidden="false" customHeight="false" outlineLevel="0" collapsed="false">
      <c r="A1769" s="76" t="n">
        <v>1758</v>
      </c>
      <c r="B1769" s="77" t="n">
        <v>1.964742</v>
      </c>
      <c r="C1769" s="78" t="n">
        <f aca="false">05_Unit_Economics!$B$15*EXP((01_Inputs!$C$20-01_Inputs!$C$21^2/2)*01_Inputs!$C$22+01_Inputs!$C$21*SQRT(01_Inputs!$C$22)*B1769)</f>
        <v>107.648041492076</v>
      </c>
      <c r="D1769" s="78" t="n">
        <f aca="false">MAX(C1769-05_Unit_Economics!$B$21,0)</f>
        <v>69.7404360175722</v>
      </c>
      <c r="E1769" s="78" t="n">
        <f aca="false">D1769*EXP(-01_Inputs!$C$20*01_Inputs!$C$22)</f>
        <v>66.7383862429115</v>
      </c>
      <c r="F1769" s="80" t="n">
        <f aca="false">AVERAGE(E1768:E1769)</f>
        <v>33.3691931214558</v>
      </c>
    </row>
    <row r="1770" customFormat="false" ht="15" hidden="false" customHeight="false" outlineLevel="0" collapsed="false">
      <c r="A1770" s="76" t="n">
        <v>1759</v>
      </c>
      <c r="B1770" s="77" t="n">
        <v>-0.043495</v>
      </c>
      <c r="C1770" s="78" t="n">
        <f aca="false">05_Unit_Economics!$B$15*EXP((01_Inputs!$C$20-01_Inputs!$C$21^2/2)*01_Inputs!$C$22+01_Inputs!$C$21*SQRT(01_Inputs!$C$22)*B1770)</f>
        <v>53.3025450920937</v>
      </c>
      <c r="D1770" s="78" t="n">
        <f aca="false">MAX(C1770-05_Unit_Economics!$B$21,0)</f>
        <v>15.3949396175902</v>
      </c>
      <c r="E1770" s="78" t="n">
        <f aca="false">D1770*EXP(-01_Inputs!$C$20*01_Inputs!$C$22)</f>
        <v>14.7322483921116</v>
      </c>
      <c r="F1770" s="79"/>
    </row>
    <row r="1771" customFormat="false" ht="15" hidden="false" customHeight="false" outlineLevel="0" collapsed="false">
      <c r="A1771" s="76" t="n">
        <v>1760</v>
      </c>
      <c r="B1771" s="77" t="n">
        <v>0.043495</v>
      </c>
      <c r="C1771" s="78" t="n">
        <f aca="false">05_Unit_Economics!$B$15*EXP((01_Inputs!$C$20-01_Inputs!$C$21^2/2)*01_Inputs!$C$22+01_Inputs!$C$21*SQRT(01_Inputs!$C$22)*B1771)</f>
        <v>54.9503791289904</v>
      </c>
      <c r="D1771" s="78" t="n">
        <f aca="false">MAX(C1771-05_Unit_Economics!$B$21,0)</f>
        <v>17.0427736544869</v>
      </c>
      <c r="E1771" s="78" t="n">
        <f aca="false">D1771*EXP(-01_Inputs!$C$20*01_Inputs!$C$22)</f>
        <v>16.3091496949786</v>
      </c>
      <c r="F1771" s="80" t="n">
        <f aca="false">AVERAGE(E1770:E1771)</f>
        <v>15.5206990435451</v>
      </c>
    </row>
    <row r="1772" customFormat="false" ht="15" hidden="false" customHeight="false" outlineLevel="0" collapsed="false">
      <c r="A1772" s="76" t="n">
        <v>1761</v>
      </c>
      <c r="B1772" s="77" t="n">
        <v>-0.099681</v>
      </c>
      <c r="C1772" s="78" t="n">
        <f aca="false">05_Unit_Economics!$B$15*EXP((01_Inputs!$C$20-01_Inputs!$C$21^2/2)*01_Inputs!$C$22+01_Inputs!$C$21*SQRT(01_Inputs!$C$22)*B1772)</f>
        <v>52.2645844618613</v>
      </c>
      <c r="D1772" s="78" t="n">
        <f aca="false">MAX(C1772-05_Unit_Economics!$B$21,0)</f>
        <v>14.3569789873578</v>
      </c>
      <c r="E1772" s="78" t="n">
        <f aca="false">D1772*EXP(-01_Inputs!$C$20*01_Inputs!$C$22)</f>
        <v>13.7389678593094</v>
      </c>
      <c r="F1772" s="79"/>
    </row>
    <row r="1773" customFormat="false" ht="15" hidden="false" customHeight="false" outlineLevel="0" collapsed="false">
      <c r="A1773" s="76" t="n">
        <v>1762</v>
      </c>
      <c r="B1773" s="77" t="n">
        <v>0.099681</v>
      </c>
      <c r="C1773" s="78" t="n">
        <f aca="false">05_Unit_Economics!$B$15*EXP((01_Inputs!$C$20-01_Inputs!$C$21^2/2)*01_Inputs!$C$22+01_Inputs!$C$21*SQRT(01_Inputs!$C$22)*B1773)</f>
        <v>56.0416789209911</v>
      </c>
      <c r="D1773" s="78" t="n">
        <f aca="false">MAX(C1773-05_Unit_Economics!$B$21,0)</f>
        <v>18.1340734464877</v>
      </c>
      <c r="E1773" s="78" t="n">
        <f aca="false">D1773*EXP(-01_Inputs!$C$20*01_Inputs!$C$22)</f>
        <v>17.3534733497233</v>
      </c>
      <c r="F1773" s="80" t="n">
        <f aca="false">AVERAGE(E1772:E1773)</f>
        <v>15.5462206045163</v>
      </c>
    </row>
    <row r="1774" customFormat="false" ht="15" hidden="false" customHeight="false" outlineLevel="0" collapsed="false">
      <c r="A1774" s="76" t="n">
        <v>1763</v>
      </c>
      <c r="B1774" s="77" t="n">
        <v>0.502274</v>
      </c>
      <c r="C1774" s="78" t="n">
        <f aca="false">05_Unit_Economics!$B$15*EXP((01_Inputs!$C$20-01_Inputs!$C$21^2/2)*01_Inputs!$C$22+01_Inputs!$C$21*SQRT(01_Inputs!$C$22)*B1774)</f>
        <v>64.5218051074516</v>
      </c>
      <c r="D1774" s="78" t="n">
        <f aca="false">MAX(C1774-05_Unit_Economics!$B$21,0)</f>
        <v>26.6141996329481</v>
      </c>
      <c r="E1774" s="78" t="n">
        <f aca="false">D1774*EXP(-01_Inputs!$C$20*01_Inputs!$C$22)</f>
        <v>25.4685636637274</v>
      </c>
      <c r="F1774" s="79"/>
    </row>
    <row r="1775" customFormat="false" ht="15" hidden="false" customHeight="false" outlineLevel="0" collapsed="false">
      <c r="A1775" s="76" t="n">
        <v>1764</v>
      </c>
      <c r="B1775" s="77" t="n">
        <v>-0.502274</v>
      </c>
      <c r="C1775" s="78" t="n">
        <f aca="false">05_Unit_Economics!$B$15*EXP((01_Inputs!$C$20-01_Inputs!$C$21^2/2)*01_Inputs!$C$22+01_Inputs!$C$21*SQRT(01_Inputs!$C$22)*B1775)</f>
        <v>45.3954295989215</v>
      </c>
      <c r="D1775" s="78" t="n">
        <f aca="false">MAX(C1775-05_Unit_Economics!$B$21,0)</f>
        <v>7.48782412441804</v>
      </c>
      <c r="E1775" s="78" t="n">
        <f aca="false">D1775*EXP(-01_Inputs!$C$20*01_Inputs!$C$22)</f>
        <v>7.16550292872399</v>
      </c>
      <c r="F1775" s="80" t="n">
        <f aca="false">AVERAGE(E1774:E1775)</f>
        <v>16.3170332962257</v>
      </c>
    </row>
    <row r="1776" customFormat="false" ht="15" hidden="false" customHeight="false" outlineLevel="0" collapsed="false">
      <c r="A1776" s="76" t="n">
        <v>1765</v>
      </c>
      <c r="B1776" s="77" t="n">
        <v>-0.749393</v>
      </c>
      <c r="C1776" s="78" t="n">
        <f aca="false">05_Unit_Economics!$B$15*EXP((01_Inputs!$C$20-01_Inputs!$C$21^2/2)*01_Inputs!$C$22+01_Inputs!$C$21*SQRT(01_Inputs!$C$22)*B1776)</f>
        <v>41.6341098808904</v>
      </c>
      <c r="D1776" s="78" t="n">
        <f aca="false">MAX(C1776-05_Unit_Economics!$B$21,0)</f>
        <v>3.72650440638697</v>
      </c>
      <c r="E1776" s="78" t="n">
        <f aca="false">D1776*EXP(-01_Inputs!$C$20*01_Inputs!$C$22)</f>
        <v>3.56609313923276</v>
      </c>
      <c r="F1776" s="79"/>
    </row>
    <row r="1777" customFormat="false" ht="15" hidden="false" customHeight="false" outlineLevel="0" collapsed="false">
      <c r="A1777" s="76" t="n">
        <v>1766</v>
      </c>
      <c r="B1777" s="77" t="n">
        <v>0.749393</v>
      </c>
      <c r="C1777" s="78" t="n">
        <f aca="false">05_Unit_Economics!$B$15*EXP((01_Inputs!$C$20-01_Inputs!$C$21^2/2)*01_Inputs!$C$22+01_Inputs!$C$21*SQRT(01_Inputs!$C$22)*B1777)</f>
        <v>70.3508510144713</v>
      </c>
      <c r="D1777" s="78" t="n">
        <f aca="false">MAX(C1777-05_Unit_Economics!$B$21,0)</f>
        <v>32.4432455399679</v>
      </c>
      <c r="E1777" s="78" t="n">
        <f aca="false">D1777*EXP(-01_Inputs!$C$20*01_Inputs!$C$22)</f>
        <v>31.046692212742</v>
      </c>
      <c r="F1777" s="80" t="n">
        <f aca="false">AVERAGE(E1776:E1777)</f>
        <v>17.3063926759874</v>
      </c>
    </row>
    <row r="1778" customFormat="false" ht="15" hidden="false" customHeight="false" outlineLevel="0" collapsed="false">
      <c r="A1778" s="76" t="n">
        <v>1767</v>
      </c>
      <c r="B1778" s="77" t="n">
        <v>1.845595</v>
      </c>
      <c r="C1778" s="78" t="n">
        <f aca="false">05_Unit_Economics!$B$15*EXP((01_Inputs!$C$20-01_Inputs!$C$21^2/2)*01_Inputs!$C$22+01_Inputs!$C$21*SQRT(01_Inputs!$C$22)*B1778)</f>
        <v>103.251274991669</v>
      </c>
      <c r="D1778" s="78" t="n">
        <f aca="false">MAX(C1778-05_Unit_Economics!$B$21,0)</f>
        <v>65.3436695171659</v>
      </c>
      <c r="E1778" s="78" t="n">
        <f aca="false">D1778*EXP(-01_Inputs!$C$20*01_Inputs!$C$22)</f>
        <v>62.5308831402628</v>
      </c>
      <c r="F1778" s="79"/>
    </row>
    <row r="1779" customFormat="false" ht="15" hidden="false" customHeight="false" outlineLevel="0" collapsed="false">
      <c r="A1779" s="76" t="n">
        <v>1768</v>
      </c>
      <c r="B1779" s="77" t="n">
        <v>-1.845595</v>
      </c>
      <c r="C1779" s="78" t="n">
        <f aca="false">05_Unit_Economics!$B$15*EXP((01_Inputs!$C$20-01_Inputs!$C$21^2/2)*01_Inputs!$C$22+01_Inputs!$C$21*SQRT(01_Inputs!$C$22)*B1779)</f>
        <v>28.3676406086702</v>
      </c>
      <c r="D1779" s="78" t="n">
        <f aca="false">MAX(C1779-05_Unit_Economics!$B$21,0)</f>
        <v>0</v>
      </c>
      <c r="E1779" s="78" t="n">
        <f aca="false">D1779*EXP(-01_Inputs!$C$20*01_Inputs!$C$22)</f>
        <v>0</v>
      </c>
      <c r="F1779" s="80" t="n">
        <f aca="false">AVERAGE(E1778:E1779)</f>
        <v>31.2654415701314</v>
      </c>
    </row>
    <row r="1780" customFormat="false" ht="15" hidden="false" customHeight="false" outlineLevel="0" collapsed="false">
      <c r="A1780" s="76" t="n">
        <v>1769</v>
      </c>
      <c r="B1780" s="77" t="n">
        <v>0.653294</v>
      </c>
      <c r="C1780" s="78" t="n">
        <f aca="false">05_Unit_Economics!$B$15*EXP((01_Inputs!$C$20-01_Inputs!$C$21^2/2)*01_Inputs!$C$22+01_Inputs!$C$21*SQRT(01_Inputs!$C$22)*B1780)</f>
        <v>68.023975937807</v>
      </c>
      <c r="D1780" s="78" t="n">
        <f aca="false">MAX(C1780-05_Unit_Economics!$B$21,0)</f>
        <v>30.1163704633035</v>
      </c>
      <c r="E1780" s="78" t="n">
        <f aca="false">D1780*EXP(-01_Inputs!$C$20*01_Inputs!$C$22)</f>
        <v>28.8199798995827</v>
      </c>
      <c r="F1780" s="79"/>
    </row>
    <row r="1781" customFormat="false" ht="15" hidden="false" customHeight="false" outlineLevel="0" collapsed="false">
      <c r="A1781" s="76" t="n">
        <v>1770</v>
      </c>
      <c r="B1781" s="77" t="n">
        <v>-0.653294</v>
      </c>
      <c r="C1781" s="78" t="n">
        <f aca="false">05_Unit_Economics!$B$15*EXP((01_Inputs!$C$20-01_Inputs!$C$21^2/2)*01_Inputs!$C$22+01_Inputs!$C$21*SQRT(01_Inputs!$C$22)*B1781)</f>
        <v>43.0582749827587</v>
      </c>
      <c r="D1781" s="78" t="n">
        <f aca="false">MAX(C1781-05_Unit_Economics!$B$21,0)</f>
        <v>5.15066950825518</v>
      </c>
      <c r="E1781" s="78" t="n">
        <f aca="false">D1781*EXP(-01_Inputs!$C$20*01_Inputs!$C$22)</f>
        <v>4.92895356956055</v>
      </c>
      <c r="F1781" s="80" t="n">
        <f aca="false">AVERAGE(E1780:E1781)</f>
        <v>16.8744667345716</v>
      </c>
    </row>
    <row r="1782" customFormat="false" ht="15" hidden="false" customHeight="false" outlineLevel="0" collapsed="false">
      <c r="A1782" s="76" t="n">
        <v>1771</v>
      </c>
      <c r="B1782" s="77" t="n">
        <v>-0.106003</v>
      </c>
      <c r="C1782" s="78" t="n">
        <f aca="false">05_Unit_Economics!$B$15*EXP((01_Inputs!$C$20-01_Inputs!$C$21^2/2)*01_Inputs!$C$22+01_Inputs!$C$21*SQRT(01_Inputs!$C$22)*B1782)</f>
        <v>52.1490664662887</v>
      </c>
      <c r="D1782" s="78" t="n">
        <f aca="false">MAX(C1782-05_Unit_Economics!$B$21,0)</f>
        <v>14.2414609917852</v>
      </c>
      <c r="E1782" s="78" t="n">
        <f aca="false">D1782*EXP(-01_Inputs!$C$20*01_Inputs!$C$22)</f>
        <v>13.6284224562869</v>
      </c>
      <c r="F1782" s="79"/>
    </row>
    <row r="1783" customFormat="false" ht="15" hidden="false" customHeight="false" outlineLevel="0" collapsed="false">
      <c r="A1783" s="76" t="n">
        <v>1772</v>
      </c>
      <c r="B1783" s="77" t="n">
        <v>0.106003</v>
      </c>
      <c r="C1783" s="78" t="n">
        <f aca="false">05_Unit_Economics!$B$15*EXP((01_Inputs!$C$20-01_Inputs!$C$21^2/2)*01_Inputs!$C$22+01_Inputs!$C$21*SQRT(01_Inputs!$C$22)*B1783)</f>
        <v>56.1658196363702</v>
      </c>
      <c r="D1783" s="78" t="n">
        <f aca="false">MAX(C1783-05_Unit_Economics!$B$21,0)</f>
        <v>18.2582141618668</v>
      </c>
      <c r="E1783" s="78" t="n">
        <f aca="false">D1783*EXP(-01_Inputs!$C$20*01_Inputs!$C$22)</f>
        <v>17.4722702985888</v>
      </c>
      <c r="F1783" s="80" t="n">
        <f aca="false">AVERAGE(E1782:E1783)</f>
        <v>15.5503463774378</v>
      </c>
    </row>
    <row r="1784" customFormat="false" ht="15" hidden="false" customHeight="false" outlineLevel="0" collapsed="false">
      <c r="A1784" s="76" t="n">
        <v>1773</v>
      </c>
      <c r="B1784" s="77" t="n">
        <v>0.246811</v>
      </c>
      <c r="C1784" s="78" t="n">
        <f aca="false">05_Unit_Economics!$B$15*EXP((01_Inputs!$C$20-01_Inputs!$C$21^2/2)*01_Inputs!$C$22+01_Inputs!$C$21*SQRT(01_Inputs!$C$22)*B1784)</f>
        <v>59.0031705355457</v>
      </c>
      <c r="D1784" s="78" t="n">
        <f aca="false">MAX(C1784-05_Unit_Economics!$B$21,0)</f>
        <v>21.0955650610422</v>
      </c>
      <c r="E1784" s="78" t="n">
        <f aca="false">D1784*EXP(-01_Inputs!$C$20*01_Inputs!$C$22)</f>
        <v>20.1874844702945</v>
      </c>
      <c r="F1784" s="79"/>
    </row>
    <row r="1785" customFormat="false" ht="15" hidden="false" customHeight="false" outlineLevel="0" collapsed="false">
      <c r="A1785" s="76" t="n">
        <v>1774</v>
      </c>
      <c r="B1785" s="77" t="n">
        <v>-0.246811</v>
      </c>
      <c r="C1785" s="78" t="n">
        <f aca="false">05_Unit_Economics!$B$15*EXP((01_Inputs!$C$20-01_Inputs!$C$21^2/2)*01_Inputs!$C$22+01_Inputs!$C$21*SQRT(01_Inputs!$C$22)*B1785)</f>
        <v>49.641316471055</v>
      </c>
      <c r="D1785" s="78" t="n">
        <f aca="false">MAX(C1785-05_Unit_Economics!$B$21,0)</f>
        <v>11.7337109965515</v>
      </c>
      <c r="E1785" s="78" t="n">
        <f aca="false">D1785*EXP(-01_Inputs!$C$20*01_Inputs!$C$22)</f>
        <v>11.228621173995</v>
      </c>
      <c r="F1785" s="80" t="n">
        <f aca="false">AVERAGE(E1784:E1785)</f>
        <v>15.7080528221447</v>
      </c>
    </row>
    <row r="1786" customFormat="false" ht="15" hidden="false" customHeight="false" outlineLevel="0" collapsed="false">
      <c r="A1786" s="76" t="n">
        <v>1775</v>
      </c>
      <c r="B1786" s="77" t="n">
        <v>0.89015</v>
      </c>
      <c r="C1786" s="78" t="n">
        <f aca="false">05_Unit_Economics!$B$15*EXP((01_Inputs!$C$20-01_Inputs!$C$21^2/2)*01_Inputs!$C$22+01_Inputs!$C$21*SQRT(01_Inputs!$C$22)*B1786)</f>
        <v>73.9034735588695</v>
      </c>
      <c r="D1786" s="78" t="n">
        <f aca="false">MAX(C1786-05_Unit_Economics!$B$21,0)</f>
        <v>35.995868084366</v>
      </c>
      <c r="E1786" s="78" t="n">
        <f aca="false">D1786*EXP(-01_Inputs!$C$20*01_Inputs!$C$22)</f>
        <v>34.4463884160118</v>
      </c>
      <c r="F1786" s="79"/>
    </row>
    <row r="1787" customFormat="false" ht="15" hidden="false" customHeight="false" outlineLevel="0" collapsed="false">
      <c r="A1787" s="76" t="n">
        <v>1776</v>
      </c>
      <c r="B1787" s="77" t="n">
        <v>-0.89015</v>
      </c>
      <c r="C1787" s="78" t="n">
        <f aca="false">05_Unit_Economics!$B$15*EXP((01_Inputs!$C$20-01_Inputs!$C$21^2/2)*01_Inputs!$C$22+01_Inputs!$C$21*SQRT(01_Inputs!$C$22)*B1787)</f>
        <v>39.6327117022111</v>
      </c>
      <c r="D1787" s="78" t="n">
        <f aca="false">MAX(C1787-05_Unit_Economics!$B$21,0)</f>
        <v>1.72510622770761</v>
      </c>
      <c r="E1787" s="78" t="n">
        <f aca="false">D1787*EXP(-01_Inputs!$C$20*01_Inputs!$C$22)</f>
        <v>1.65084723166619</v>
      </c>
      <c r="F1787" s="80" t="n">
        <f aca="false">AVERAGE(E1786:E1787)</f>
        <v>18.048617823839</v>
      </c>
    </row>
    <row r="1788" customFormat="false" ht="15" hidden="false" customHeight="false" outlineLevel="0" collapsed="false">
      <c r="A1788" s="76" t="n">
        <v>1777</v>
      </c>
      <c r="B1788" s="77" t="n">
        <v>-0.528401</v>
      </c>
      <c r="C1788" s="78" t="n">
        <f aca="false">05_Unit_Economics!$B$15*EXP((01_Inputs!$C$20-01_Inputs!$C$21^2/2)*01_Inputs!$C$22+01_Inputs!$C$21*SQRT(01_Inputs!$C$22)*B1788)</f>
        <v>44.9822055953572</v>
      </c>
      <c r="D1788" s="78" t="n">
        <f aca="false">MAX(C1788-05_Unit_Economics!$B$21,0)</f>
        <v>7.07460012085372</v>
      </c>
      <c r="E1788" s="78" t="n">
        <f aca="false">D1788*EXP(-01_Inputs!$C$20*01_Inputs!$C$22)</f>
        <v>6.77006658319026</v>
      </c>
      <c r="F1788" s="79"/>
    </row>
    <row r="1789" customFormat="false" ht="15" hidden="false" customHeight="false" outlineLevel="0" collapsed="false">
      <c r="A1789" s="76" t="n">
        <v>1778</v>
      </c>
      <c r="B1789" s="77" t="n">
        <v>0.528401</v>
      </c>
      <c r="C1789" s="78" t="n">
        <f aca="false">05_Unit_Economics!$B$15*EXP((01_Inputs!$C$20-01_Inputs!$C$21^2/2)*01_Inputs!$C$22+01_Inputs!$C$21*SQRT(01_Inputs!$C$22)*B1789)</f>
        <v>65.1145274577858</v>
      </c>
      <c r="D1789" s="78" t="n">
        <f aca="false">MAX(C1789-05_Unit_Economics!$B$21,0)</f>
        <v>27.2069219832823</v>
      </c>
      <c r="E1789" s="78" t="n">
        <f aca="false">D1789*EXP(-01_Inputs!$C$20*01_Inputs!$C$22)</f>
        <v>26.0357716625625</v>
      </c>
      <c r="F1789" s="80" t="n">
        <f aca="false">AVERAGE(E1788:E1789)</f>
        <v>16.4029191228764</v>
      </c>
    </row>
    <row r="1790" customFormat="false" ht="15" hidden="false" customHeight="false" outlineLevel="0" collapsed="false">
      <c r="A1790" s="76" t="n">
        <v>1779</v>
      </c>
      <c r="B1790" s="77" t="n">
        <v>0.041671</v>
      </c>
      <c r="C1790" s="78" t="n">
        <f aca="false">05_Unit_Economics!$B$15*EXP((01_Inputs!$C$20-01_Inputs!$C$21^2/2)*01_Inputs!$C$22+01_Inputs!$C$21*SQRT(01_Inputs!$C$22)*B1790)</f>
        <v>54.9153100022107</v>
      </c>
      <c r="D1790" s="78" t="n">
        <f aca="false">MAX(C1790-05_Unit_Economics!$B$21,0)</f>
        <v>17.0077045277072</v>
      </c>
      <c r="E1790" s="78" t="n">
        <f aca="false">D1790*EXP(-01_Inputs!$C$20*01_Inputs!$C$22)</f>
        <v>16.2755901553217</v>
      </c>
      <c r="F1790" s="79"/>
    </row>
    <row r="1791" customFormat="false" ht="15" hidden="false" customHeight="false" outlineLevel="0" collapsed="false">
      <c r="A1791" s="76" t="n">
        <v>1780</v>
      </c>
      <c r="B1791" s="77" t="n">
        <v>-0.041671</v>
      </c>
      <c r="C1791" s="78" t="n">
        <f aca="false">05_Unit_Economics!$B$15*EXP((01_Inputs!$C$20-01_Inputs!$C$21^2/2)*01_Inputs!$C$22+01_Inputs!$C$21*SQRT(01_Inputs!$C$22)*B1791)</f>
        <v>53.3365843010399</v>
      </c>
      <c r="D1791" s="78" t="n">
        <f aca="false">MAX(C1791-05_Unit_Economics!$B$21,0)</f>
        <v>15.4289788265364</v>
      </c>
      <c r="E1791" s="78" t="n">
        <f aca="false">D1791*EXP(-01_Inputs!$C$20*01_Inputs!$C$22)</f>
        <v>14.7648223478219</v>
      </c>
      <c r="F1791" s="80" t="n">
        <f aca="false">AVERAGE(E1790:E1791)</f>
        <v>15.5202062515718</v>
      </c>
    </row>
    <row r="1792" customFormat="false" ht="15" hidden="false" customHeight="false" outlineLevel="0" collapsed="false">
      <c r="A1792" s="76" t="n">
        <v>1781</v>
      </c>
      <c r="B1792" s="77" t="n">
        <v>0.263229</v>
      </c>
      <c r="C1792" s="78" t="n">
        <f aca="false">05_Unit_Economics!$B$15*EXP((01_Inputs!$C$20-01_Inputs!$C$21^2/2)*01_Inputs!$C$22+01_Inputs!$C$21*SQRT(01_Inputs!$C$22)*B1792)</f>
        <v>59.3431964642547</v>
      </c>
      <c r="D1792" s="78" t="n">
        <f aca="false">MAX(C1792-05_Unit_Economics!$B$21,0)</f>
        <v>21.4355909897512</v>
      </c>
      <c r="E1792" s="78" t="n">
        <f aca="false">D1792*EXP(-01_Inputs!$C$20*01_Inputs!$C$22)</f>
        <v>20.512873628416</v>
      </c>
      <c r="F1792" s="79"/>
    </row>
    <row r="1793" customFormat="false" ht="15" hidden="false" customHeight="false" outlineLevel="0" collapsed="false">
      <c r="A1793" s="76" t="n">
        <v>1782</v>
      </c>
      <c r="B1793" s="77" t="n">
        <v>-0.263229</v>
      </c>
      <c r="C1793" s="78" t="n">
        <f aca="false">05_Unit_Economics!$B$15*EXP((01_Inputs!$C$20-01_Inputs!$C$21^2/2)*01_Inputs!$C$22+01_Inputs!$C$21*SQRT(01_Inputs!$C$22)*B1793)</f>
        <v>49.3568805838581</v>
      </c>
      <c r="D1793" s="78" t="n">
        <f aca="false">MAX(C1793-05_Unit_Economics!$B$21,0)</f>
        <v>11.4492751093547</v>
      </c>
      <c r="E1793" s="78" t="n">
        <f aca="false">D1793*EXP(-01_Inputs!$C$20*01_Inputs!$C$22)</f>
        <v>10.9564291260946</v>
      </c>
      <c r="F1793" s="80" t="n">
        <f aca="false">AVERAGE(E1792:E1793)</f>
        <v>15.7346513772553</v>
      </c>
    </row>
    <row r="1794" customFormat="false" ht="15" hidden="false" customHeight="false" outlineLevel="0" collapsed="false">
      <c r="A1794" s="76" t="n">
        <v>1783</v>
      </c>
      <c r="B1794" s="77" t="n">
        <v>0.393417</v>
      </c>
      <c r="C1794" s="78" t="n">
        <f aca="false">05_Unit_Economics!$B$15*EXP((01_Inputs!$C$20-01_Inputs!$C$21^2/2)*01_Inputs!$C$22+01_Inputs!$C$21*SQRT(01_Inputs!$C$22)*B1794)</f>
        <v>62.1097685649867</v>
      </c>
      <c r="D1794" s="78" t="n">
        <f aca="false">MAX(C1794-05_Unit_Economics!$B$21,0)</f>
        <v>24.2021630904833</v>
      </c>
      <c r="E1794" s="78" t="n">
        <f aca="false">D1794*EXP(-01_Inputs!$C$20*01_Inputs!$C$22)</f>
        <v>23.1603557488461</v>
      </c>
      <c r="F1794" s="79"/>
    </row>
    <row r="1795" customFormat="false" ht="15" hidden="false" customHeight="false" outlineLevel="0" collapsed="false">
      <c r="A1795" s="76" t="n">
        <v>1784</v>
      </c>
      <c r="B1795" s="77" t="n">
        <v>-0.393417</v>
      </c>
      <c r="C1795" s="78" t="n">
        <f aca="false">05_Unit_Economics!$B$15*EXP((01_Inputs!$C$20-01_Inputs!$C$21^2/2)*01_Inputs!$C$22+01_Inputs!$C$21*SQRT(01_Inputs!$C$22)*B1795)</f>
        <v>47.1583637972501</v>
      </c>
      <c r="D1795" s="78" t="n">
        <f aca="false">MAX(C1795-05_Unit_Economics!$B$21,0)</f>
        <v>9.25075832274661</v>
      </c>
      <c r="E1795" s="78" t="n">
        <f aca="false">D1795*EXP(-01_Inputs!$C$20*01_Inputs!$C$22)</f>
        <v>8.8525497865791</v>
      </c>
      <c r="F1795" s="80" t="n">
        <f aca="false">AVERAGE(E1794:E1795)</f>
        <v>16.0064527677126</v>
      </c>
    </row>
    <row r="1796" customFormat="false" ht="15" hidden="false" customHeight="false" outlineLevel="0" collapsed="false">
      <c r="A1796" s="76" t="n">
        <v>1785</v>
      </c>
      <c r="B1796" s="77" t="n">
        <v>-2.0531</v>
      </c>
      <c r="C1796" s="78" t="n">
        <f aca="false">05_Unit_Economics!$B$15*EXP((01_Inputs!$C$20-01_Inputs!$C$21^2/2)*01_Inputs!$C$22+01_Inputs!$C$21*SQRT(01_Inputs!$C$22)*B1796)</f>
        <v>26.3804269126649</v>
      </c>
      <c r="D1796" s="78" t="n">
        <f aca="false">MAX(C1796-05_Unit_Economics!$B$21,0)</f>
        <v>0</v>
      </c>
      <c r="E1796" s="78" t="n">
        <f aca="false">D1796*EXP(-01_Inputs!$C$20*01_Inputs!$C$22)</f>
        <v>0</v>
      </c>
      <c r="F1796" s="79"/>
    </row>
    <row r="1797" customFormat="false" ht="15" hidden="false" customHeight="false" outlineLevel="0" collapsed="false">
      <c r="A1797" s="76" t="n">
        <v>1786</v>
      </c>
      <c r="B1797" s="77" t="n">
        <v>2.0531</v>
      </c>
      <c r="C1797" s="78" t="n">
        <f aca="false">05_Unit_Economics!$B$15*EXP((01_Inputs!$C$20-01_Inputs!$C$21^2/2)*01_Inputs!$C$22+01_Inputs!$C$21*SQRT(01_Inputs!$C$22)*B1797)</f>
        <v>111.029100137287</v>
      </c>
      <c r="D1797" s="78" t="n">
        <f aca="false">MAX(C1797-05_Unit_Economics!$B$21,0)</f>
        <v>73.1214946627834</v>
      </c>
      <c r="E1797" s="78" t="n">
        <f aca="false">D1797*EXP(-01_Inputs!$C$20*01_Inputs!$C$22)</f>
        <v>69.9739036938948</v>
      </c>
      <c r="F1797" s="80" t="n">
        <f aca="false">AVERAGE(E1796:E1797)</f>
        <v>34.9869518469474</v>
      </c>
    </row>
    <row r="1798" customFormat="false" ht="15" hidden="false" customHeight="false" outlineLevel="0" collapsed="false">
      <c r="A1798" s="76" t="n">
        <v>1787</v>
      </c>
      <c r="B1798" s="77" t="n">
        <v>1.264707</v>
      </c>
      <c r="C1798" s="78" t="n">
        <f aca="false">05_Unit_Economics!$B$15*EXP((01_Inputs!$C$20-01_Inputs!$C$21^2/2)*01_Inputs!$C$22+01_Inputs!$C$21*SQRT(01_Inputs!$C$22)*B1798)</f>
        <v>84.2555784715385</v>
      </c>
      <c r="D1798" s="78" t="n">
        <f aca="false">MAX(C1798-05_Unit_Economics!$B$21,0)</f>
        <v>46.347972997035</v>
      </c>
      <c r="E1798" s="78" t="n">
        <f aca="false">D1798*EXP(-01_Inputs!$C$20*01_Inputs!$C$22)</f>
        <v>44.3528761803665</v>
      </c>
      <c r="F1798" s="79"/>
    </row>
    <row r="1799" customFormat="false" ht="15" hidden="false" customHeight="false" outlineLevel="0" collapsed="false">
      <c r="A1799" s="76" t="n">
        <v>1788</v>
      </c>
      <c r="B1799" s="77" t="n">
        <v>-1.264707</v>
      </c>
      <c r="C1799" s="78" t="n">
        <f aca="false">05_Unit_Economics!$B$15*EXP((01_Inputs!$C$20-01_Inputs!$C$21^2/2)*01_Inputs!$C$22+01_Inputs!$C$21*SQRT(01_Inputs!$C$22)*B1799)</f>
        <v>34.7632182282158</v>
      </c>
      <c r="D1799" s="78" t="n">
        <f aca="false">MAX(C1799-05_Unit_Economics!$B$21,0)</f>
        <v>0</v>
      </c>
      <c r="E1799" s="78" t="n">
        <f aca="false">D1799*EXP(-01_Inputs!$C$20*01_Inputs!$C$22)</f>
        <v>0</v>
      </c>
      <c r="F1799" s="80" t="n">
        <f aca="false">AVERAGE(E1798:E1799)</f>
        <v>22.1764380901833</v>
      </c>
    </row>
    <row r="1800" customFormat="false" ht="15" hidden="false" customHeight="false" outlineLevel="0" collapsed="false">
      <c r="A1800" s="76" t="n">
        <v>1789</v>
      </c>
      <c r="B1800" s="77" t="n">
        <v>1.132796</v>
      </c>
      <c r="C1800" s="78" t="n">
        <f aca="false">05_Unit_Economics!$B$15*EXP((01_Inputs!$C$20-01_Inputs!$C$21^2/2)*01_Inputs!$C$22+01_Inputs!$C$21*SQRT(01_Inputs!$C$22)*B1800)</f>
        <v>80.4540271795329</v>
      </c>
      <c r="D1800" s="78" t="n">
        <f aca="false">MAX(C1800-05_Unit_Economics!$B$21,0)</f>
        <v>42.5464217050294</v>
      </c>
      <c r="E1800" s="78" t="n">
        <f aca="false">D1800*EXP(-01_Inputs!$C$20*01_Inputs!$C$22)</f>
        <v>40.714966626945</v>
      </c>
      <c r="F1800" s="79"/>
    </row>
    <row r="1801" customFormat="false" ht="15" hidden="false" customHeight="false" outlineLevel="0" collapsed="false">
      <c r="A1801" s="76" t="n">
        <v>1790</v>
      </c>
      <c r="B1801" s="77" t="n">
        <v>-1.132796</v>
      </c>
      <c r="C1801" s="78" t="n">
        <f aca="false">05_Unit_Economics!$B$15*EXP((01_Inputs!$C$20-01_Inputs!$C$21^2/2)*01_Inputs!$C$22+01_Inputs!$C$21*SQRT(01_Inputs!$C$22)*B1801)</f>
        <v>36.4058228535237</v>
      </c>
      <c r="D1801" s="78" t="n">
        <f aca="false">MAX(C1801-05_Unit_Economics!$B$21,0)</f>
        <v>0</v>
      </c>
      <c r="E1801" s="78" t="n">
        <f aca="false">D1801*EXP(-01_Inputs!$C$20*01_Inputs!$C$22)</f>
        <v>0</v>
      </c>
      <c r="F1801" s="80" t="n">
        <f aca="false">AVERAGE(E1800:E1801)</f>
        <v>20.3574833134725</v>
      </c>
    </row>
    <row r="1802" customFormat="false" ht="15" hidden="false" customHeight="false" outlineLevel="0" collapsed="false">
      <c r="A1802" s="76" t="n">
        <v>1791</v>
      </c>
      <c r="B1802" s="77" t="n">
        <v>-0.798769</v>
      </c>
      <c r="C1802" s="78" t="n">
        <f aca="false">05_Unit_Economics!$B$15*EXP((01_Inputs!$C$20-01_Inputs!$C$21^2/2)*01_Inputs!$C$22+01_Inputs!$C$21*SQRT(01_Inputs!$C$22)*B1802)</f>
        <v>40.9207872784637</v>
      </c>
      <c r="D1802" s="78" t="n">
        <f aca="false">MAX(C1802-05_Unit_Economics!$B$21,0)</f>
        <v>3.01318180396018</v>
      </c>
      <c r="E1802" s="78" t="n">
        <f aca="false">D1802*EXP(-01_Inputs!$C$20*01_Inputs!$C$22)</f>
        <v>2.88347625188547</v>
      </c>
      <c r="F1802" s="79"/>
    </row>
    <row r="1803" customFormat="false" ht="15" hidden="false" customHeight="false" outlineLevel="0" collapsed="false">
      <c r="A1803" s="76" t="n">
        <v>1792</v>
      </c>
      <c r="B1803" s="77" t="n">
        <v>0.798769</v>
      </c>
      <c r="C1803" s="78" t="n">
        <f aca="false">05_Unit_Economics!$B$15*EXP((01_Inputs!$C$20-01_Inputs!$C$21^2/2)*01_Inputs!$C$22+01_Inputs!$C$21*SQRT(01_Inputs!$C$22)*B1803)</f>
        <v>71.577192330612</v>
      </c>
      <c r="D1803" s="78" t="n">
        <f aca="false">MAX(C1803-05_Unit_Economics!$B$21,0)</f>
        <v>33.6695868561085</v>
      </c>
      <c r="E1803" s="78" t="n">
        <f aca="false">D1803*EXP(-01_Inputs!$C$20*01_Inputs!$C$22)</f>
        <v>32.2202443884355</v>
      </c>
      <c r="F1803" s="80" t="n">
        <f aca="false">AVERAGE(E1802:E1803)</f>
        <v>17.5518603201605</v>
      </c>
    </row>
    <row r="1804" customFormat="false" ht="15" hidden="false" customHeight="false" outlineLevel="0" collapsed="false">
      <c r="A1804" s="76" t="n">
        <v>1793</v>
      </c>
      <c r="B1804" s="77" t="n">
        <v>0.876374</v>
      </c>
      <c r="C1804" s="78" t="n">
        <f aca="false">05_Unit_Economics!$B$15*EXP((01_Inputs!$C$20-01_Inputs!$C$21^2/2)*01_Inputs!$C$22+01_Inputs!$C$21*SQRT(01_Inputs!$C$22)*B1804)</f>
        <v>73.5479982393271</v>
      </c>
      <c r="D1804" s="78" t="n">
        <f aca="false">MAX(C1804-05_Unit_Economics!$B$21,0)</f>
        <v>35.6403927648237</v>
      </c>
      <c r="E1804" s="78" t="n">
        <f aca="false">D1804*EXP(-01_Inputs!$C$20*01_Inputs!$C$22)</f>
        <v>34.1062149021918</v>
      </c>
      <c r="F1804" s="79"/>
    </row>
    <row r="1805" customFormat="false" ht="15" hidden="false" customHeight="false" outlineLevel="0" collapsed="false">
      <c r="A1805" s="76" t="n">
        <v>1794</v>
      </c>
      <c r="B1805" s="77" t="n">
        <v>-0.876374</v>
      </c>
      <c r="C1805" s="78" t="n">
        <f aca="false">05_Unit_Economics!$B$15*EXP((01_Inputs!$C$20-01_Inputs!$C$21^2/2)*01_Inputs!$C$22+01_Inputs!$C$21*SQRT(01_Inputs!$C$22)*B1805)</f>
        <v>39.8242662134682</v>
      </c>
      <c r="D1805" s="78" t="n">
        <f aca="false">MAX(C1805-05_Unit_Economics!$B$21,0)</f>
        <v>1.91666073896469</v>
      </c>
      <c r="E1805" s="78" t="n">
        <f aca="false">D1805*EXP(-01_Inputs!$C$20*01_Inputs!$C$22)</f>
        <v>1.83415607928548</v>
      </c>
      <c r="F1805" s="80" t="n">
        <f aca="false">AVERAGE(E1804:E1805)</f>
        <v>17.9701854907386</v>
      </c>
    </row>
    <row r="1806" customFormat="false" ht="15" hidden="false" customHeight="false" outlineLevel="0" collapsed="false">
      <c r="A1806" s="76" t="n">
        <v>1795</v>
      </c>
      <c r="B1806" s="77" t="n">
        <v>-0.552007</v>
      </c>
      <c r="C1806" s="78" t="n">
        <f aca="false">05_Unit_Economics!$B$15*EXP((01_Inputs!$C$20-01_Inputs!$C$21^2/2)*01_Inputs!$C$22+01_Inputs!$C$21*SQRT(01_Inputs!$C$22)*B1806)</f>
        <v>44.612089189301</v>
      </c>
      <c r="D1806" s="78" t="n">
        <f aca="false">MAX(C1806-05_Unit_Economics!$B$21,0)</f>
        <v>6.70448371479748</v>
      </c>
      <c r="E1806" s="78" t="n">
        <f aca="false">D1806*EXP(-01_Inputs!$C$20*01_Inputs!$C$22)</f>
        <v>6.41588222368905</v>
      </c>
      <c r="F1806" s="79"/>
    </row>
    <row r="1807" customFormat="false" ht="15" hidden="false" customHeight="false" outlineLevel="0" collapsed="false">
      <c r="A1807" s="76" t="n">
        <v>1796</v>
      </c>
      <c r="B1807" s="77" t="n">
        <v>0.552007</v>
      </c>
      <c r="C1807" s="78" t="n">
        <f aca="false">05_Unit_Economics!$B$15*EXP((01_Inputs!$C$20-01_Inputs!$C$21^2/2)*01_Inputs!$C$22+01_Inputs!$C$21*SQRT(01_Inputs!$C$22)*B1807)</f>
        <v>65.6547387620012</v>
      </c>
      <c r="D1807" s="78" t="n">
        <f aca="false">MAX(C1807-05_Unit_Economics!$B$21,0)</f>
        <v>27.7471332874977</v>
      </c>
      <c r="E1807" s="78" t="n">
        <f aca="false">D1807*EXP(-01_Inputs!$C$20*01_Inputs!$C$22)</f>
        <v>26.5527290080031</v>
      </c>
      <c r="F1807" s="80" t="n">
        <f aca="false">AVERAGE(E1806:E1807)</f>
        <v>16.4843056158461</v>
      </c>
    </row>
    <row r="1808" customFormat="false" ht="15" hidden="false" customHeight="false" outlineLevel="0" collapsed="false">
      <c r="A1808" s="76" t="n">
        <v>1797</v>
      </c>
      <c r="B1808" s="77" t="n">
        <v>0.7073</v>
      </c>
      <c r="C1808" s="78" t="n">
        <f aca="false">05_Unit_Economics!$B$15*EXP((01_Inputs!$C$20-01_Inputs!$C$21^2/2)*01_Inputs!$C$22+01_Inputs!$C$21*SQRT(01_Inputs!$C$22)*B1808)</f>
        <v>69.3220009856925</v>
      </c>
      <c r="D1808" s="78" t="n">
        <f aca="false">MAX(C1808-05_Unit_Economics!$B$21,0)</f>
        <v>31.414395511189</v>
      </c>
      <c r="E1808" s="78" t="n">
        <f aca="false">D1808*EXP(-01_Inputs!$C$20*01_Inputs!$C$22)</f>
        <v>30.0621301060558</v>
      </c>
      <c r="F1808" s="79"/>
    </row>
    <row r="1809" customFormat="false" ht="15" hidden="false" customHeight="false" outlineLevel="0" collapsed="false">
      <c r="A1809" s="76" t="n">
        <v>1798</v>
      </c>
      <c r="B1809" s="77" t="n">
        <v>-0.7073</v>
      </c>
      <c r="C1809" s="78" t="n">
        <f aca="false">05_Unit_Economics!$B$15*EXP((01_Inputs!$C$20-01_Inputs!$C$21^2/2)*01_Inputs!$C$22+01_Inputs!$C$21*SQRT(01_Inputs!$C$22)*B1809)</f>
        <v>42.2520270578337</v>
      </c>
      <c r="D1809" s="78" t="n">
        <f aca="false">MAX(C1809-05_Unit_Economics!$B$21,0)</f>
        <v>4.34442158333022</v>
      </c>
      <c r="E1809" s="78" t="n">
        <f aca="false">D1809*EXP(-01_Inputs!$C$20*01_Inputs!$C$22)</f>
        <v>4.15741142709918</v>
      </c>
      <c r="F1809" s="80" t="n">
        <f aca="false">AVERAGE(E1808:E1809)</f>
        <v>17.1097707665775</v>
      </c>
    </row>
    <row r="1810" customFormat="false" ht="15" hidden="false" customHeight="false" outlineLevel="0" collapsed="false">
      <c r="A1810" s="76" t="n">
        <v>1799</v>
      </c>
      <c r="B1810" s="77" t="n">
        <v>0.820768</v>
      </c>
      <c r="C1810" s="78" t="n">
        <f aca="false">05_Unit_Economics!$B$15*EXP((01_Inputs!$C$20-01_Inputs!$C$21^2/2)*01_Inputs!$C$22+01_Inputs!$C$21*SQRT(01_Inputs!$C$22)*B1810)</f>
        <v>72.1304388284915</v>
      </c>
      <c r="D1810" s="78" t="n">
        <f aca="false">MAX(C1810-05_Unit_Economics!$B$21,0)</f>
        <v>34.222833353988</v>
      </c>
      <c r="E1810" s="78" t="n">
        <f aca="false">D1810*EXP(-01_Inputs!$C$20*01_Inputs!$C$22)</f>
        <v>32.7496758140394</v>
      </c>
      <c r="F1810" s="79"/>
    </row>
    <row r="1811" customFormat="false" ht="15" hidden="false" customHeight="false" outlineLevel="0" collapsed="false">
      <c r="A1811" s="76" t="n">
        <v>1800</v>
      </c>
      <c r="B1811" s="77" t="n">
        <v>-0.820768</v>
      </c>
      <c r="C1811" s="78" t="n">
        <f aca="false">05_Unit_Economics!$B$15*EXP((01_Inputs!$C$20-01_Inputs!$C$21^2/2)*01_Inputs!$C$22+01_Inputs!$C$21*SQRT(01_Inputs!$C$22)*B1811)</f>
        <v>40.6069214179479</v>
      </c>
      <c r="D1811" s="78" t="n">
        <f aca="false">MAX(C1811-05_Unit_Economics!$B$21,0)</f>
        <v>2.69931594344442</v>
      </c>
      <c r="E1811" s="78" t="n">
        <f aca="false">D1811*EXP(-01_Inputs!$C$20*01_Inputs!$C$22)</f>
        <v>2.58312107454923</v>
      </c>
      <c r="F1811" s="80" t="n">
        <f aca="false">AVERAGE(E1810:E1811)</f>
        <v>17.6663984442943</v>
      </c>
    </row>
    <row r="1812" customFormat="false" ht="15" hidden="false" customHeight="false" outlineLevel="0" collapsed="false">
      <c r="A1812" s="76" t="n">
        <v>1801</v>
      </c>
      <c r="B1812" s="77" t="n">
        <v>-1.031984</v>
      </c>
      <c r="C1812" s="78" t="n">
        <f aca="false">05_Unit_Economics!$B$15*EXP((01_Inputs!$C$20-01_Inputs!$C$21^2/2)*01_Inputs!$C$22+01_Inputs!$C$21*SQRT(01_Inputs!$C$22)*B1812)</f>
        <v>37.7133042603469</v>
      </c>
      <c r="D1812" s="78" t="n">
        <f aca="false">MAX(C1812-05_Unit_Economics!$B$21,0)</f>
        <v>0</v>
      </c>
      <c r="E1812" s="78" t="n">
        <f aca="false">D1812*EXP(-01_Inputs!$C$20*01_Inputs!$C$22)</f>
        <v>0</v>
      </c>
      <c r="F1812" s="79"/>
    </row>
    <row r="1813" customFormat="false" ht="15" hidden="false" customHeight="false" outlineLevel="0" collapsed="false">
      <c r="A1813" s="76" t="n">
        <v>1802</v>
      </c>
      <c r="B1813" s="77" t="n">
        <v>1.031984</v>
      </c>
      <c r="C1813" s="78" t="n">
        <f aca="false">05_Unit_Economics!$B$15*EXP((01_Inputs!$C$20-01_Inputs!$C$21^2/2)*01_Inputs!$C$22+01_Inputs!$C$21*SQRT(01_Inputs!$C$22)*B1813)</f>
        <v>77.6647689401827</v>
      </c>
      <c r="D1813" s="78" t="n">
        <f aca="false">MAX(C1813-05_Unit_Economics!$B$21,0)</f>
        <v>39.7571634656793</v>
      </c>
      <c r="E1813" s="78" t="n">
        <f aca="false">D1813*EXP(-01_Inputs!$C$20*01_Inputs!$C$22)</f>
        <v>38.0457749163846</v>
      </c>
      <c r="F1813" s="80" t="n">
        <f aca="false">AVERAGE(E1812:E1813)</f>
        <v>19.0228874581923</v>
      </c>
    </row>
    <row r="1814" customFormat="false" ht="15" hidden="false" customHeight="false" outlineLevel="0" collapsed="false">
      <c r="A1814" s="76" t="n">
        <v>1803</v>
      </c>
      <c r="B1814" s="77" t="n">
        <v>0.006239</v>
      </c>
      <c r="C1814" s="78" t="n">
        <f aca="false">05_Unit_Economics!$B$15*EXP((01_Inputs!$C$20-01_Inputs!$C$21^2/2)*01_Inputs!$C$22+01_Inputs!$C$21*SQRT(01_Inputs!$C$22)*B1814)</f>
        <v>54.2384995644657</v>
      </c>
      <c r="D1814" s="78" t="n">
        <f aca="false">MAX(C1814-05_Unit_Economics!$B$21,0)</f>
        <v>16.3308940899622</v>
      </c>
      <c r="E1814" s="78" t="n">
        <f aca="false">D1814*EXP(-01_Inputs!$C$20*01_Inputs!$C$22)</f>
        <v>15.6279137284625</v>
      </c>
      <c r="F1814" s="79"/>
    </row>
    <row r="1815" customFormat="false" ht="15" hidden="false" customHeight="false" outlineLevel="0" collapsed="false">
      <c r="A1815" s="76" t="n">
        <v>1804</v>
      </c>
      <c r="B1815" s="77" t="n">
        <v>-0.006239</v>
      </c>
      <c r="C1815" s="78" t="n">
        <f aca="false">05_Unit_Economics!$B$15*EXP((01_Inputs!$C$20-01_Inputs!$C$21^2/2)*01_Inputs!$C$22+01_Inputs!$C$21*SQRT(01_Inputs!$C$22)*B1815)</f>
        <v>54.0021402669771</v>
      </c>
      <c r="D1815" s="78" t="n">
        <f aca="false">MAX(C1815-05_Unit_Economics!$B$21,0)</f>
        <v>16.0945347924736</v>
      </c>
      <c r="E1815" s="78" t="n">
        <f aca="false">D1815*EXP(-01_Inputs!$C$20*01_Inputs!$C$22)</f>
        <v>15.4017287633453</v>
      </c>
      <c r="F1815" s="80" t="n">
        <f aca="false">AVERAGE(E1814:E1815)</f>
        <v>15.5148212459039</v>
      </c>
    </row>
    <row r="1816" customFormat="false" ht="15" hidden="false" customHeight="false" outlineLevel="0" collapsed="false">
      <c r="A1816" s="76" t="n">
        <v>1805</v>
      </c>
      <c r="B1816" s="77" t="n">
        <v>-1.20818</v>
      </c>
      <c r="C1816" s="78" t="n">
        <f aca="false">05_Unit_Economics!$B$15*EXP((01_Inputs!$C$20-01_Inputs!$C$21^2/2)*01_Inputs!$C$22+01_Inputs!$C$21*SQRT(01_Inputs!$C$22)*B1816)</f>
        <v>35.4578380592979</v>
      </c>
      <c r="D1816" s="78" t="n">
        <f aca="false">MAX(C1816-05_Unit_Economics!$B$21,0)</f>
        <v>0</v>
      </c>
      <c r="E1816" s="78" t="n">
        <f aca="false">D1816*EXP(-01_Inputs!$C$20*01_Inputs!$C$22)</f>
        <v>0</v>
      </c>
      <c r="F1816" s="79"/>
    </row>
    <row r="1817" customFormat="false" ht="15" hidden="false" customHeight="false" outlineLevel="0" collapsed="false">
      <c r="A1817" s="76" t="n">
        <v>1806</v>
      </c>
      <c r="B1817" s="77" t="n">
        <v>1.20818</v>
      </c>
      <c r="C1817" s="78" t="n">
        <f aca="false">05_Unit_Economics!$B$15*EXP((01_Inputs!$C$20-01_Inputs!$C$21^2/2)*01_Inputs!$C$22+01_Inputs!$C$21*SQRT(01_Inputs!$C$22)*B1817)</f>
        <v>82.6050098275126</v>
      </c>
      <c r="D1817" s="78" t="n">
        <f aca="false">MAX(C1817-05_Unit_Economics!$B$21,0)</f>
        <v>44.6974043530091</v>
      </c>
      <c r="E1817" s="78" t="n">
        <f aca="false">D1817*EXP(-01_Inputs!$C$20*01_Inputs!$C$22)</f>
        <v>42.773357984385</v>
      </c>
      <c r="F1817" s="80" t="n">
        <f aca="false">AVERAGE(E1816:E1817)</f>
        <v>21.3866789921925</v>
      </c>
    </row>
    <row r="1818" customFormat="false" ht="15" hidden="false" customHeight="false" outlineLevel="0" collapsed="false">
      <c r="A1818" s="76" t="n">
        <v>1807</v>
      </c>
      <c r="B1818" s="77" t="n">
        <v>1.225871</v>
      </c>
      <c r="C1818" s="78" t="n">
        <f aca="false">05_Unit_Economics!$B$15*EXP((01_Inputs!$C$20-01_Inputs!$C$21^2/2)*01_Inputs!$C$22+01_Inputs!$C$21*SQRT(01_Inputs!$C$22)*B1818)</f>
        <v>83.1180744279383</v>
      </c>
      <c r="D1818" s="78" t="n">
        <f aca="false">MAX(C1818-05_Unit_Economics!$B$21,0)</f>
        <v>45.2104689534348</v>
      </c>
      <c r="E1818" s="78" t="n">
        <f aca="false">D1818*EXP(-01_Inputs!$C$20*01_Inputs!$C$22)</f>
        <v>43.2643371842017</v>
      </c>
      <c r="F1818" s="79"/>
    </row>
    <row r="1819" customFormat="false" ht="15" hidden="false" customHeight="false" outlineLevel="0" collapsed="false">
      <c r="A1819" s="76" t="n">
        <v>1808</v>
      </c>
      <c r="B1819" s="77" t="n">
        <v>-1.225871</v>
      </c>
      <c r="C1819" s="78" t="n">
        <f aca="false">05_Unit_Economics!$B$15*EXP((01_Inputs!$C$20-01_Inputs!$C$21^2/2)*01_Inputs!$C$22+01_Inputs!$C$21*SQRT(01_Inputs!$C$22)*B1819)</f>
        <v>35.2389667531342</v>
      </c>
      <c r="D1819" s="78" t="n">
        <f aca="false">MAX(C1819-05_Unit_Economics!$B$21,0)</f>
        <v>0</v>
      </c>
      <c r="E1819" s="78" t="n">
        <f aca="false">D1819*EXP(-01_Inputs!$C$20*01_Inputs!$C$22)</f>
        <v>0</v>
      </c>
      <c r="F1819" s="80" t="n">
        <f aca="false">AVERAGE(E1818:E1819)</f>
        <v>21.6321685921009</v>
      </c>
    </row>
    <row r="1820" customFormat="false" ht="15" hidden="false" customHeight="false" outlineLevel="0" collapsed="false">
      <c r="A1820" s="76" t="n">
        <v>1809</v>
      </c>
      <c r="B1820" s="77" t="n">
        <v>-1.012383</v>
      </c>
      <c r="C1820" s="78" t="n">
        <f aca="false">05_Unit_Economics!$B$15*EXP((01_Inputs!$C$20-01_Inputs!$C$21^2/2)*01_Inputs!$C$22+01_Inputs!$C$21*SQRT(01_Inputs!$C$22)*B1820)</f>
        <v>37.9729202372412</v>
      </c>
      <c r="D1820" s="78" t="n">
        <f aca="false">MAX(C1820-05_Unit_Economics!$B$21,0)</f>
        <v>0.0653147627376924</v>
      </c>
      <c r="E1820" s="78" t="n">
        <f aca="false">D1820*EXP(-01_Inputs!$C$20*01_Inputs!$C$22)</f>
        <v>0.0625032206832479</v>
      </c>
      <c r="F1820" s="79"/>
    </row>
    <row r="1821" customFormat="false" ht="15" hidden="false" customHeight="false" outlineLevel="0" collapsed="false">
      <c r="A1821" s="76" t="n">
        <v>1810</v>
      </c>
      <c r="B1821" s="77" t="n">
        <v>1.012383</v>
      </c>
      <c r="C1821" s="78" t="n">
        <f aca="false">05_Unit_Economics!$B$15*EXP((01_Inputs!$C$20-01_Inputs!$C$21^2/2)*01_Inputs!$C$22+01_Inputs!$C$21*SQRT(01_Inputs!$C$22)*B1821)</f>
        <v>77.1337848933225</v>
      </c>
      <c r="D1821" s="78" t="n">
        <f aca="false">MAX(C1821-05_Unit_Economics!$B$21,0)</f>
        <v>39.226179418819</v>
      </c>
      <c r="E1821" s="78" t="n">
        <f aca="false">D1821*EXP(-01_Inputs!$C$20*01_Inputs!$C$22)</f>
        <v>37.5376476313866</v>
      </c>
      <c r="F1821" s="80" t="n">
        <f aca="false">AVERAGE(E1820:E1821)</f>
        <v>18.8000754260349</v>
      </c>
    </row>
    <row r="1822" customFormat="false" ht="15" hidden="false" customHeight="false" outlineLevel="0" collapsed="false">
      <c r="A1822" s="76" t="n">
        <v>1811</v>
      </c>
      <c r="B1822" s="77" t="n">
        <v>1.008898</v>
      </c>
      <c r="C1822" s="78" t="n">
        <f aca="false">05_Unit_Economics!$B$15*EXP((01_Inputs!$C$20-01_Inputs!$C$21^2/2)*01_Inputs!$C$22+01_Inputs!$C$21*SQRT(01_Inputs!$C$22)*B1822)</f>
        <v>77.0397583153158</v>
      </c>
      <c r="D1822" s="78" t="n">
        <f aca="false">MAX(C1822-05_Unit_Economics!$B$21,0)</f>
        <v>39.1321528408123</v>
      </c>
      <c r="E1822" s="78" t="n">
        <f aca="false">D1822*EXP(-01_Inputs!$C$20*01_Inputs!$C$22)</f>
        <v>37.4476685254555</v>
      </c>
      <c r="F1822" s="79"/>
    </row>
    <row r="1823" customFormat="false" ht="15" hidden="false" customHeight="false" outlineLevel="0" collapsed="false">
      <c r="A1823" s="76" t="n">
        <v>1812</v>
      </c>
      <c r="B1823" s="77" t="n">
        <v>-1.008898</v>
      </c>
      <c r="C1823" s="78" t="n">
        <f aca="false">05_Unit_Economics!$B$15*EXP((01_Inputs!$C$20-01_Inputs!$C$21^2/2)*01_Inputs!$C$22+01_Inputs!$C$21*SQRT(01_Inputs!$C$22)*B1823)</f>
        <v>38.0192659660558</v>
      </c>
      <c r="D1823" s="78" t="n">
        <f aca="false">MAX(C1823-05_Unit_Economics!$B$21,0)</f>
        <v>0.111660491552364</v>
      </c>
      <c r="E1823" s="78" t="n">
        <f aca="false">D1823*EXP(-01_Inputs!$C$20*01_Inputs!$C$22)</f>
        <v>0.10685394928442</v>
      </c>
      <c r="F1823" s="80" t="n">
        <f aca="false">AVERAGE(E1822:E1823)</f>
        <v>18.7772612373699</v>
      </c>
    </row>
    <row r="1824" customFormat="false" ht="15" hidden="false" customHeight="false" outlineLevel="0" collapsed="false">
      <c r="A1824" s="76" t="n">
        <v>1813</v>
      </c>
      <c r="B1824" s="77" t="n">
        <v>0.365379</v>
      </c>
      <c r="C1824" s="78" t="n">
        <f aca="false">05_Unit_Economics!$B$15*EXP((01_Inputs!$C$20-01_Inputs!$C$21^2/2)*01_Inputs!$C$22+01_Inputs!$C$21*SQRT(01_Inputs!$C$22)*B1824)</f>
        <v>61.503247626457</v>
      </c>
      <c r="D1824" s="78" t="n">
        <f aca="false">MAX(C1824-05_Unit_Economics!$B$21,0)</f>
        <v>23.5956421519535</v>
      </c>
      <c r="E1824" s="78" t="n">
        <f aca="false">D1824*EXP(-01_Inputs!$C$20*01_Inputs!$C$22)</f>
        <v>22.5799431364298</v>
      </c>
      <c r="F1824" s="79"/>
    </row>
    <row r="1825" customFormat="false" ht="15" hidden="false" customHeight="false" outlineLevel="0" collapsed="false">
      <c r="A1825" s="76" t="n">
        <v>1814</v>
      </c>
      <c r="B1825" s="77" t="n">
        <v>-0.365379</v>
      </c>
      <c r="C1825" s="78" t="n">
        <f aca="false">05_Unit_Economics!$B$15*EXP((01_Inputs!$C$20-01_Inputs!$C$21^2/2)*01_Inputs!$C$22+01_Inputs!$C$21*SQRT(01_Inputs!$C$22)*B1825)</f>
        <v>47.6234211100534</v>
      </c>
      <c r="D1825" s="78" t="n">
        <f aca="false">MAX(C1825-05_Unit_Economics!$B$21,0)</f>
        <v>9.71581563554988</v>
      </c>
      <c r="E1825" s="78" t="n">
        <f aca="false">D1825*EXP(-01_Inputs!$C$20*01_Inputs!$C$22)</f>
        <v>9.29758822251796</v>
      </c>
      <c r="F1825" s="80" t="n">
        <f aca="false">AVERAGE(E1824:E1825)</f>
        <v>15.9387656794739</v>
      </c>
    </row>
    <row r="1826" customFormat="false" ht="15" hidden="false" customHeight="false" outlineLevel="0" collapsed="false">
      <c r="A1826" s="76" t="n">
        <v>1815</v>
      </c>
      <c r="B1826" s="77" t="n">
        <v>-0.027549</v>
      </c>
      <c r="C1826" s="78" t="n">
        <f aca="false">05_Unit_Economics!$B$15*EXP((01_Inputs!$C$20-01_Inputs!$C$21^2/2)*01_Inputs!$C$22+01_Inputs!$C$21*SQRT(01_Inputs!$C$22)*B1826)</f>
        <v>53.6008636249371</v>
      </c>
      <c r="D1826" s="78" t="n">
        <f aca="false">MAX(C1826-05_Unit_Economics!$B$21,0)</f>
        <v>15.6932581504336</v>
      </c>
      <c r="E1826" s="78" t="n">
        <f aca="false">D1826*EXP(-01_Inputs!$C$20*01_Inputs!$C$22)</f>
        <v>15.0177254927036</v>
      </c>
      <c r="F1826" s="79"/>
    </row>
    <row r="1827" customFormat="false" ht="15" hidden="false" customHeight="false" outlineLevel="0" collapsed="false">
      <c r="A1827" s="76" t="n">
        <v>1816</v>
      </c>
      <c r="B1827" s="77" t="n">
        <v>0.027549</v>
      </c>
      <c r="C1827" s="78" t="n">
        <f aca="false">05_Unit_Economics!$B$15*EXP((01_Inputs!$C$20-01_Inputs!$C$21^2/2)*01_Inputs!$C$22+01_Inputs!$C$21*SQRT(01_Inputs!$C$22)*B1827)</f>
        <v>54.6445497939323</v>
      </c>
      <c r="D1827" s="78" t="n">
        <f aca="false">MAX(C1827-05_Unit_Economics!$B$21,0)</f>
        <v>16.7369443194289</v>
      </c>
      <c r="E1827" s="78" t="n">
        <f aca="false">D1827*EXP(-01_Inputs!$C$20*01_Inputs!$C$22)</f>
        <v>16.0164851024835</v>
      </c>
      <c r="F1827" s="80" t="n">
        <f aca="false">AVERAGE(E1826:E1827)</f>
        <v>15.5171052975935</v>
      </c>
    </row>
    <row r="1828" customFormat="false" ht="15" hidden="false" customHeight="false" outlineLevel="0" collapsed="false">
      <c r="A1828" s="76" t="n">
        <v>1817</v>
      </c>
      <c r="B1828" s="77" t="n">
        <v>-0.689225</v>
      </c>
      <c r="C1828" s="78" t="n">
        <f aca="false">05_Unit_Economics!$B$15*EXP((01_Inputs!$C$20-01_Inputs!$C$21^2/2)*01_Inputs!$C$22+01_Inputs!$C$21*SQRT(01_Inputs!$C$22)*B1828)</f>
        <v>42.5201712232291</v>
      </c>
      <c r="D1828" s="78" t="n">
        <f aca="false">MAX(C1828-05_Unit_Economics!$B$21,0)</f>
        <v>4.61256574872567</v>
      </c>
      <c r="E1828" s="78" t="n">
        <f aca="false">D1828*EXP(-01_Inputs!$C$20*01_Inputs!$C$22)</f>
        <v>4.41401304734765</v>
      </c>
      <c r="F1828" s="79"/>
    </row>
    <row r="1829" customFormat="false" ht="15" hidden="false" customHeight="false" outlineLevel="0" collapsed="false">
      <c r="A1829" s="76" t="n">
        <v>1818</v>
      </c>
      <c r="B1829" s="77" t="n">
        <v>0.689225</v>
      </c>
      <c r="C1829" s="78" t="n">
        <f aca="false">05_Unit_Economics!$B$15*EXP((01_Inputs!$C$20-01_Inputs!$C$21^2/2)*01_Inputs!$C$22+01_Inputs!$C$21*SQRT(01_Inputs!$C$22)*B1829)</f>
        <v>68.884836939474</v>
      </c>
      <c r="D1829" s="78" t="n">
        <f aca="false">MAX(C1829-05_Unit_Economics!$B$21,0)</f>
        <v>30.9772314649705</v>
      </c>
      <c r="E1829" s="78" t="n">
        <f aca="false">D1829*EXP(-01_Inputs!$C$20*01_Inputs!$C$22)</f>
        <v>29.6437842419621</v>
      </c>
      <c r="F1829" s="80" t="n">
        <f aca="false">AVERAGE(E1828:E1829)</f>
        <v>17.0288986446549</v>
      </c>
    </row>
    <row r="1830" customFormat="false" ht="15" hidden="false" customHeight="false" outlineLevel="0" collapsed="false">
      <c r="A1830" s="76" t="n">
        <v>1819</v>
      </c>
      <c r="B1830" s="77" t="n">
        <v>-0.196861</v>
      </c>
      <c r="C1830" s="78" t="n">
        <f aca="false">05_Unit_Economics!$B$15*EXP((01_Inputs!$C$20-01_Inputs!$C$21^2/2)*01_Inputs!$C$22+01_Inputs!$C$21*SQRT(01_Inputs!$C$22)*B1830)</f>
        <v>50.5168013198695</v>
      </c>
      <c r="D1830" s="78" t="n">
        <f aca="false">MAX(C1830-05_Unit_Economics!$B$21,0)</f>
        <v>12.609195845366</v>
      </c>
      <c r="E1830" s="78" t="n">
        <f aca="false">D1830*EXP(-01_Inputs!$C$20*01_Inputs!$C$22)</f>
        <v>12.0664198647757</v>
      </c>
      <c r="F1830" s="79"/>
    </row>
    <row r="1831" customFormat="false" ht="15" hidden="false" customHeight="false" outlineLevel="0" collapsed="false">
      <c r="A1831" s="76" t="n">
        <v>1820</v>
      </c>
      <c r="B1831" s="77" t="n">
        <v>0.196861</v>
      </c>
      <c r="C1831" s="78" t="n">
        <f aca="false">05_Unit_Economics!$B$15*EXP((01_Inputs!$C$20-01_Inputs!$C$21^2/2)*01_Inputs!$C$22+01_Inputs!$C$21*SQRT(01_Inputs!$C$22)*B1831)</f>
        <v>57.9806120899149</v>
      </c>
      <c r="D1831" s="78" t="n">
        <f aca="false">MAX(C1831-05_Unit_Economics!$B$21,0)</f>
        <v>20.0730066154114</v>
      </c>
      <c r="E1831" s="78" t="n">
        <f aca="false">D1831*EXP(-01_Inputs!$C$20*01_Inputs!$C$22)</f>
        <v>19.2089431190006</v>
      </c>
      <c r="F1831" s="80" t="n">
        <f aca="false">AVERAGE(E1830:E1831)</f>
        <v>15.6376814918881</v>
      </c>
    </row>
    <row r="1832" customFormat="false" ht="15" hidden="false" customHeight="false" outlineLevel="0" collapsed="false">
      <c r="A1832" s="76" t="n">
        <v>1821</v>
      </c>
      <c r="B1832" s="77" t="n">
        <v>1.285346</v>
      </c>
      <c r="C1832" s="78" t="n">
        <f aca="false">05_Unit_Economics!$B$15*EXP((01_Inputs!$C$20-01_Inputs!$C$21^2/2)*01_Inputs!$C$22+01_Inputs!$C$21*SQRT(01_Inputs!$C$22)*B1832)</f>
        <v>84.8664148589244</v>
      </c>
      <c r="D1832" s="78" t="n">
        <f aca="false">MAX(C1832-05_Unit_Economics!$B$21,0)</f>
        <v>46.9588093844209</v>
      </c>
      <c r="E1832" s="78" t="n">
        <f aca="false">D1832*EXP(-01_Inputs!$C$20*01_Inputs!$C$22)</f>
        <v>44.937418478644</v>
      </c>
      <c r="F1832" s="79"/>
    </row>
    <row r="1833" customFormat="false" ht="15" hidden="false" customHeight="false" outlineLevel="0" collapsed="false">
      <c r="A1833" s="76" t="n">
        <v>1822</v>
      </c>
      <c r="B1833" s="77" t="n">
        <v>-1.285346</v>
      </c>
      <c r="C1833" s="78" t="n">
        <f aca="false">05_Unit_Economics!$B$15*EXP((01_Inputs!$C$20-01_Inputs!$C$21^2/2)*01_Inputs!$C$22+01_Inputs!$C$21*SQRT(01_Inputs!$C$22)*B1833)</f>
        <v>34.5130057186886</v>
      </c>
      <c r="D1833" s="78" t="n">
        <f aca="false">MAX(C1833-05_Unit_Economics!$B$21,0)</f>
        <v>0</v>
      </c>
      <c r="E1833" s="78" t="n">
        <f aca="false">D1833*EXP(-01_Inputs!$C$20*01_Inputs!$C$22)</f>
        <v>0</v>
      </c>
      <c r="F1833" s="80" t="n">
        <f aca="false">AVERAGE(E1832:E1833)</f>
        <v>22.468709239322</v>
      </c>
    </row>
    <row r="1834" customFormat="false" ht="15" hidden="false" customHeight="false" outlineLevel="0" collapsed="false">
      <c r="A1834" s="76" t="n">
        <v>1823</v>
      </c>
      <c r="B1834" s="77" t="n">
        <v>0.468736</v>
      </c>
      <c r="C1834" s="78" t="n">
        <f aca="false">05_Unit_Economics!$B$15*EXP((01_Inputs!$C$20-01_Inputs!$C$21^2/2)*01_Inputs!$C$22+01_Inputs!$C$21*SQRT(01_Inputs!$C$22)*B1834)</f>
        <v>63.7688566157648</v>
      </c>
      <c r="D1834" s="78" t="n">
        <f aca="false">MAX(C1834-05_Unit_Economics!$B$21,0)</f>
        <v>25.8612511412614</v>
      </c>
      <c r="E1834" s="78" t="n">
        <f aca="false">D1834*EXP(-01_Inputs!$C$20*01_Inputs!$C$22)</f>
        <v>24.7480266248344</v>
      </c>
      <c r="F1834" s="79"/>
    </row>
    <row r="1835" customFormat="false" ht="15" hidden="false" customHeight="false" outlineLevel="0" collapsed="false">
      <c r="A1835" s="76" t="n">
        <v>1824</v>
      </c>
      <c r="B1835" s="77" t="n">
        <v>-0.468736</v>
      </c>
      <c r="C1835" s="78" t="n">
        <f aca="false">05_Unit_Economics!$B$15*EXP((01_Inputs!$C$20-01_Inputs!$C$21^2/2)*01_Inputs!$C$22+01_Inputs!$C$21*SQRT(01_Inputs!$C$22)*B1835)</f>
        <v>45.9314345088407</v>
      </c>
      <c r="D1835" s="78" t="n">
        <f aca="false">MAX(C1835-05_Unit_Economics!$B$21,0)</f>
        <v>8.02382903433718</v>
      </c>
      <c r="E1835" s="78" t="n">
        <f aca="false">D1835*EXP(-01_Inputs!$C$20*01_Inputs!$C$22)</f>
        <v>7.6784349484961</v>
      </c>
      <c r="F1835" s="80" t="n">
        <f aca="false">AVERAGE(E1834:E1835)</f>
        <v>16.2132307866653</v>
      </c>
    </row>
    <row r="1836" customFormat="false" ht="15" hidden="false" customHeight="false" outlineLevel="0" collapsed="false">
      <c r="A1836" s="76" t="n">
        <v>1825</v>
      </c>
      <c r="B1836" s="77" t="n">
        <v>1.065308</v>
      </c>
      <c r="C1836" s="78" t="n">
        <f aca="false">05_Unit_Economics!$B$15*EXP((01_Inputs!$C$20-01_Inputs!$C$21^2/2)*01_Inputs!$C$22+01_Inputs!$C$21*SQRT(01_Inputs!$C$22)*B1836)</f>
        <v>78.57590736332</v>
      </c>
      <c r="D1836" s="78" t="n">
        <f aca="false">MAX(C1836-05_Unit_Economics!$B$21,0)</f>
        <v>40.6683018888165</v>
      </c>
      <c r="E1836" s="78" t="n">
        <f aca="false">D1836*EXP(-01_Inputs!$C$20*01_Inputs!$C$22)</f>
        <v>38.9176924362115</v>
      </c>
      <c r="F1836" s="79"/>
    </row>
    <row r="1837" customFormat="false" ht="15" hidden="false" customHeight="false" outlineLevel="0" collapsed="false">
      <c r="A1837" s="76" t="n">
        <v>1826</v>
      </c>
      <c r="B1837" s="77" t="n">
        <v>-1.065308</v>
      </c>
      <c r="C1837" s="78" t="n">
        <f aca="false">05_Unit_Economics!$B$15*EXP((01_Inputs!$C$20-01_Inputs!$C$21^2/2)*01_Inputs!$C$22+01_Inputs!$C$21*SQRT(01_Inputs!$C$22)*B1837)</f>
        <v>37.2759941263871</v>
      </c>
      <c r="D1837" s="78" t="n">
        <f aca="false">MAX(C1837-05_Unit_Economics!$B$21,0)</f>
        <v>0</v>
      </c>
      <c r="E1837" s="78" t="n">
        <f aca="false">D1837*EXP(-01_Inputs!$C$20*01_Inputs!$C$22)</f>
        <v>0</v>
      </c>
      <c r="F1837" s="80" t="n">
        <f aca="false">AVERAGE(E1836:E1837)</f>
        <v>19.4588462181058</v>
      </c>
    </row>
    <row r="1838" customFormat="false" ht="15" hidden="false" customHeight="false" outlineLevel="0" collapsed="false">
      <c r="A1838" s="76" t="n">
        <v>1827</v>
      </c>
      <c r="B1838" s="77" t="n">
        <v>0.839044</v>
      </c>
      <c r="C1838" s="78" t="n">
        <f aca="false">05_Unit_Economics!$B$15*EXP((01_Inputs!$C$20-01_Inputs!$C$21^2/2)*01_Inputs!$C$22+01_Inputs!$C$21*SQRT(01_Inputs!$C$22)*B1838)</f>
        <v>72.5933072071927</v>
      </c>
      <c r="D1838" s="78" t="n">
        <f aca="false">MAX(C1838-05_Unit_Economics!$B$21,0)</f>
        <v>34.6857017326892</v>
      </c>
      <c r="E1838" s="78" t="n">
        <f aca="false">D1838*EXP(-01_Inputs!$C$20*01_Inputs!$C$22)</f>
        <v>33.1926195408267</v>
      </c>
      <c r="F1838" s="79"/>
    </row>
    <row r="1839" customFormat="false" ht="15" hidden="false" customHeight="false" outlineLevel="0" collapsed="false">
      <c r="A1839" s="76" t="n">
        <v>1828</v>
      </c>
      <c r="B1839" s="77" t="n">
        <v>-0.839044</v>
      </c>
      <c r="C1839" s="78" t="n">
        <f aca="false">05_Unit_Economics!$B$15*EXP((01_Inputs!$C$20-01_Inputs!$C$21^2/2)*01_Inputs!$C$22+01_Inputs!$C$21*SQRT(01_Inputs!$C$22)*B1839)</f>
        <v>40.3480041622961</v>
      </c>
      <c r="D1839" s="78" t="n">
        <f aca="false">MAX(C1839-05_Unit_Economics!$B$21,0)</f>
        <v>2.44039868779267</v>
      </c>
      <c r="E1839" s="78" t="n">
        <f aca="false">D1839*EXP(-01_Inputs!$C$20*01_Inputs!$C$22)</f>
        <v>2.33534918209522</v>
      </c>
      <c r="F1839" s="80" t="n">
        <f aca="false">AVERAGE(E1838:E1839)</f>
        <v>17.7639843614609</v>
      </c>
    </row>
    <row r="1840" customFormat="false" ht="15" hidden="false" customHeight="false" outlineLevel="0" collapsed="false">
      <c r="A1840" s="76" t="n">
        <v>1829</v>
      </c>
      <c r="B1840" s="77" t="n">
        <v>-0.194916</v>
      </c>
      <c r="C1840" s="78" t="n">
        <f aca="false">05_Unit_Economics!$B$15*EXP((01_Inputs!$C$20-01_Inputs!$C$21^2/2)*01_Inputs!$C$22+01_Inputs!$C$21*SQRT(01_Inputs!$C$22)*B1840)</f>
        <v>50.5512023402868</v>
      </c>
      <c r="D1840" s="78" t="n">
        <f aca="false">MAX(C1840-05_Unit_Economics!$B$21,0)</f>
        <v>12.6435968657833</v>
      </c>
      <c r="E1840" s="78" t="n">
        <f aca="false">D1840*EXP(-01_Inputs!$C$20*01_Inputs!$C$22)</f>
        <v>12.0993400574051</v>
      </c>
      <c r="F1840" s="79"/>
    </row>
    <row r="1841" customFormat="false" ht="15" hidden="false" customHeight="false" outlineLevel="0" collapsed="false">
      <c r="A1841" s="76" t="n">
        <v>1830</v>
      </c>
      <c r="B1841" s="77" t="n">
        <v>0.194916</v>
      </c>
      <c r="C1841" s="78" t="n">
        <f aca="false">05_Unit_Economics!$B$15*EXP((01_Inputs!$C$20-01_Inputs!$C$21^2/2)*01_Inputs!$C$22+01_Inputs!$C$21*SQRT(01_Inputs!$C$22)*B1841)</f>
        <v>57.9411552198906</v>
      </c>
      <c r="D1841" s="78" t="n">
        <f aca="false">MAX(C1841-05_Unit_Economics!$B$21,0)</f>
        <v>20.0335497453871</v>
      </c>
      <c r="E1841" s="78" t="n">
        <f aca="false">D1841*EXP(-01_Inputs!$C$20*01_Inputs!$C$22)</f>
        <v>19.1711847110813</v>
      </c>
      <c r="F1841" s="80" t="n">
        <f aca="false">AVERAGE(E1840:E1841)</f>
        <v>15.6352623842432</v>
      </c>
    </row>
    <row r="1842" customFormat="false" ht="15" hidden="false" customHeight="false" outlineLevel="0" collapsed="false">
      <c r="A1842" s="76" t="n">
        <v>1831</v>
      </c>
      <c r="B1842" s="77" t="n">
        <v>0.909727</v>
      </c>
      <c r="C1842" s="78" t="n">
        <f aca="false">05_Unit_Economics!$B$15*EXP((01_Inputs!$C$20-01_Inputs!$C$21^2/2)*01_Inputs!$C$22+01_Inputs!$C$21*SQRT(01_Inputs!$C$22)*B1842)</f>
        <v>74.4115952888735</v>
      </c>
      <c r="D1842" s="78" t="n">
        <f aca="false">MAX(C1842-05_Unit_Economics!$B$21,0)</f>
        <v>36.50398981437</v>
      </c>
      <c r="E1842" s="78" t="n">
        <f aca="false">D1842*EXP(-01_Inputs!$C$20*01_Inputs!$C$22)</f>
        <v>34.9326375164171</v>
      </c>
      <c r="F1842" s="79"/>
    </row>
    <row r="1843" customFormat="false" ht="15" hidden="false" customHeight="false" outlineLevel="0" collapsed="false">
      <c r="A1843" s="76" t="n">
        <v>1832</v>
      </c>
      <c r="B1843" s="77" t="n">
        <v>-0.909727</v>
      </c>
      <c r="C1843" s="78" t="n">
        <f aca="false">05_Unit_Economics!$B$15*EXP((01_Inputs!$C$20-01_Inputs!$C$21^2/2)*01_Inputs!$C$22+01_Inputs!$C$21*SQRT(01_Inputs!$C$22)*B1843)</f>
        <v>39.3620785843926</v>
      </c>
      <c r="D1843" s="78" t="n">
        <f aca="false">MAX(C1843-05_Unit_Economics!$B$21,0)</f>
        <v>1.45447310988909</v>
      </c>
      <c r="E1843" s="78" t="n">
        <f aca="false">D1843*EXP(-01_Inputs!$C$20*01_Inputs!$C$22)</f>
        <v>1.39186379854649</v>
      </c>
      <c r="F1843" s="80" t="n">
        <f aca="false">AVERAGE(E1842:E1843)</f>
        <v>18.1622506574818</v>
      </c>
    </row>
    <row r="1844" customFormat="false" ht="15" hidden="false" customHeight="false" outlineLevel="0" collapsed="false">
      <c r="A1844" s="76" t="n">
        <v>1833</v>
      </c>
      <c r="B1844" s="77" t="n">
        <v>1.300431</v>
      </c>
      <c r="C1844" s="78" t="n">
        <f aca="false">05_Unit_Economics!$B$15*EXP((01_Inputs!$C$20-01_Inputs!$C$21^2/2)*01_Inputs!$C$22+01_Inputs!$C$21*SQRT(01_Inputs!$C$22)*B1844)</f>
        <v>85.3156732551668</v>
      </c>
      <c r="D1844" s="78" t="n">
        <f aca="false">MAX(C1844-05_Unit_Economics!$B$21,0)</f>
        <v>47.4080677806633</v>
      </c>
      <c r="E1844" s="78" t="n">
        <f aca="false">D1844*EXP(-01_Inputs!$C$20*01_Inputs!$C$22)</f>
        <v>45.3673380788562</v>
      </c>
      <c r="F1844" s="79"/>
    </row>
    <row r="1845" customFormat="false" ht="15" hidden="false" customHeight="false" outlineLevel="0" collapsed="false">
      <c r="A1845" s="76" t="n">
        <v>1834</v>
      </c>
      <c r="B1845" s="77" t="n">
        <v>-1.300431</v>
      </c>
      <c r="C1845" s="78" t="n">
        <f aca="false">05_Unit_Economics!$B$15*EXP((01_Inputs!$C$20-01_Inputs!$C$21^2/2)*01_Inputs!$C$22+01_Inputs!$C$21*SQRT(01_Inputs!$C$22)*B1845)</f>
        <v>34.3312658694078</v>
      </c>
      <c r="D1845" s="78" t="n">
        <f aca="false">MAX(C1845-05_Unit_Economics!$B$21,0)</f>
        <v>0</v>
      </c>
      <c r="E1845" s="78" t="n">
        <f aca="false">D1845*EXP(-01_Inputs!$C$20*01_Inputs!$C$22)</f>
        <v>0</v>
      </c>
      <c r="F1845" s="80" t="n">
        <f aca="false">AVERAGE(E1844:E1845)</f>
        <v>22.6836690394281</v>
      </c>
    </row>
    <row r="1846" customFormat="false" ht="15" hidden="false" customHeight="false" outlineLevel="0" collapsed="false">
      <c r="A1846" s="76" t="n">
        <v>1835</v>
      </c>
      <c r="B1846" s="77" t="n">
        <v>0.630415</v>
      </c>
      <c r="C1846" s="78" t="n">
        <f aca="false">05_Unit_Economics!$B$15*EXP((01_Inputs!$C$20-01_Inputs!$C$21^2/2)*01_Inputs!$C$22+01_Inputs!$C$21*SQRT(01_Inputs!$C$22)*B1846)</f>
        <v>67.4814388694309</v>
      </c>
      <c r="D1846" s="78" t="n">
        <f aca="false">MAX(C1846-05_Unit_Economics!$B$21,0)</f>
        <v>29.5738333949274</v>
      </c>
      <c r="E1846" s="78" t="n">
        <f aca="false">D1846*EXP(-01_Inputs!$C$20*01_Inputs!$C$22)</f>
        <v>28.3007969049243</v>
      </c>
      <c r="F1846" s="79"/>
    </row>
    <row r="1847" customFormat="false" ht="15" hidden="false" customHeight="false" outlineLevel="0" collapsed="false">
      <c r="A1847" s="76" t="n">
        <v>1836</v>
      </c>
      <c r="B1847" s="77" t="n">
        <v>-0.630415</v>
      </c>
      <c r="C1847" s="78" t="n">
        <f aca="false">05_Unit_Economics!$B$15*EXP((01_Inputs!$C$20-01_Inputs!$C$21^2/2)*01_Inputs!$C$22+01_Inputs!$C$21*SQRT(01_Inputs!$C$22)*B1847)</f>
        <v>43.4044547718956</v>
      </c>
      <c r="D1847" s="78" t="n">
        <f aca="false">MAX(C1847-05_Unit_Economics!$B$21,0)</f>
        <v>5.49684929739216</v>
      </c>
      <c r="E1847" s="78" t="n">
        <f aca="false">D1847*EXP(-01_Inputs!$C$20*01_Inputs!$C$22)</f>
        <v>5.26023168877236</v>
      </c>
      <c r="F1847" s="80" t="n">
        <f aca="false">AVERAGE(E1846:E1847)</f>
        <v>16.7805142968483</v>
      </c>
    </row>
    <row r="1848" customFormat="false" ht="15" hidden="false" customHeight="false" outlineLevel="0" collapsed="false">
      <c r="A1848" s="76" t="n">
        <v>1837</v>
      </c>
      <c r="B1848" s="77" t="n">
        <v>-0.626263</v>
      </c>
      <c r="C1848" s="78" t="n">
        <f aca="false">05_Unit_Economics!$B$15*EXP((01_Inputs!$C$20-01_Inputs!$C$21^2/2)*01_Inputs!$C$22+01_Inputs!$C$21*SQRT(01_Inputs!$C$22)*B1848)</f>
        <v>43.4675759783305</v>
      </c>
      <c r="D1848" s="78" t="n">
        <f aca="false">MAX(C1848-05_Unit_Economics!$B$21,0)</f>
        <v>5.55997050382705</v>
      </c>
      <c r="E1848" s="78" t="n">
        <f aca="false">D1848*EXP(-01_Inputs!$C$20*01_Inputs!$C$22)</f>
        <v>5.3206357770707</v>
      </c>
      <c r="F1848" s="79"/>
    </row>
    <row r="1849" customFormat="false" ht="15" hidden="false" customHeight="false" outlineLevel="0" collapsed="false">
      <c r="A1849" s="76" t="n">
        <v>1838</v>
      </c>
      <c r="B1849" s="77" t="n">
        <v>0.626263</v>
      </c>
      <c r="C1849" s="78" t="n">
        <f aca="false">05_Unit_Economics!$B$15*EXP((01_Inputs!$C$20-01_Inputs!$C$21^2/2)*01_Inputs!$C$22+01_Inputs!$C$21*SQRT(01_Inputs!$C$22)*B1849)</f>
        <v>67.3834460612852</v>
      </c>
      <c r="D1849" s="78" t="n">
        <f aca="false">MAX(C1849-05_Unit_Economics!$B$21,0)</f>
        <v>29.4758405867818</v>
      </c>
      <c r="E1849" s="78" t="n">
        <f aca="false">D1849*EXP(-01_Inputs!$C$20*01_Inputs!$C$22)</f>
        <v>28.2070222993655</v>
      </c>
      <c r="F1849" s="80" t="n">
        <f aca="false">AVERAGE(E1848:E1849)</f>
        <v>16.7638290382181</v>
      </c>
    </row>
    <row r="1850" customFormat="false" ht="15" hidden="false" customHeight="false" outlineLevel="0" collapsed="false">
      <c r="A1850" s="76" t="n">
        <v>1839</v>
      </c>
      <c r="B1850" s="77" t="n">
        <v>-0.32221</v>
      </c>
      <c r="C1850" s="78" t="n">
        <f aca="false">05_Unit_Economics!$B$15*EXP((01_Inputs!$C$20-01_Inputs!$C$21^2/2)*01_Inputs!$C$22+01_Inputs!$C$21*SQRT(01_Inputs!$C$22)*B1850)</f>
        <v>48.3484338940763</v>
      </c>
      <c r="D1850" s="78" t="n">
        <f aca="false">MAX(C1850-05_Unit_Economics!$B$21,0)</f>
        <v>10.4408284195728</v>
      </c>
      <c r="E1850" s="78" t="n">
        <f aca="false">D1850*EXP(-01_Inputs!$C$20*01_Inputs!$C$22)</f>
        <v>9.99139207540726</v>
      </c>
      <c r="F1850" s="79"/>
    </row>
    <row r="1851" customFormat="false" ht="15" hidden="false" customHeight="false" outlineLevel="0" collapsed="false">
      <c r="A1851" s="76" t="n">
        <v>1840</v>
      </c>
      <c r="B1851" s="77" t="n">
        <v>0.32221</v>
      </c>
      <c r="C1851" s="78" t="n">
        <f aca="false">05_Unit_Economics!$B$15*EXP((01_Inputs!$C$20-01_Inputs!$C$21^2/2)*01_Inputs!$C$22+01_Inputs!$C$21*SQRT(01_Inputs!$C$22)*B1851)</f>
        <v>60.5809707873395</v>
      </c>
      <c r="D1851" s="78" t="n">
        <f aca="false">MAX(C1851-05_Unit_Economics!$B$21,0)</f>
        <v>22.6733653128361</v>
      </c>
      <c r="E1851" s="78" t="n">
        <f aca="false">D1851*EXP(-01_Inputs!$C$20*01_Inputs!$C$22)</f>
        <v>21.6973666653506</v>
      </c>
      <c r="F1851" s="80" t="n">
        <f aca="false">AVERAGE(E1850:E1851)</f>
        <v>15.8443793703789</v>
      </c>
    </row>
    <row r="1852" customFormat="false" ht="15" hidden="false" customHeight="false" outlineLevel="0" collapsed="false">
      <c r="A1852" s="76" t="n">
        <v>1841</v>
      </c>
      <c r="B1852" s="77" t="n">
        <v>0.415518</v>
      </c>
      <c r="C1852" s="78" t="n">
        <f aca="false">05_Unit_Economics!$B$15*EXP((01_Inputs!$C$20-01_Inputs!$C$21^2/2)*01_Inputs!$C$22+01_Inputs!$C$21*SQRT(01_Inputs!$C$22)*B1852)</f>
        <v>62.5920723526473</v>
      </c>
      <c r="D1852" s="78" t="n">
        <f aca="false">MAX(C1852-05_Unit_Economics!$B$21,0)</f>
        <v>24.6844668781438</v>
      </c>
      <c r="E1852" s="78" t="n">
        <f aca="false">D1852*EXP(-01_Inputs!$C$20*01_Inputs!$C$22)</f>
        <v>23.6218982671521</v>
      </c>
      <c r="F1852" s="79"/>
    </row>
    <row r="1853" customFormat="false" ht="15" hidden="false" customHeight="false" outlineLevel="0" collapsed="false">
      <c r="A1853" s="76" t="n">
        <v>1842</v>
      </c>
      <c r="B1853" s="77" t="n">
        <v>-0.415518</v>
      </c>
      <c r="C1853" s="78" t="n">
        <f aca="false">05_Unit_Economics!$B$15*EXP((01_Inputs!$C$20-01_Inputs!$C$21^2/2)*01_Inputs!$C$22+01_Inputs!$C$21*SQRT(01_Inputs!$C$22)*B1853)</f>
        <v>46.7949845924341</v>
      </c>
      <c r="D1853" s="78" t="n">
        <f aca="false">MAX(C1853-05_Unit_Economics!$B$21,0)</f>
        <v>8.88737911793066</v>
      </c>
      <c r="E1853" s="78" t="n">
        <f aca="false">D1853*EXP(-01_Inputs!$C$20*01_Inputs!$C$22)</f>
        <v>8.50481261846706</v>
      </c>
      <c r="F1853" s="80" t="n">
        <f aca="false">AVERAGE(E1852:E1853)</f>
        <v>16.0633554428096</v>
      </c>
    </row>
    <row r="1854" customFormat="false" ht="15" hidden="false" customHeight="false" outlineLevel="0" collapsed="false">
      <c r="A1854" s="76" t="n">
        <v>1843</v>
      </c>
      <c r="B1854" s="77" t="n">
        <v>-0.604166</v>
      </c>
      <c r="C1854" s="78" t="n">
        <f aca="false">05_Unit_Economics!$B$15*EXP((01_Inputs!$C$20-01_Inputs!$C$21^2/2)*01_Inputs!$C$22+01_Inputs!$C$21*SQRT(01_Inputs!$C$22)*B1854)</f>
        <v>43.8050553798128</v>
      </c>
      <c r="D1854" s="78" t="n">
        <f aca="false">MAX(C1854-05_Unit_Economics!$B$21,0)</f>
        <v>5.89744990530929</v>
      </c>
      <c r="E1854" s="78" t="n">
        <f aca="false">D1854*EXP(-01_Inputs!$C$20*01_Inputs!$C$22)</f>
        <v>5.64358802588477</v>
      </c>
      <c r="F1854" s="79"/>
    </row>
    <row r="1855" customFormat="false" ht="15" hidden="false" customHeight="false" outlineLevel="0" collapsed="false">
      <c r="A1855" s="76" t="n">
        <v>1844</v>
      </c>
      <c r="B1855" s="77" t="n">
        <v>0.604166</v>
      </c>
      <c r="C1855" s="78" t="n">
        <f aca="false">05_Unit_Economics!$B$15*EXP((01_Inputs!$C$20-01_Inputs!$C$21^2/2)*01_Inputs!$C$22+01_Inputs!$C$21*SQRT(01_Inputs!$C$22)*B1855)</f>
        <v>66.864315909539</v>
      </c>
      <c r="D1855" s="78" t="n">
        <f aca="false">MAX(C1855-05_Unit_Economics!$B$21,0)</f>
        <v>28.9567104350355</v>
      </c>
      <c r="E1855" s="78" t="n">
        <f aca="false">D1855*EXP(-01_Inputs!$C$20*01_Inputs!$C$22)</f>
        <v>27.7102386462083</v>
      </c>
      <c r="F1855" s="80" t="n">
        <f aca="false">AVERAGE(E1854:E1855)</f>
        <v>16.6769133360466</v>
      </c>
    </row>
    <row r="1856" customFormat="false" ht="15" hidden="false" customHeight="false" outlineLevel="0" collapsed="false">
      <c r="A1856" s="76" t="n">
        <v>1845</v>
      </c>
      <c r="B1856" s="77" t="n">
        <v>-1.929471</v>
      </c>
      <c r="C1856" s="78" t="n">
        <f aca="false">05_Unit_Economics!$B$15*EXP((01_Inputs!$C$20-01_Inputs!$C$21^2/2)*01_Inputs!$C$22+01_Inputs!$C$21*SQRT(01_Inputs!$C$22)*B1856)</f>
        <v>27.5469681447998</v>
      </c>
      <c r="D1856" s="78" t="n">
        <f aca="false">MAX(C1856-05_Unit_Economics!$B$21,0)</f>
        <v>0</v>
      </c>
      <c r="E1856" s="78" t="n">
        <f aca="false">D1856*EXP(-01_Inputs!$C$20*01_Inputs!$C$22)</f>
        <v>0</v>
      </c>
      <c r="F1856" s="79"/>
    </row>
    <row r="1857" customFormat="false" ht="15" hidden="false" customHeight="false" outlineLevel="0" collapsed="false">
      <c r="A1857" s="76" t="n">
        <v>1846</v>
      </c>
      <c r="B1857" s="77" t="n">
        <v>1.929471</v>
      </c>
      <c r="C1857" s="78" t="n">
        <f aca="false">05_Unit_Economics!$B$15*EXP((01_Inputs!$C$20-01_Inputs!$C$21^2/2)*01_Inputs!$C$22+01_Inputs!$C$21*SQRT(01_Inputs!$C$22)*B1857)</f>
        <v>106.327311446925</v>
      </c>
      <c r="D1857" s="78" t="n">
        <f aca="false">MAX(C1857-05_Unit_Economics!$B$21,0)</f>
        <v>68.4197059724217</v>
      </c>
      <c r="E1857" s="78" t="n">
        <f aca="false">D1857*EXP(-01_Inputs!$C$20*01_Inputs!$C$22)</f>
        <v>65.4745083994512</v>
      </c>
      <c r="F1857" s="80" t="n">
        <f aca="false">AVERAGE(E1856:E1857)</f>
        <v>32.7372541997256</v>
      </c>
    </row>
    <row r="1858" customFormat="false" ht="15" hidden="false" customHeight="false" outlineLevel="0" collapsed="false">
      <c r="A1858" s="76" t="n">
        <v>1847</v>
      </c>
      <c r="B1858" s="77" t="n">
        <v>0.347171</v>
      </c>
      <c r="C1858" s="78" t="n">
        <f aca="false">05_Unit_Economics!$B$15*EXP((01_Inputs!$C$20-01_Inputs!$C$21^2/2)*01_Inputs!$C$22+01_Inputs!$C$21*SQRT(01_Inputs!$C$22)*B1858)</f>
        <v>61.1125459839793</v>
      </c>
      <c r="D1858" s="78" t="n">
        <f aca="false">MAX(C1858-05_Unit_Economics!$B$21,0)</f>
        <v>23.2049405094758</v>
      </c>
      <c r="E1858" s="78" t="n">
        <f aca="false">D1858*EXP(-01_Inputs!$C$20*01_Inputs!$C$22)</f>
        <v>22.2060596534695</v>
      </c>
      <c r="F1858" s="79"/>
    </row>
    <row r="1859" customFormat="false" ht="15" hidden="false" customHeight="false" outlineLevel="0" collapsed="false">
      <c r="A1859" s="76" t="n">
        <v>1848</v>
      </c>
      <c r="B1859" s="77" t="n">
        <v>-0.347171</v>
      </c>
      <c r="C1859" s="78" t="n">
        <f aca="false">05_Unit_Economics!$B$15*EXP((01_Inputs!$C$20-01_Inputs!$C$21^2/2)*01_Inputs!$C$22+01_Inputs!$C$21*SQRT(01_Inputs!$C$22)*B1859)</f>
        <v>47.9278847606593</v>
      </c>
      <c r="D1859" s="78" t="n">
        <f aca="false">MAX(C1859-05_Unit_Economics!$B$21,0)</f>
        <v>10.0202792861558</v>
      </c>
      <c r="E1859" s="78" t="n">
        <f aca="false">D1859*EXP(-01_Inputs!$C$20*01_Inputs!$C$22)</f>
        <v>9.58894591787201</v>
      </c>
      <c r="F1859" s="80" t="n">
        <f aca="false">AVERAGE(E1858:E1859)</f>
        <v>15.8975027856708</v>
      </c>
    </row>
    <row r="1860" customFormat="false" ht="15" hidden="false" customHeight="false" outlineLevel="0" collapsed="false">
      <c r="A1860" s="76" t="n">
        <v>1849</v>
      </c>
      <c r="B1860" s="77" t="n">
        <v>0.784038</v>
      </c>
      <c r="C1860" s="78" t="n">
        <f aca="false">05_Unit_Economics!$B$15*EXP((01_Inputs!$C$20-01_Inputs!$C$21^2/2)*01_Inputs!$C$22+01_Inputs!$C$21*SQRT(01_Inputs!$C$22)*B1860)</f>
        <v>71.2091007913236</v>
      </c>
      <c r="D1860" s="78" t="n">
        <f aca="false">MAX(C1860-05_Unit_Economics!$B$21,0)</f>
        <v>33.3014953168201</v>
      </c>
      <c r="E1860" s="78" t="n">
        <f aca="false">D1860*EXP(-01_Inputs!$C$20*01_Inputs!$C$22)</f>
        <v>31.8679977332011</v>
      </c>
      <c r="F1860" s="79"/>
    </row>
    <row r="1861" customFormat="false" ht="15" hidden="false" customHeight="false" outlineLevel="0" collapsed="false">
      <c r="A1861" s="76" t="n">
        <v>1850</v>
      </c>
      <c r="B1861" s="77" t="n">
        <v>-0.784038</v>
      </c>
      <c r="C1861" s="78" t="n">
        <f aca="false">05_Unit_Economics!$B$15*EXP((01_Inputs!$C$20-01_Inputs!$C$21^2/2)*01_Inputs!$C$22+01_Inputs!$C$21*SQRT(01_Inputs!$C$22)*B1861)</f>
        <v>41.1323135498368</v>
      </c>
      <c r="D1861" s="78" t="n">
        <f aca="false">MAX(C1861-05_Unit_Economics!$B$21,0)</f>
        <v>3.22470807533333</v>
      </c>
      <c r="E1861" s="78" t="n">
        <f aca="false">D1861*EXP(-01_Inputs!$C$20*01_Inputs!$C$22)</f>
        <v>3.08589715438552</v>
      </c>
      <c r="F1861" s="80" t="n">
        <f aca="false">AVERAGE(E1860:E1861)</f>
        <v>17.4769474437933</v>
      </c>
    </row>
    <row r="1862" customFormat="false" ht="15" hidden="false" customHeight="false" outlineLevel="0" collapsed="false">
      <c r="A1862" s="76" t="n">
        <v>1851</v>
      </c>
      <c r="B1862" s="77" t="n">
        <v>0.618291</v>
      </c>
      <c r="C1862" s="78" t="n">
        <f aca="false">05_Unit_Economics!$B$15*EXP((01_Inputs!$C$20-01_Inputs!$C$21^2/2)*01_Inputs!$C$22+01_Inputs!$C$21*SQRT(01_Inputs!$C$22)*B1862)</f>
        <v>67.1956948236437</v>
      </c>
      <c r="D1862" s="78" t="n">
        <f aca="false">MAX(C1862-05_Unit_Economics!$B$21,0)</f>
        <v>29.2880893491402</v>
      </c>
      <c r="E1862" s="78" t="n">
        <f aca="false">D1862*EXP(-01_Inputs!$C$20*01_Inputs!$C$22)</f>
        <v>28.0273530094839</v>
      </c>
      <c r="F1862" s="79"/>
    </row>
    <row r="1863" customFormat="false" ht="15" hidden="false" customHeight="false" outlineLevel="0" collapsed="false">
      <c r="A1863" s="76" t="n">
        <v>1852</v>
      </c>
      <c r="B1863" s="77" t="n">
        <v>-0.618291</v>
      </c>
      <c r="C1863" s="78" t="n">
        <f aca="false">05_Unit_Economics!$B$15*EXP((01_Inputs!$C$20-01_Inputs!$C$21^2/2)*01_Inputs!$C$22+01_Inputs!$C$21*SQRT(01_Inputs!$C$22)*B1863)</f>
        <v>43.5890285685393</v>
      </c>
      <c r="D1863" s="78" t="n">
        <f aca="false">MAX(C1863-05_Unit_Economics!$B$21,0)</f>
        <v>5.68142309403584</v>
      </c>
      <c r="E1863" s="78" t="n">
        <f aca="false">D1863*EXP(-01_Inputs!$C$20*01_Inputs!$C$22)</f>
        <v>5.43686031391635</v>
      </c>
      <c r="F1863" s="80" t="n">
        <f aca="false">AVERAGE(E1862:E1863)</f>
        <v>16.7321066617001</v>
      </c>
    </row>
    <row r="1864" customFormat="false" ht="15" hidden="false" customHeight="false" outlineLevel="0" collapsed="false">
      <c r="A1864" s="76" t="n">
        <v>1853</v>
      </c>
      <c r="B1864" s="77" t="n">
        <v>0.767685</v>
      </c>
      <c r="C1864" s="78" t="n">
        <f aca="false">05_Unit_Economics!$B$15*EXP((01_Inputs!$C$20-01_Inputs!$C$21^2/2)*01_Inputs!$C$22+01_Inputs!$C$21*SQRT(01_Inputs!$C$22)*B1864)</f>
        <v>70.8026960907526</v>
      </c>
      <c r="D1864" s="78" t="n">
        <f aca="false">MAX(C1864-05_Unit_Economics!$B$21,0)</f>
        <v>32.8950906162491</v>
      </c>
      <c r="E1864" s="78" t="n">
        <f aca="false">D1864*EXP(-01_Inputs!$C$20*01_Inputs!$C$22)</f>
        <v>31.479087146654</v>
      </c>
      <c r="F1864" s="79"/>
    </row>
    <row r="1865" customFormat="false" ht="15" hidden="false" customHeight="false" outlineLevel="0" collapsed="false">
      <c r="A1865" s="76" t="n">
        <v>1854</v>
      </c>
      <c r="B1865" s="77" t="n">
        <v>-0.767685</v>
      </c>
      <c r="C1865" s="78" t="n">
        <f aca="false">05_Unit_Economics!$B$15*EXP((01_Inputs!$C$20-01_Inputs!$C$21^2/2)*01_Inputs!$C$22+01_Inputs!$C$21*SQRT(01_Inputs!$C$22)*B1865)</f>
        <v>41.3684114175026</v>
      </c>
      <c r="D1865" s="78" t="n">
        <f aca="false">MAX(C1865-05_Unit_Economics!$B$21,0)</f>
        <v>3.4608059429991</v>
      </c>
      <c r="E1865" s="78" t="n">
        <f aca="false">D1865*EXP(-01_Inputs!$C$20*01_Inputs!$C$22)</f>
        <v>3.31183194319923</v>
      </c>
      <c r="F1865" s="80" t="n">
        <f aca="false">AVERAGE(E1864:E1865)</f>
        <v>17.3954595449266</v>
      </c>
    </row>
    <row r="1866" customFormat="false" ht="15" hidden="false" customHeight="false" outlineLevel="0" collapsed="false">
      <c r="A1866" s="76" t="n">
        <v>1855</v>
      </c>
      <c r="B1866" s="77" t="n">
        <v>0.078036</v>
      </c>
      <c r="C1866" s="78" t="n">
        <f aca="false">05_Unit_Economics!$B$15*EXP((01_Inputs!$C$20-01_Inputs!$C$21^2/2)*01_Inputs!$C$22+01_Inputs!$C$21*SQRT(01_Inputs!$C$22)*B1866)</f>
        <v>55.6187252902334</v>
      </c>
      <c r="D1866" s="78" t="n">
        <f aca="false">MAX(C1866-05_Unit_Economics!$B$21,0)</f>
        <v>17.7111198157299</v>
      </c>
      <c r="E1866" s="78" t="n">
        <f aca="false">D1866*EXP(-01_Inputs!$C$20*01_Inputs!$C$22)</f>
        <v>16.9487261989421</v>
      </c>
      <c r="F1866" s="79"/>
    </row>
    <row r="1867" customFormat="false" ht="15" hidden="false" customHeight="false" outlineLevel="0" collapsed="false">
      <c r="A1867" s="76" t="n">
        <v>1856</v>
      </c>
      <c r="B1867" s="77" t="n">
        <v>-0.078036</v>
      </c>
      <c r="C1867" s="78" t="n">
        <f aca="false">05_Unit_Economics!$B$15*EXP((01_Inputs!$C$20-01_Inputs!$C$21^2/2)*01_Inputs!$C$22+01_Inputs!$C$21*SQRT(01_Inputs!$C$22)*B1867)</f>
        <v>52.6620314663159</v>
      </c>
      <c r="D1867" s="78" t="n">
        <f aca="false">MAX(C1867-05_Unit_Economics!$B$21,0)</f>
        <v>14.7544259918124</v>
      </c>
      <c r="E1867" s="78" t="n">
        <f aca="false">D1867*EXP(-01_Inputs!$C$20*01_Inputs!$C$22)</f>
        <v>14.1193063431081</v>
      </c>
      <c r="F1867" s="80" t="n">
        <f aca="false">AVERAGE(E1866:E1867)</f>
        <v>15.5340162710251</v>
      </c>
    </row>
    <row r="1868" customFormat="false" ht="15" hidden="false" customHeight="false" outlineLevel="0" collapsed="false">
      <c r="A1868" s="76" t="n">
        <v>1857</v>
      </c>
      <c r="B1868" s="77" t="n">
        <v>-0.152577</v>
      </c>
      <c r="C1868" s="78" t="n">
        <f aca="false">05_Unit_Economics!$B$15*EXP((01_Inputs!$C$20-01_Inputs!$C$21^2/2)*01_Inputs!$C$22+01_Inputs!$C$21*SQRT(01_Inputs!$C$22)*B1868)</f>
        <v>51.3058807624612</v>
      </c>
      <c r="D1868" s="78" t="n">
        <f aca="false">MAX(C1868-05_Unit_Economics!$B$21,0)</f>
        <v>13.3982752879577</v>
      </c>
      <c r="E1868" s="78" t="n">
        <f aca="false">D1868*EXP(-01_Inputs!$C$20*01_Inputs!$C$22)</f>
        <v>12.8215325601245</v>
      </c>
      <c r="F1868" s="79"/>
    </row>
    <row r="1869" customFormat="false" ht="15" hidden="false" customHeight="false" outlineLevel="0" collapsed="false">
      <c r="A1869" s="76" t="n">
        <v>1858</v>
      </c>
      <c r="B1869" s="77" t="n">
        <v>0.152577</v>
      </c>
      <c r="C1869" s="78" t="n">
        <f aca="false">05_Unit_Economics!$B$15*EXP((01_Inputs!$C$20-01_Inputs!$C$21^2/2)*01_Inputs!$C$22+01_Inputs!$C$21*SQRT(01_Inputs!$C$22)*B1869)</f>
        <v>57.0888759304509</v>
      </c>
      <c r="D1869" s="78" t="n">
        <f aca="false">MAX(C1869-05_Unit_Economics!$B$21,0)</f>
        <v>19.1812704559474</v>
      </c>
      <c r="E1869" s="78" t="n">
        <f aca="false">D1869*EXP(-01_Inputs!$C$20*01_Inputs!$C$22)</f>
        <v>18.3555926721797</v>
      </c>
      <c r="F1869" s="80" t="n">
        <f aca="false">AVERAGE(E1868:E1869)</f>
        <v>15.5885626161521</v>
      </c>
    </row>
    <row r="1870" customFormat="false" ht="15" hidden="false" customHeight="false" outlineLevel="0" collapsed="false">
      <c r="A1870" s="76" t="n">
        <v>1859</v>
      </c>
      <c r="B1870" s="77" t="n">
        <v>-1.317781</v>
      </c>
      <c r="C1870" s="78" t="n">
        <f aca="false">05_Unit_Economics!$B$15*EXP((01_Inputs!$C$20-01_Inputs!$C$21^2/2)*01_Inputs!$C$22+01_Inputs!$C$21*SQRT(01_Inputs!$C$22)*B1870)</f>
        <v>34.1234209652003</v>
      </c>
      <c r="D1870" s="78" t="n">
        <f aca="false">MAX(C1870-05_Unit_Economics!$B$21,0)</f>
        <v>0</v>
      </c>
      <c r="E1870" s="78" t="n">
        <f aca="false">D1870*EXP(-01_Inputs!$C$20*01_Inputs!$C$22)</f>
        <v>0</v>
      </c>
      <c r="F1870" s="79"/>
    </row>
    <row r="1871" customFormat="false" ht="15" hidden="false" customHeight="false" outlineLevel="0" collapsed="false">
      <c r="A1871" s="76" t="n">
        <v>1860</v>
      </c>
      <c r="B1871" s="77" t="n">
        <v>1.317781</v>
      </c>
      <c r="C1871" s="78" t="n">
        <f aca="false">05_Unit_Economics!$B$15*EXP((01_Inputs!$C$20-01_Inputs!$C$21^2/2)*01_Inputs!$C$22+01_Inputs!$C$21*SQRT(01_Inputs!$C$22)*B1871)</f>
        <v>85.8353288885571</v>
      </c>
      <c r="D1871" s="78" t="n">
        <f aca="false">MAX(C1871-05_Unit_Economics!$B$21,0)</f>
        <v>47.9277234140536</v>
      </c>
      <c r="E1871" s="78" t="n">
        <f aca="false">D1871*EXP(-01_Inputs!$C$20*01_Inputs!$C$22)</f>
        <v>45.8646245937522</v>
      </c>
      <c r="F1871" s="80" t="n">
        <f aca="false">AVERAGE(E1870:E1871)</f>
        <v>22.9323122968761</v>
      </c>
    </row>
    <row r="1872" customFormat="false" ht="15" hidden="false" customHeight="false" outlineLevel="0" collapsed="false">
      <c r="A1872" s="76" t="n">
        <v>1861</v>
      </c>
      <c r="B1872" s="77" t="n">
        <v>-0.108705</v>
      </c>
      <c r="C1872" s="78" t="n">
        <f aca="false">05_Unit_Economics!$B$15*EXP((01_Inputs!$C$20-01_Inputs!$C$21^2/2)*01_Inputs!$C$22+01_Inputs!$C$21*SQRT(01_Inputs!$C$22)*B1872)</f>
        <v>52.0997724065015</v>
      </c>
      <c r="D1872" s="78" t="n">
        <f aca="false">MAX(C1872-05_Unit_Economics!$B$21,0)</f>
        <v>14.192166931998</v>
      </c>
      <c r="E1872" s="78" t="n">
        <f aca="false">D1872*EXP(-01_Inputs!$C$20*01_Inputs!$C$22)</f>
        <v>13.5812503106936</v>
      </c>
      <c r="F1872" s="79"/>
    </row>
    <row r="1873" customFormat="false" ht="15" hidden="false" customHeight="false" outlineLevel="0" collapsed="false">
      <c r="A1873" s="76" t="n">
        <v>1862</v>
      </c>
      <c r="B1873" s="77" t="n">
        <v>0.108705</v>
      </c>
      <c r="C1873" s="78" t="n">
        <f aca="false">05_Unit_Economics!$B$15*EXP((01_Inputs!$C$20-01_Inputs!$C$21^2/2)*01_Inputs!$C$22+01_Inputs!$C$21*SQRT(01_Inputs!$C$22)*B1873)</f>
        <v>56.2189607758276</v>
      </c>
      <c r="D1873" s="78" t="n">
        <f aca="false">MAX(C1873-05_Unit_Economics!$B$21,0)</f>
        <v>18.3113553013241</v>
      </c>
      <c r="E1873" s="78" t="n">
        <f aca="false">D1873*EXP(-01_Inputs!$C$20*01_Inputs!$C$22)</f>
        <v>17.5231239222972</v>
      </c>
      <c r="F1873" s="80" t="n">
        <f aca="false">AVERAGE(E1872:E1873)</f>
        <v>15.5521871164954</v>
      </c>
    </row>
    <row r="1874" customFormat="false" ht="15" hidden="false" customHeight="false" outlineLevel="0" collapsed="false">
      <c r="A1874" s="76" t="n">
        <v>1863</v>
      </c>
      <c r="B1874" s="77" t="n">
        <v>-0.331183</v>
      </c>
      <c r="C1874" s="78" t="n">
        <f aca="false">05_Unit_Economics!$B$15*EXP((01_Inputs!$C$20-01_Inputs!$C$21^2/2)*01_Inputs!$C$22+01_Inputs!$C$21*SQRT(01_Inputs!$C$22)*B1874)</f>
        <v>48.1968314022184</v>
      </c>
      <c r="D1874" s="78" t="n">
        <f aca="false">MAX(C1874-05_Unit_Economics!$B$21,0)</f>
        <v>10.289225927715</v>
      </c>
      <c r="E1874" s="78" t="n">
        <f aca="false">D1874*EXP(-01_Inputs!$C$20*01_Inputs!$C$22)</f>
        <v>9.84631547086111</v>
      </c>
      <c r="F1874" s="79"/>
    </row>
    <row r="1875" customFormat="false" ht="15" hidden="false" customHeight="false" outlineLevel="0" collapsed="false">
      <c r="A1875" s="76" t="n">
        <v>1864</v>
      </c>
      <c r="B1875" s="77" t="n">
        <v>0.331183</v>
      </c>
      <c r="C1875" s="78" t="n">
        <f aca="false">05_Unit_Economics!$B$15*EXP((01_Inputs!$C$20-01_Inputs!$C$21^2/2)*01_Inputs!$C$22+01_Inputs!$C$21*SQRT(01_Inputs!$C$22)*B1875)</f>
        <v>60.7715274248472</v>
      </c>
      <c r="D1875" s="78" t="n">
        <f aca="false">MAX(C1875-05_Unit_Economics!$B$21,0)</f>
        <v>22.8639219503437</v>
      </c>
      <c r="E1875" s="78" t="n">
        <f aca="false">D1875*EXP(-01_Inputs!$C$20*01_Inputs!$C$22)</f>
        <v>21.8797205937363</v>
      </c>
      <c r="F1875" s="80" t="n">
        <f aca="false">AVERAGE(E1874:E1875)</f>
        <v>15.8630180322987</v>
      </c>
    </row>
    <row r="1876" customFormat="false" ht="15" hidden="false" customHeight="false" outlineLevel="0" collapsed="false">
      <c r="A1876" s="76" t="n">
        <v>1865</v>
      </c>
      <c r="B1876" s="77" t="n">
        <v>0.584568</v>
      </c>
      <c r="C1876" s="78" t="n">
        <f aca="false">05_Unit_Economics!$B$15*EXP((01_Inputs!$C$20-01_Inputs!$C$21^2/2)*01_Inputs!$C$22+01_Inputs!$C$21*SQRT(01_Inputs!$C$22)*B1876)</f>
        <v>66.4072428999735</v>
      </c>
      <c r="D1876" s="78" t="n">
        <f aca="false">MAX(C1876-05_Unit_Economics!$B$21,0)</f>
        <v>28.4996374254701</v>
      </c>
      <c r="E1876" s="78" t="n">
        <f aca="false">D1876*EXP(-01_Inputs!$C$20*01_Inputs!$C$22)</f>
        <v>27.2728408208505</v>
      </c>
      <c r="F1876" s="79"/>
    </row>
    <row r="1877" customFormat="false" ht="15" hidden="false" customHeight="false" outlineLevel="0" collapsed="false">
      <c r="A1877" s="76" t="n">
        <v>1866</v>
      </c>
      <c r="B1877" s="77" t="n">
        <v>-0.584568</v>
      </c>
      <c r="C1877" s="78" t="n">
        <f aca="false">05_Unit_Economics!$B$15*EXP((01_Inputs!$C$20-01_Inputs!$C$21^2/2)*01_Inputs!$C$22+01_Inputs!$C$21*SQRT(01_Inputs!$C$22)*B1877)</f>
        <v>44.1065602702777</v>
      </c>
      <c r="D1877" s="78" t="n">
        <f aca="false">MAX(C1877-05_Unit_Economics!$B$21,0)</f>
        <v>6.19895479577421</v>
      </c>
      <c r="E1877" s="78" t="n">
        <f aca="false">D1877*EXP(-01_Inputs!$C$20*01_Inputs!$C$22)</f>
        <v>5.93211432401266</v>
      </c>
      <c r="F1877" s="80" t="n">
        <f aca="false">AVERAGE(E1876:E1877)</f>
        <v>16.6024775724316</v>
      </c>
    </row>
    <row r="1878" customFormat="false" ht="15" hidden="false" customHeight="false" outlineLevel="0" collapsed="false">
      <c r="A1878" s="76" t="n">
        <v>1867</v>
      </c>
      <c r="B1878" s="77" t="n">
        <v>0.935674</v>
      </c>
      <c r="C1878" s="78" t="n">
        <f aca="false">05_Unit_Economics!$B$15*EXP((01_Inputs!$C$20-01_Inputs!$C$21^2/2)*01_Inputs!$C$22+01_Inputs!$C$21*SQRT(01_Inputs!$C$22)*B1878)</f>
        <v>75.0904382445932</v>
      </c>
      <c r="D1878" s="78" t="n">
        <f aca="false">MAX(C1878-05_Unit_Economics!$B$21,0)</f>
        <v>37.1828327700898</v>
      </c>
      <c r="E1878" s="78" t="n">
        <f aca="false">D1878*EXP(-01_Inputs!$C$20*01_Inputs!$C$22)</f>
        <v>35.5822589693959</v>
      </c>
      <c r="F1878" s="79"/>
    </row>
    <row r="1879" customFormat="false" ht="15" hidden="false" customHeight="false" outlineLevel="0" collapsed="false">
      <c r="A1879" s="76" t="n">
        <v>1868</v>
      </c>
      <c r="B1879" s="77" t="n">
        <v>-0.935674</v>
      </c>
      <c r="C1879" s="78" t="n">
        <f aca="false">05_Unit_Economics!$B$15*EXP((01_Inputs!$C$20-01_Inputs!$C$21^2/2)*01_Inputs!$C$22+01_Inputs!$C$21*SQRT(01_Inputs!$C$22)*B1879)</f>
        <v>39.0062320825721</v>
      </c>
      <c r="D1879" s="78" t="n">
        <f aca="false">MAX(C1879-05_Unit_Economics!$B$21,0)</f>
        <v>1.09862660806863</v>
      </c>
      <c r="E1879" s="78" t="n">
        <f aca="false">D1879*EXP(-01_Inputs!$C$20*01_Inputs!$C$22)</f>
        <v>1.05133508037646</v>
      </c>
      <c r="F1879" s="80" t="n">
        <f aca="false">AVERAGE(E1878:E1879)</f>
        <v>18.3167970248862</v>
      </c>
    </row>
    <row r="1880" customFormat="false" ht="15" hidden="false" customHeight="false" outlineLevel="0" collapsed="false">
      <c r="A1880" s="76" t="n">
        <v>1869</v>
      </c>
      <c r="B1880" s="77" t="n">
        <v>-0.560973</v>
      </c>
      <c r="C1880" s="78" t="n">
        <f aca="false">05_Unit_Economics!$B$15*EXP((01_Inputs!$C$20-01_Inputs!$C$21^2/2)*01_Inputs!$C$22+01_Inputs!$C$21*SQRT(01_Inputs!$C$22)*B1880)</f>
        <v>44.4723114252238</v>
      </c>
      <c r="D1880" s="78" t="n">
        <f aca="false">MAX(C1880-05_Unit_Economics!$B$21,0)</f>
        <v>6.56470595072037</v>
      </c>
      <c r="E1880" s="78" t="n">
        <f aca="false">D1880*EXP(-01_Inputs!$C$20*01_Inputs!$C$22)</f>
        <v>6.28212133918871</v>
      </c>
      <c r="F1880" s="79"/>
    </row>
    <row r="1881" customFormat="false" ht="15" hidden="false" customHeight="false" outlineLevel="0" collapsed="false">
      <c r="A1881" s="76" t="n">
        <v>1870</v>
      </c>
      <c r="B1881" s="77" t="n">
        <v>0.560973</v>
      </c>
      <c r="C1881" s="78" t="n">
        <f aca="false">05_Unit_Economics!$B$15*EXP((01_Inputs!$C$20-01_Inputs!$C$21^2/2)*01_Inputs!$C$22+01_Inputs!$C$21*SQRT(01_Inputs!$C$22)*B1881)</f>
        <v>65.8610935092837</v>
      </c>
      <c r="D1881" s="78" t="n">
        <f aca="false">MAX(C1881-05_Unit_Economics!$B$21,0)</f>
        <v>27.9534880347802</v>
      </c>
      <c r="E1881" s="78" t="n">
        <f aca="false">D1881*EXP(-01_Inputs!$C$20*01_Inputs!$C$22)</f>
        <v>26.7502010000584</v>
      </c>
      <c r="F1881" s="80" t="n">
        <f aca="false">AVERAGE(E1880:E1881)</f>
        <v>16.5161611696235</v>
      </c>
    </row>
    <row r="1882" customFormat="false" ht="15" hidden="false" customHeight="false" outlineLevel="0" collapsed="false">
      <c r="A1882" s="76" t="n">
        <v>1871</v>
      </c>
      <c r="B1882" s="77" t="n">
        <v>-0.104901</v>
      </c>
      <c r="C1882" s="78" t="n">
        <f aca="false">05_Unit_Economics!$B$15*EXP((01_Inputs!$C$20-01_Inputs!$C$21^2/2)*01_Inputs!$C$22+01_Inputs!$C$21*SQRT(01_Inputs!$C$22)*B1882)</f>
        <v>52.1691842406881</v>
      </c>
      <c r="D1882" s="78" t="n">
        <f aca="false">MAX(C1882-05_Unit_Economics!$B$21,0)</f>
        <v>14.2615787661846</v>
      </c>
      <c r="E1882" s="78" t="n">
        <f aca="false">D1882*EXP(-01_Inputs!$C$20*01_Inputs!$C$22)</f>
        <v>13.647674240114</v>
      </c>
      <c r="F1882" s="79"/>
    </row>
    <row r="1883" customFormat="false" ht="15" hidden="false" customHeight="false" outlineLevel="0" collapsed="false">
      <c r="A1883" s="76" t="n">
        <v>1872</v>
      </c>
      <c r="B1883" s="77" t="n">
        <v>0.104901</v>
      </c>
      <c r="C1883" s="78" t="n">
        <f aca="false">05_Unit_Economics!$B$15*EXP((01_Inputs!$C$20-01_Inputs!$C$21^2/2)*01_Inputs!$C$22+01_Inputs!$C$21*SQRT(01_Inputs!$C$22)*B1883)</f>
        <v>56.1441606569392</v>
      </c>
      <c r="D1883" s="78" t="n">
        <f aca="false">MAX(C1883-05_Unit_Economics!$B$21,0)</f>
        <v>18.2365551824357</v>
      </c>
      <c r="E1883" s="78" t="n">
        <f aca="false">D1883*EXP(-01_Inputs!$C$20*01_Inputs!$C$22)</f>
        <v>17.4515436525074</v>
      </c>
      <c r="F1883" s="80" t="n">
        <f aca="false">AVERAGE(E1882:E1883)</f>
        <v>15.5496089463107</v>
      </c>
    </row>
    <row r="1884" customFormat="false" ht="15" hidden="false" customHeight="false" outlineLevel="0" collapsed="false">
      <c r="A1884" s="76" t="n">
        <v>1873</v>
      </c>
      <c r="B1884" s="77" t="n">
        <v>-0.221318</v>
      </c>
      <c r="C1884" s="78" t="n">
        <f aca="false">05_Unit_Economics!$B$15*EXP((01_Inputs!$C$20-01_Inputs!$C$21^2/2)*01_Inputs!$C$22+01_Inputs!$C$21*SQRT(01_Inputs!$C$22)*B1884)</f>
        <v>50.0862255092359</v>
      </c>
      <c r="D1884" s="78" t="n">
        <f aca="false">MAX(C1884-05_Unit_Economics!$B$21,0)</f>
        <v>12.1786200347325</v>
      </c>
      <c r="E1884" s="78" t="n">
        <f aca="false">D1884*EXP(-01_Inputs!$C$20*01_Inputs!$C$22)</f>
        <v>11.6543786387978</v>
      </c>
      <c r="F1884" s="79"/>
    </row>
    <row r="1885" customFormat="false" ht="15" hidden="false" customHeight="false" outlineLevel="0" collapsed="false">
      <c r="A1885" s="76" t="n">
        <v>1874</v>
      </c>
      <c r="B1885" s="77" t="n">
        <v>0.221318</v>
      </c>
      <c r="C1885" s="78" t="n">
        <f aca="false">05_Unit_Economics!$B$15*EXP((01_Inputs!$C$20-01_Inputs!$C$21^2/2)*01_Inputs!$C$22+01_Inputs!$C$21*SQRT(01_Inputs!$C$22)*B1885)</f>
        <v>58.4790535036533</v>
      </c>
      <c r="D1885" s="78" t="n">
        <f aca="false">MAX(C1885-05_Unit_Economics!$B$21,0)</f>
        <v>20.5714480291498</v>
      </c>
      <c r="E1885" s="78" t="n">
        <f aca="false">D1885*EXP(-01_Inputs!$C$20*01_Inputs!$C$22)</f>
        <v>19.685928602446</v>
      </c>
      <c r="F1885" s="80" t="n">
        <f aca="false">AVERAGE(E1884:E1885)</f>
        <v>15.6701536206219</v>
      </c>
    </row>
    <row r="1886" customFormat="false" ht="15" hidden="false" customHeight="false" outlineLevel="0" collapsed="false">
      <c r="A1886" s="76" t="n">
        <v>1875</v>
      </c>
      <c r="B1886" s="77" t="n">
        <v>-0.03168</v>
      </c>
      <c r="C1886" s="78" t="n">
        <f aca="false">05_Unit_Economics!$B$15*EXP((01_Inputs!$C$20-01_Inputs!$C$21^2/2)*01_Inputs!$C$22+01_Inputs!$C$21*SQRT(01_Inputs!$C$22)*B1886)</f>
        <v>53.5234208150994</v>
      </c>
      <c r="D1886" s="78" t="n">
        <f aca="false">MAX(C1886-05_Unit_Economics!$B$21,0)</f>
        <v>15.6158153405959</v>
      </c>
      <c r="E1886" s="78" t="n">
        <f aca="false">D1886*EXP(-01_Inputs!$C$20*01_Inputs!$C$22)</f>
        <v>14.9436162893515</v>
      </c>
      <c r="F1886" s="79"/>
    </row>
    <row r="1887" customFormat="false" ht="15" hidden="false" customHeight="false" outlineLevel="0" collapsed="false">
      <c r="A1887" s="76" t="n">
        <v>1876</v>
      </c>
      <c r="B1887" s="77" t="n">
        <v>0.03168</v>
      </c>
      <c r="C1887" s="78" t="n">
        <f aca="false">05_Unit_Economics!$B$15*EXP((01_Inputs!$C$20-01_Inputs!$C$21^2/2)*01_Inputs!$C$22+01_Inputs!$C$21*SQRT(01_Inputs!$C$22)*B1887)</f>
        <v>54.7236147605192</v>
      </c>
      <c r="D1887" s="78" t="n">
        <f aca="false">MAX(C1887-05_Unit_Economics!$B$21,0)</f>
        <v>16.8160092860157</v>
      </c>
      <c r="E1887" s="78" t="n">
        <f aca="false">D1887*EXP(-01_Inputs!$C$20*01_Inputs!$C$22)</f>
        <v>16.0921466351563</v>
      </c>
      <c r="F1887" s="80" t="n">
        <f aca="false">AVERAGE(E1886:E1887)</f>
        <v>15.5178814622539</v>
      </c>
    </row>
    <row r="1888" customFormat="false" ht="15" hidden="false" customHeight="false" outlineLevel="0" collapsed="false">
      <c r="A1888" s="76" t="n">
        <v>1877</v>
      </c>
      <c r="B1888" s="77" t="n">
        <v>0.041816</v>
      </c>
      <c r="C1888" s="78" t="n">
        <f aca="false">05_Unit_Economics!$B$15*EXP((01_Inputs!$C$20-01_Inputs!$C$21^2/2)*01_Inputs!$C$22+01_Inputs!$C$21*SQRT(01_Inputs!$C$22)*B1888)</f>
        <v>54.9180970249134</v>
      </c>
      <c r="D1888" s="78" t="n">
        <f aca="false">MAX(C1888-05_Unit_Economics!$B$21,0)</f>
        <v>17.01049155041</v>
      </c>
      <c r="E1888" s="78" t="n">
        <f aca="false">D1888*EXP(-01_Inputs!$C$20*01_Inputs!$C$22)</f>
        <v>16.2782572077266</v>
      </c>
      <c r="F1888" s="79"/>
    </row>
    <row r="1889" customFormat="false" ht="15" hidden="false" customHeight="false" outlineLevel="0" collapsed="false">
      <c r="A1889" s="76" t="n">
        <v>1878</v>
      </c>
      <c r="B1889" s="77" t="n">
        <v>-0.041816</v>
      </c>
      <c r="C1889" s="78" t="n">
        <f aca="false">05_Unit_Economics!$B$15*EXP((01_Inputs!$C$20-01_Inputs!$C$21^2/2)*01_Inputs!$C$22+01_Inputs!$C$21*SQRT(01_Inputs!$C$22)*B1889)</f>
        <v>53.3338775380713</v>
      </c>
      <c r="D1889" s="78" t="n">
        <f aca="false">MAX(C1889-05_Unit_Economics!$B$21,0)</f>
        <v>15.4262720635679</v>
      </c>
      <c r="E1889" s="78" t="n">
        <f aca="false">D1889*EXP(-01_Inputs!$C$20*01_Inputs!$C$22)</f>
        <v>14.7622321002872</v>
      </c>
      <c r="F1889" s="80" t="n">
        <f aca="false">AVERAGE(E1888:E1889)</f>
        <v>15.5202446540069</v>
      </c>
    </row>
    <row r="1890" customFormat="false" ht="15" hidden="false" customHeight="false" outlineLevel="0" collapsed="false">
      <c r="A1890" s="76" t="n">
        <v>1879</v>
      </c>
      <c r="B1890" s="77" t="n">
        <v>0.95433</v>
      </c>
      <c r="C1890" s="78" t="n">
        <f aca="false">05_Unit_Economics!$B$15*EXP((01_Inputs!$C$20-01_Inputs!$C$21^2/2)*01_Inputs!$C$22+01_Inputs!$C$21*SQRT(01_Inputs!$C$22)*B1890)</f>
        <v>75.582353025774</v>
      </c>
      <c r="D1890" s="78" t="n">
        <f aca="false">MAX(C1890-05_Unit_Economics!$B$21,0)</f>
        <v>37.6747475512706</v>
      </c>
      <c r="E1890" s="78" t="n">
        <f aca="false">D1890*EXP(-01_Inputs!$C$20*01_Inputs!$C$22)</f>
        <v>36.0529987659863</v>
      </c>
      <c r="F1890" s="79"/>
    </row>
    <row r="1891" customFormat="false" ht="15" hidden="false" customHeight="false" outlineLevel="0" collapsed="false">
      <c r="A1891" s="76" t="n">
        <v>1880</v>
      </c>
      <c r="B1891" s="77" t="n">
        <v>-0.95433</v>
      </c>
      <c r="C1891" s="78" t="n">
        <f aca="false">05_Unit_Economics!$B$15*EXP((01_Inputs!$C$20-01_Inputs!$C$21^2/2)*01_Inputs!$C$22+01_Inputs!$C$21*SQRT(01_Inputs!$C$22)*B1891)</f>
        <v>38.7523667112063</v>
      </c>
      <c r="D1891" s="78" t="n">
        <f aca="false">MAX(C1891-05_Unit_Economics!$B$21,0)</f>
        <v>0.844761236702873</v>
      </c>
      <c r="E1891" s="78" t="n">
        <f aca="false">D1891*EXP(-01_Inputs!$C$20*01_Inputs!$C$22)</f>
        <v>0.808397608582639</v>
      </c>
      <c r="F1891" s="80" t="n">
        <f aca="false">AVERAGE(E1890:E1891)</f>
        <v>18.4306981872845</v>
      </c>
    </row>
    <row r="1892" customFormat="false" ht="15" hidden="false" customHeight="false" outlineLevel="0" collapsed="false">
      <c r="A1892" s="76" t="n">
        <v>1881</v>
      </c>
      <c r="B1892" s="77" t="n">
        <v>-1.240493</v>
      </c>
      <c r="C1892" s="78" t="n">
        <f aca="false">05_Unit_Economics!$B$15*EXP((01_Inputs!$C$20-01_Inputs!$C$21^2/2)*01_Inputs!$C$22+01_Inputs!$C$21*SQRT(01_Inputs!$C$22)*B1892)</f>
        <v>35.0590849760715</v>
      </c>
      <c r="D1892" s="78" t="n">
        <f aca="false">MAX(C1892-05_Unit_Economics!$B$21,0)</f>
        <v>0</v>
      </c>
      <c r="E1892" s="78" t="n">
        <f aca="false">D1892*EXP(-01_Inputs!$C$20*01_Inputs!$C$22)</f>
        <v>0</v>
      </c>
      <c r="F1892" s="79"/>
    </row>
    <row r="1893" customFormat="false" ht="15" hidden="false" customHeight="false" outlineLevel="0" collapsed="false">
      <c r="A1893" s="76" t="n">
        <v>1882</v>
      </c>
      <c r="B1893" s="77" t="n">
        <v>1.240493</v>
      </c>
      <c r="C1893" s="78" t="n">
        <f aca="false">05_Unit_Economics!$B$15*EXP((01_Inputs!$C$20-01_Inputs!$C$21^2/2)*01_Inputs!$C$22+01_Inputs!$C$21*SQRT(01_Inputs!$C$22)*B1893)</f>
        <v>83.544538123278</v>
      </c>
      <c r="D1893" s="78" t="n">
        <f aca="false">MAX(C1893-05_Unit_Economics!$B$21,0)</f>
        <v>45.6369326487745</v>
      </c>
      <c r="E1893" s="78" t="n">
        <f aca="false">D1893*EXP(-01_Inputs!$C$20*01_Inputs!$C$22)</f>
        <v>43.6724433051757</v>
      </c>
      <c r="F1893" s="80" t="n">
        <f aca="false">AVERAGE(E1892:E1893)</f>
        <v>21.8362216525878</v>
      </c>
    </row>
    <row r="1894" customFormat="false" ht="15" hidden="false" customHeight="false" outlineLevel="0" collapsed="false">
      <c r="A1894" s="76" t="n">
        <v>1883</v>
      </c>
      <c r="B1894" s="77" t="n">
        <v>0.528799</v>
      </c>
      <c r="C1894" s="78" t="n">
        <f aca="false">05_Unit_Economics!$B$15*EXP((01_Inputs!$C$20-01_Inputs!$C$21^2/2)*01_Inputs!$C$22+01_Inputs!$C$21*SQRT(01_Inputs!$C$22)*B1894)</f>
        <v>65.1235985432471</v>
      </c>
      <c r="D1894" s="78" t="n">
        <f aca="false">MAX(C1894-05_Unit_Economics!$B$21,0)</f>
        <v>27.2159930687436</v>
      </c>
      <c r="E1894" s="78" t="n">
        <f aca="false">D1894*EXP(-01_Inputs!$C$20*01_Inputs!$C$22)</f>
        <v>26.0444522736932</v>
      </c>
      <c r="F1894" s="79"/>
    </row>
    <row r="1895" customFormat="false" ht="15" hidden="false" customHeight="false" outlineLevel="0" collapsed="false">
      <c r="A1895" s="76" t="n">
        <v>1884</v>
      </c>
      <c r="B1895" s="77" t="n">
        <v>-0.528799</v>
      </c>
      <c r="C1895" s="78" t="n">
        <f aca="false">05_Unit_Economics!$B$15*EXP((01_Inputs!$C$20-01_Inputs!$C$21^2/2)*01_Inputs!$C$22+01_Inputs!$C$21*SQRT(01_Inputs!$C$22)*B1895)</f>
        <v>44.9759400105259</v>
      </c>
      <c r="D1895" s="78" t="n">
        <f aca="false">MAX(C1895-05_Unit_Economics!$B$21,0)</f>
        <v>7.0683345360224</v>
      </c>
      <c r="E1895" s="78" t="n">
        <f aca="false">D1895*EXP(-01_Inputs!$C$20*01_Inputs!$C$22)</f>
        <v>6.76407070699005</v>
      </c>
      <c r="F1895" s="80" t="n">
        <f aca="false">AVERAGE(E1894:E1895)</f>
        <v>16.4042614903416</v>
      </c>
    </row>
    <row r="1896" customFormat="false" ht="15" hidden="false" customHeight="false" outlineLevel="0" collapsed="false">
      <c r="A1896" s="76" t="n">
        <v>1885</v>
      </c>
      <c r="B1896" s="77" t="n">
        <v>-0.94455</v>
      </c>
      <c r="C1896" s="78" t="n">
        <f aca="false">05_Unit_Economics!$B$15*EXP((01_Inputs!$C$20-01_Inputs!$C$21^2/2)*01_Inputs!$C$22+01_Inputs!$C$21*SQRT(01_Inputs!$C$22)*B1896)</f>
        <v>38.8852433510858</v>
      </c>
      <c r="D1896" s="78" t="n">
        <f aca="false">MAX(C1896-05_Unit_Economics!$B$21,0)</f>
        <v>0.977637876582328</v>
      </c>
      <c r="E1896" s="78" t="n">
        <f aca="false">D1896*EXP(-01_Inputs!$C$20*01_Inputs!$C$22)</f>
        <v>0.935554434971005</v>
      </c>
      <c r="F1896" s="79"/>
    </row>
    <row r="1897" customFormat="false" ht="15" hidden="false" customHeight="false" outlineLevel="0" collapsed="false">
      <c r="A1897" s="76" t="n">
        <v>1886</v>
      </c>
      <c r="B1897" s="77" t="n">
        <v>0.94455</v>
      </c>
      <c r="C1897" s="78" t="n">
        <f aca="false">05_Unit_Economics!$B$15*EXP((01_Inputs!$C$20-01_Inputs!$C$21^2/2)*01_Inputs!$C$22+01_Inputs!$C$21*SQRT(01_Inputs!$C$22)*B1897)</f>
        <v>75.3240769231001</v>
      </c>
      <c r="D1897" s="78" t="n">
        <f aca="false">MAX(C1897-05_Unit_Economics!$B$21,0)</f>
        <v>37.4164714485966</v>
      </c>
      <c r="E1897" s="78" t="n">
        <f aca="false">D1897*EXP(-01_Inputs!$C$20*01_Inputs!$C$22)</f>
        <v>35.8058404274118</v>
      </c>
      <c r="F1897" s="80" t="n">
        <f aca="false">AVERAGE(E1896:E1897)</f>
        <v>18.3706974311914</v>
      </c>
    </row>
    <row r="1898" customFormat="false" ht="15" hidden="false" customHeight="false" outlineLevel="0" collapsed="false">
      <c r="A1898" s="76" t="n">
        <v>1887</v>
      </c>
      <c r="B1898" s="77" t="n">
        <v>-0.580941</v>
      </c>
      <c r="C1898" s="78" t="n">
        <f aca="false">05_Unit_Economics!$B$15*EXP((01_Inputs!$C$20-01_Inputs!$C$21^2/2)*01_Inputs!$C$22+01_Inputs!$C$21*SQRT(01_Inputs!$C$22)*B1898)</f>
        <v>44.1625868971896</v>
      </c>
      <c r="D1898" s="78" t="n">
        <f aca="false">MAX(C1898-05_Unit_Economics!$B$21,0)</f>
        <v>6.25498142268616</v>
      </c>
      <c r="E1898" s="78" t="n">
        <f aca="false">D1898*EXP(-01_Inputs!$C$20*01_Inputs!$C$22)</f>
        <v>5.98572922635991</v>
      </c>
      <c r="F1898" s="79"/>
    </row>
    <row r="1899" customFormat="false" ht="15" hidden="false" customHeight="false" outlineLevel="0" collapsed="false">
      <c r="A1899" s="76" t="n">
        <v>1888</v>
      </c>
      <c r="B1899" s="77" t="n">
        <v>0.580941</v>
      </c>
      <c r="C1899" s="78" t="n">
        <f aca="false">05_Unit_Economics!$B$15*EXP((01_Inputs!$C$20-01_Inputs!$C$21^2/2)*01_Inputs!$C$22+01_Inputs!$C$21*SQRT(01_Inputs!$C$22)*B1899)</f>
        <v>66.3229957105852</v>
      </c>
      <c r="D1899" s="78" t="n">
        <f aca="false">MAX(C1899-05_Unit_Economics!$B$21,0)</f>
        <v>28.4153902360817</v>
      </c>
      <c r="E1899" s="78" t="n">
        <f aca="false">D1899*EXP(-01_Inputs!$C$20*01_Inputs!$C$22)</f>
        <v>27.1922201395593</v>
      </c>
      <c r="F1899" s="80" t="n">
        <f aca="false">AVERAGE(E1898:E1899)</f>
        <v>16.5889746829596</v>
      </c>
    </row>
    <row r="1900" customFormat="false" ht="15" hidden="false" customHeight="false" outlineLevel="0" collapsed="false">
      <c r="A1900" s="76" t="n">
        <v>1889</v>
      </c>
      <c r="B1900" s="77" t="n">
        <v>0.126358</v>
      </c>
      <c r="C1900" s="78" t="n">
        <f aca="false">05_Unit_Economics!$B$15*EXP((01_Inputs!$C$20-01_Inputs!$C$21^2/2)*01_Inputs!$C$22+01_Inputs!$C$21*SQRT(01_Inputs!$C$22)*B1900)</f>
        <v>56.5673877141415</v>
      </c>
      <c r="D1900" s="78" t="n">
        <f aca="false">MAX(C1900-05_Unit_Economics!$B$21,0)</f>
        <v>18.6597822396381</v>
      </c>
      <c r="E1900" s="78" t="n">
        <f aca="false">D1900*EXP(-01_Inputs!$C$20*01_Inputs!$C$22)</f>
        <v>17.8565524598069</v>
      </c>
      <c r="F1900" s="79"/>
    </row>
    <row r="1901" customFormat="false" ht="15" hidden="false" customHeight="false" outlineLevel="0" collapsed="false">
      <c r="A1901" s="76" t="n">
        <v>1890</v>
      </c>
      <c r="B1901" s="77" t="n">
        <v>-0.126358</v>
      </c>
      <c r="C1901" s="78" t="n">
        <f aca="false">05_Unit_Economics!$B$15*EXP((01_Inputs!$C$20-01_Inputs!$C$21^2/2)*01_Inputs!$C$22+01_Inputs!$C$21*SQRT(01_Inputs!$C$22)*B1901)</f>
        <v>51.7788637536539</v>
      </c>
      <c r="D1901" s="78" t="n">
        <f aca="false">MAX(C1901-05_Unit_Economics!$B$21,0)</f>
        <v>13.8712582791505</v>
      </c>
      <c r="E1901" s="78" t="n">
        <f aca="false">D1901*EXP(-01_Inputs!$C$20*01_Inputs!$C$22)</f>
        <v>13.2741555053638</v>
      </c>
      <c r="F1901" s="80" t="n">
        <f aca="false">AVERAGE(E1900:E1901)</f>
        <v>15.5653539825854</v>
      </c>
    </row>
    <row r="1902" customFormat="false" ht="15" hidden="false" customHeight="false" outlineLevel="0" collapsed="false">
      <c r="A1902" s="76" t="n">
        <v>1891</v>
      </c>
      <c r="B1902" s="77" t="n">
        <v>-1.393517</v>
      </c>
      <c r="C1902" s="78" t="n">
        <f aca="false">05_Unit_Economics!$B$15*EXP((01_Inputs!$C$20-01_Inputs!$C$21^2/2)*01_Inputs!$C$22+01_Inputs!$C$21*SQRT(01_Inputs!$C$22)*B1902)</f>
        <v>33.2307742010932</v>
      </c>
      <c r="D1902" s="78" t="n">
        <f aca="false">MAX(C1902-05_Unit_Economics!$B$21,0)</f>
        <v>0</v>
      </c>
      <c r="E1902" s="78" t="n">
        <f aca="false">D1902*EXP(-01_Inputs!$C$20*01_Inputs!$C$22)</f>
        <v>0</v>
      </c>
      <c r="F1902" s="79"/>
    </row>
    <row r="1903" customFormat="false" ht="15" hidden="false" customHeight="false" outlineLevel="0" collapsed="false">
      <c r="A1903" s="76" t="n">
        <v>1892</v>
      </c>
      <c r="B1903" s="77" t="n">
        <v>1.393517</v>
      </c>
      <c r="C1903" s="78" t="n">
        <f aca="false">05_Unit_Economics!$B$15*EXP((01_Inputs!$C$20-01_Inputs!$C$21^2/2)*01_Inputs!$C$22+01_Inputs!$C$21*SQRT(01_Inputs!$C$22)*B1903)</f>
        <v>88.1410419036912</v>
      </c>
      <c r="D1903" s="78" t="n">
        <f aca="false">MAX(C1903-05_Unit_Economics!$B$21,0)</f>
        <v>50.2334364291877</v>
      </c>
      <c r="E1903" s="78" t="n">
        <f aca="false">D1903*EXP(-01_Inputs!$C$20*01_Inputs!$C$22)</f>
        <v>48.0710857883819</v>
      </c>
      <c r="F1903" s="80" t="n">
        <f aca="false">AVERAGE(E1902:E1903)</f>
        <v>24.0355428941909</v>
      </c>
    </row>
    <row r="1904" customFormat="false" ht="15" hidden="false" customHeight="false" outlineLevel="0" collapsed="false">
      <c r="A1904" s="76" t="n">
        <v>1893</v>
      </c>
      <c r="B1904" s="77" t="n">
        <v>-0.564898</v>
      </c>
      <c r="C1904" s="78" t="n">
        <f aca="false">05_Unit_Economics!$B$15*EXP((01_Inputs!$C$20-01_Inputs!$C$21^2/2)*01_Inputs!$C$22+01_Inputs!$C$21*SQRT(01_Inputs!$C$22)*B1904)</f>
        <v>44.411259532024</v>
      </c>
      <c r="D1904" s="78" t="n">
        <f aca="false">MAX(C1904-05_Unit_Economics!$B$21,0)</f>
        <v>6.50365405752048</v>
      </c>
      <c r="E1904" s="78" t="n">
        <f aca="false">D1904*EXP(-01_Inputs!$C$20*01_Inputs!$C$22)</f>
        <v>6.22369748837986</v>
      </c>
      <c r="F1904" s="79"/>
    </row>
    <row r="1905" customFormat="false" ht="15" hidden="false" customHeight="false" outlineLevel="0" collapsed="false">
      <c r="A1905" s="76" t="n">
        <v>1894</v>
      </c>
      <c r="B1905" s="77" t="n">
        <v>0.564898</v>
      </c>
      <c r="C1905" s="78" t="n">
        <f aca="false">05_Unit_Economics!$B$15*EXP((01_Inputs!$C$20-01_Inputs!$C$21^2/2)*01_Inputs!$C$22+01_Inputs!$C$21*SQRT(01_Inputs!$C$22)*B1905)</f>
        <v>65.9516323611273</v>
      </c>
      <c r="D1905" s="78" t="n">
        <f aca="false">MAX(C1905-05_Unit_Economics!$B$21,0)</f>
        <v>28.0440268866238</v>
      </c>
      <c r="E1905" s="78" t="n">
        <f aca="false">D1905*EXP(-01_Inputs!$C$20*01_Inputs!$C$22)</f>
        <v>26.8368425126352</v>
      </c>
      <c r="F1905" s="80" t="n">
        <f aca="false">AVERAGE(E1904:E1905)</f>
        <v>16.5302700005075</v>
      </c>
    </row>
    <row r="1906" customFormat="false" ht="15" hidden="false" customHeight="false" outlineLevel="0" collapsed="false">
      <c r="A1906" s="76" t="n">
        <v>1895</v>
      </c>
      <c r="B1906" s="77" t="n">
        <v>-0.810647</v>
      </c>
      <c r="C1906" s="78" t="n">
        <f aca="false">05_Unit_Economics!$B$15*EXP((01_Inputs!$C$20-01_Inputs!$C$21^2/2)*01_Inputs!$C$22+01_Inputs!$C$21*SQRT(01_Inputs!$C$22)*B1906)</f>
        <v>40.7510204199001</v>
      </c>
      <c r="D1906" s="78" t="n">
        <f aca="false">MAX(C1906-05_Unit_Economics!$B$21,0)</f>
        <v>2.84341494539665</v>
      </c>
      <c r="E1906" s="78" t="n">
        <f aca="false">D1906*EXP(-01_Inputs!$C$20*01_Inputs!$C$22)</f>
        <v>2.72101718473533</v>
      </c>
      <c r="F1906" s="79"/>
    </row>
    <row r="1907" customFormat="false" ht="15" hidden="false" customHeight="false" outlineLevel="0" collapsed="false">
      <c r="A1907" s="76" t="n">
        <v>1896</v>
      </c>
      <c r="B1907" s="77" t="n">
        <v>0.810647</v>
      </c>
      <c r="C1907" s="78" t="n">
        <f aca="false">05_Unit_Economics!$B$15*EXP((01_Inputs!$C$20-01_Inputs!$C$21^2/2)*01_Inputs!$C$22+01_Inputs!$C$21*SQRT(01_Inputs!$C$22)*B1907)</f>
        <v>71.8753795897666</v>
      </c>
      <c r="D1907" s="78" t="n">
        <f aca="false">MAX(C1907-05_Unit_Economics!$B$21,0)</f>
        <v>33.9677741152632</v>
      </c>
      <c r="E1907" s="78" t="n">
        <f aca="false">D1907*EXP(-01_Inputs!$C$20*01_Inputs!$C$22)</f>
        <v>32.5055958661516</v>
      </c>
      <c r="F1907" s="80" t="n">
        <f aca="false">AVERAGE(E1906:E1907)</f>
        <v>17.6133065254435</v>
      </c>
    </row>
    <row r="1908" customFormat="false" ht="15" hidden="false" customHeight="false" outlineLevel="0" collapsed="false">
      <c r="A1908" s="76" t="n">
        <v>1897</v>
      </c>
      <c r="B1908" s="77" t="n">
        <v>0.827348</v>
      </c>
      <c r="C1908" s="78" t="n">
        <f aca="false">05_Unit_Economics!$B$15*EXP((01_Inputs!$C$20-01_Inputs!$C$21^2/2)*01_Inputs!$C$22+01_Inputs!$C$21*SQRT(01_Inputs!$C$22)*B1908)</f>
        <v>72.296746659075</v>
      </c>
      <c r="D1908" s="78" t="n">
        <f aca="false">MAX(C1908-05_Unit_Economics!$B$21,0)</f>
        <v>34.3891411845716</v>
      </c>
      <c r="E1908" s="78" t="n">
        <f aca="false">D1908*EXP(-01_Inputs!$C$20*01_Inputs!$C$22)</f>
        <v>32.9088247506751</v>
      </c>
      <c r="F1908" s="79"/>
    </row>
    <row r="1909" customFormat="false" ht="15" hidden="false" customHeight="false" outlineLevel="0" collapsed="false">
      <c r="A1909" s="76" t="n">
        <v>1898</v>
      </c>
      <c r="B1909" s="77" t="n">
        <v>-0.827348</v>
      </c>
      <c r="C1909" s="78" t="n">
        <f aca="false">05_Unit_Economics!$B$15*EXP((01_Inputs!$C$20-01_Inputs!$C$21^2/2)*01_Inputs!$C$22+01_Inputs!$C$21*SQRT(01_Inputs!$C$22)*B1909)</f>
        <v>40.5135112809809</v>
      </c>
      <c r="D1909" s="78" t="n">
        <f aca="false">MAX(C1909-05_Unit_Economics!$B$21,0)</f>
        <v>2.60590580647739</v>
      </c>
      <c r="E1909" s="78" t="n">
        <f aca="false">D1909*EXP(-01_Inputs!$C$20*01_Inputs!$C$22)</f>
        <v>2.49373187431053</v>
      </c>
      <c r="F1909" s="80" t="n">
        <f aca="false">AVERAGE(E1908:E1909)</f>
        <v>17.7012783124928</v>
      </c>
    </row>
    <row r="1910" customFormat="false" ht="15" hidden="false" customHeight="false" outlineLevel="0" collapsed="false">
      <c r="A1910" s="76" t="n">
        <v>1899</v>
      </c>
      <c r="B1910" s="77" t="n">
        <v>-0.877184</v>
      </c>
      <c r="C1910" s="78" t="n">
        <f aca="false">05_Unit_Economics!$B$15*EXP((01_Inputs!$C$20-01_Inputs!$C$21^2/2)*01_Inputs!$C$22+01_Inputs!$C$21*SQRT(01_Inputs!$C$22)*B1910)</f>
        <v>39.8129776342284</v>
      </c>
      <c r="D1910" s="78" t="n">
        <f aca="false">MAX(C1910-05_Unit_Economics!$B$21,0)</f>
        <v>1.90537215972489</v>
      </c>
      <c r="E1910" s="78" t="n">
        <f aca="false">D1910*EXP(-01_Inputs!$C$20*01_Inputs!$C$22)</f>
        <v>1.8233534287077</v>
      </c>
      <c r="F1910" s="79"/>
    </row>
    <row r="1911" customFormat="false" ht="15" hidden="false" customHeight="false" outlineLevel="0" collapsed="false">
      <c r="A1911" s="76" t="n">
        <v>1900</v>
      </c>
      <c r="B1911" s="77" t="n">
        <v>0.877184</v>
      </c>
      <c r="C1911" s="78" t="n">
        <f aca="false">05_Unit_Economics!$B$15*EXP((01_Inputs!$C$20-01_Inputs!$C$21^2/2)*01_Inputs!$C$22+01_Inputs!$C$21*SQRT(01_Inputs!$C$22)*B1911)</f>
        <v>73.5688520527164</v>
      </c>
      <c r="D1911" s="78" t="n">
        <f aca="false">MAX(C1911-05_Unit_Economics!$B$21,0)</f>
        <v>35.6612465782129</v>
      </c>
      <c r="E1911" s="78" t="n">
        <f aca="false">D1911*EXP(-01_Inputs!$C$20*01_Inputs!$C$22)</f>
        <v>34.126171041443</v>
      </c>
      <c r="F1911" s="80" t="n">
        <f aca="false">AVERAGE(E1910:E1911)</f>
        <v>17.9747622350753</v>
      </c>
    </row>
    <row r="1912" customFormat="false" ht="15" hidden="false" customHeight="false" outlineLevel="0" collapsed="false">
      <c r="A1912" s="76" t="n">
        <v>1901</v>
      </c>
      <c r="B1912" s="77" t="n">
        <v>-0.16204</v>
      </c>
      <c r="C1912" s="78" t="n">
        <f aca="false">05_Unit_Economics!$B$15*EXP((01_Inputs!$C$20-01_Inputs!$C$21^2/2)*01_Inputs!$C$22+01_Inputs!$C$21*SQRT(01_Inputs!$C$22)*B1912)</f>
        <v>51.1362342140878</v>
      </c>
      <c r="D1912" s="78" t="n">
        <f aca="false">MAX(C1912-05_Unit_Economics!$B$21,0)</f>
        <v>13.2286287395843</v>
      </c>
      <c r="E1912" s="78" t="n">
        <f aca="false">D1912*EXP(-01_Inputs!$C$20*01_Inputs!$C$22)</f>
        <v>12.6591886242869</v>
      </c>
      <c r="F1912" s="79"/>
    </row>
    <row r="1913" customFormat="false" ht="15" hidden="false" customHeight="false" outlineLevel="0" collapsed="false">
      <c r="A1913" s="76" t="n">
        <v>1902</v>
      </c>
      <c r="B1913" s="77" t="n">
        <v>0.16204</v>
      </c>
      <c r="C1913" s="78" t="n">
        <f aca="false">05_Unit_Economics!$B$15*EXP((01_Inputs!$C$20-01_Inputs!$C$21^2/2)*01_Inputs!$C$22+01_Inputs!$C$21*SQRT(01_Inputs!$C$22)*B1913)</f>
        <v>57.2782706111693</v>
      </c>
      <c r="D1913" s="78" t="n">
        <f aca="false">MAX(C1913-05_Unit_Economics!$B$21,0)</f>
        <v>19.3706651366658</v>
      </c>
      <c r="E1913" s="78" t="n">
        <f aca="false">D1913*EXP(-01_Inputs!$C$20*01_Inputs!$C$22)</f>
        <v>18.5368346614175</v>
      </c>
      <c r="F1913" s="80" t="n">
        <f aca="false">AVERAGE(E1912:E1913)</f>
        <v>15.5980116428522</v>
      </c>
    </row>
    <row r="1914" customFormat="false" ht="15" hidden="false" customHeight="false" outlineLevel="0" collapsed="false">
      <c r="A1914" s="76" t="n">
        <v>1903</v>
      </c>
      <c r="B1914" s="77" t="n">
        <v>-0.160748</v>
      </c>
      <c r="C1914" s="78" t="n">
        <f aca="false">05_Unit_Economics!$B$15*EXP((01_Inputs!$C$20-01_Inputs!$C$21^2/2)*01_Inputs!$C$22+01_Inputs!$C$21*SQRT(01_Inputs!$C$22)*B1914)</f>
        <v>51.1593632482799</v>
      </c>
      <c r="D1914" s="78" t="n">
        <f aca="false">MAX(C1914-05_Unit_Economics!$B$21,0)</f>
        <v>13.2517577737764</v>
      </c>
      <c r="E1914" s="78" t="n">
        <f aca="false">D1914*EXP(-01_Inputs!$C$20*01_Inputs!$C$22)</f>
        <v>12.6813220450895</v>
      </c>
      <c r="F1914" s="79"/>
    </row>
    <row r="1915" customFormat="false" ht="15" hidden="false" customHeight="false" outlineLevel="0" collapsed="false">
      <c r="A1915" s="76" t="n">
        <v>1904</v>
      </c>
      <c r="B1915" s="77" t="n">
        <v>0.160748</v>
      </c>
      <c r="C1915" s="78" t="n">
        <f aca="false">05_Unit_Economics!$B$15*EXP((01_Inputs!$C$20-01_Inputs!$C$21^2/2)*01_Inputs!$C$22+01_Inputs!$C$21*SQRT(01_Inputs!$C$22)*B1915)</f>
        <v>57.2523752325853</v>
      </c>
      <c r="D1915" s="78" t="n">
        <f aca="false">MAX(C1915-05_Unit_Economics!$B$21,0)</f>
        <v>19.3447697580818</v>
      </c>
      <c r="E1915" s="78" t="n">
        <f aca="false">D1915*EXP(-01_Inputs!$C$20*01_Inputs!$C$22)</f>
        <v>18.5120539764013</v>
      </c>
      <c r="F1915" s="80" t="n">
        <f aca="false">AVERAGE(E1914:E1915)</f>
        <v>15.5966880107454</v>
      </c>
    </row>
    <row r="1916" customFormat="false" ht="15" hidden="false" customHeight="false" outlineLevel="0" collapsed="false">
      <c r="A1916" s="76" t="n">
        <v>1905</v>
      </c>
      <c r="B1916" s="77" t="n">
        <v>-2.237527</v>
      </c>
      <c r="C1916" s="78" t="n">
        <f aca="false">05_Unit_Economics!$B$15*EXP((01_Inputs!$C$20-01_Inputs!$C$21^2/2)*01_Inputs!$C$22+01_Inputs!$C$21*SQRT(01_Inputs!$C$22)*B1916)</f>
        <v>24.7313799432973</v>
      </c>
      <c r="D1916" s="78" t="n">
        <f aca="false">MAX(C1916-05_Unit_Economics!$B$21,0)</f>
        <v>0</v>
      </c>
      <c r="E1916" s="78" t="n">
        <f aca="false">D1916*EXP(-01_Inputs!$C$20*01_Inputs!$C$22)</f>
        <v>0</v>
      </c>
      <c r="F1916" s="79"/>
    </row>
    <row r="1917" customFormat="false" ht="15" hidden="false" customHeight="false" outlineLevel="0" collapsed="false">
      <c r="A1917" s="76" t="n">
        <v>1906</v>
      </c>
      <c r="B1917" s="77" t="n">
        <v>2.237527</v>
      </c>
      <c r="C1917" s="78" t="n">
        <f aca="false">05_Unit_Economics!$B$15*EXP((01_Inputs!$C$20-01_Inputs!$C$21^2/2)*01_Inputs!$C$22+01_Inputs!$C$21*SQRT(01_Inputs!$C$22)*B1917)</f>
        <v>118.432334470057</v>
      </c>
      <c r="D1917" s="78" t="n">
        <f aca="false">MAX(C1917-05_Unit_Economics!$B$21,0)</f>
        <v>80.5247289955536</v>
      </c>
      <c r="E1917" s="78" t="n">
        <f aca="false">D1917*EXP(-01_Inputs!$C$20*01_Inputs!$C$22)</f>
        <v>77.0584580867396</v>
      </c>
      <c r="F1917" s="80" t="n">
        <f aca="false">AVERAGE(E1916:E1917)</f>
        <v>38.5292290433698</v>
      </c>
    </row>
    <row r="1918" customFormat="false" ht="15" hidden="false" customHeight="false" outlineLevel="0" collapsed="false">
      <c r="A1918" s="76" t="n">
        <v>1907</v>
      </c>
      <c r="B1918" s="77" t="n">
        <v>0.10787</v>
      </c>
      <c r="C1918" s="78" t="n">
        <f aca="false">05_Unit_Economics!$B$15*EXP((01_Inputs!$C$20-01_Inputs!$C$21^2/2)*01_Inputs!$C$22+01_Inputs!$C$21*SQRT(01_Inputs!$C$22)*B1918)</f>
        <v>56.2025331851395</v>
      </c>
      <c r="D1918" s="78" t="n">
        <f aca="false">MAX(C1918-05_Unit_Economics!$B$21,0)</f>
        <v>18.294927710636</v>
      </c>
      <c r="E1918" s="78" t="n">
        <f aca="false">D1918*EXP(-01_Inputs!$C$20*01_Inputs!$C$22)</f>
        <v>17.5074034743764</v>
      </c>
      <c r="F1918" s="79"/>
    </row>
    <row r="1919" customFormat="false" ht="15" hidden="false" customHeight="false" outlineLevel="0" collapsed="false">
      <c r="A1919" s="76" t="n">
        <v>1908</v>
      </c>
      <c r="B1919" s="77" t="n">
        <v>-0.10787</v>
      </c>
      <c r="C1919" s="78" t="n">
        <f aca="false">05_Unit_Economics!$B$15*EXP((01_Inputs!$C$20-01_Inputs!$C$21^2/2)*01_Inputs!$C$22+01_Inputs!$C$21*SQRT(01_Inputs!$C$22)*B1919)</f>
        <v>52.1150007901265</v>
      </c>
      <c r="D1919" s="78" t="n">
        <f aca="false">MAX(C1919-05_Unit_Economics!$B$21,0)</f>
        <v>14.207395315623</v>
      </c>
      <c r="E1919" s="78" t="n">
        <f aca="false">D1919*EXP(-01_Inputs!$C$20*01_Inputs!$C$22)</f>
        <v>13.5958231726695</v>
      </c>
      <c r="F1919" s="80" t="n">
        <f aca="false">AVERAGE(E1918:E1919)</f>
        <v>15.5516133235229</v>
      </c>
    </row>
    <row r="1920" customFormat="false" ht="15" hidden="false" customHeight="false" outlineLevel="0" collapsed="false">
      <c r="A1920" s="76" t="n">
        <v>1909</v>
      </c>
      <c r="B1920" s="77" t="n">
        <v>1.857149</v>
      </c>
      <c r="C1920" s="78" t="n">
        <f aca="false">05_Unit_Economics!$B$15*EXP((01_Inputs!$C$20-01_Inputs!$C$21^2/2)*01_Inputs!$C$22+01_Inputs!$C$21*SQRT(01_Inputs!$C$22)*B1920)</f>
        <v>103.669658202385</v>
      </c>
      <c r="D1920" s="78" t="n">
        <f aca="false">MAX(C1920-05_Unit_Economics!$B$21,0)</f>
        <v>65.7620527278816</v>
      </c>
      <c r="E1920" s="78" t="n">
        <f aca="false">D1920*EXP(-01_Inputs!$C$20*01_Inputs!$C$22)</f>
        <v>62.9312566094975</v>
      </c>
      <c r="F1920" s="79"/>
    </row>
    <row r="1921" customFormat="false" ht="15" hidden="false" customHeight="false" outlineLevel="0" collapsed="false">
      <c r="A1921" s="76" t="n">
        <v>1910</v>
      </c>
      <c r="B1921" s="77" t="n">
        <v>-1.857149</v>
      </c>
      <c r="C1921" s="78" t="n">
        <f aca="false">05_Unit_Economics!$B$15*EXP((01_Inputs!$C$20-01_Inputs!$C$21^2/2)*01_Inputs!$C$22+01_Inputs!$C$21*SQRT(01_Inputs!$C$22)*B1921)</f>
        <v>28.2531563442858</v>
      </c>
      <c r="D1921" s="78" t="n">
        <f aca="false">MAX(C1921-05_Unit_Economics!$B$21,0)</f>
        <v>0</v>
      </c>
      <c r="E1921" s="78" t="n">
        <f aca="false">D1921*EXP(-01_Inputs!$C$20*01_Inputs!$C$22)</f>
        <v>0</v>
      </c>
      <c r="F1921" s="80" t="n">
        <f aca="false">AVERAGE(E1920:E1921)</f>
        <v>31.4656283047487</v>
      </c>
    </row>
    <row r="1922" customFormat="false" ht="15" hidden="false" customHeight="false" outlineLevel="0" collapsed="false">
      <c r="A1922" s="76" t="n">
        <v>1911</v>
      </c>
      <c r="B1922" s="77" t="n">
        <v>-0.003171</v>
      </c>
      <c r="C1922" s="78" t="n">
        <f aca="false">05_Unit_Economics!$B$15*EXP((01_Inputs!$C$20-01_Inputs!$C$21^2/2)*01_Inputs!$C$22+01_Inputs!$C$21*SQRT(01_Inputs!$C$22)*B1922)</f>
        <v>54.0601589098303</v>
      </c>
      <c r="D1922" s="78" t="n">
        <f aca="false">MAX(C1922-05_Unit_Economics!$B$21,0)</f>
        <v>16.1525534353268</v>
      </c>
      <c r="E1922" s="78" t="n">
        <f aca="false">D1922*EXP(-01_Inputs!$C$20*01_Inputs!$C$22)</f>
        <v>15.4572499332309</v>
      </c>
      <c r="F1922" s="79"/>
    </row>
    <row r="1923" customFormat="false" ht="15" hidden="false" customHeight="false" outlineLevel="0" collapsed="false">
      <c r="A1923" s="76" t="n">
        <v>1912</v>
      </c>
      <c r="B1923" s="77" t="n">
        <v>0.003171</v>
      </c>
      <c r="C1923" s="78" t="n">
        <f aca="false">05_Unit_Economics!$B$15*EXP((01_Inputs!$C$20-01_Inputs!$C$21^2/2)*01_Inputs!$C$22+01_Inputs!$C$21*SQRT(01_Inputs!$C$22)*B1923)</f>
        <v>54.1802895221983</v>
      </c>
      <c r="D1923" s="78" t="n">
        <f aca="false">MAX(C1923-05_Unit_Economics!$B$21,0)</f>
        <v>16.2726840476948</v>
      </c>
      <c r="E1923" s="78" t="n">
        <f aca="false">D1923*EXP(-01_Inputs!$C$20*01_Inputs!$C$22)</f>
        <v>15.5722093981501</v>
      </c>
      <c r="F1923" s="80" t="n">
        <f aca="false">AVERAGE(E1922:E1923)</f>
        <v>15.5147296656905</v>
      </c>
    </row>
    <row r="1924" customFormat="false" ht="15" hidden="false" customHeight="false" outlineLevel="0" collapsed="false">
      <c r="A1924" s="76" t="n">
        <v>1913</v>
      </c>
      <c r="B1924" s="77" t="n">
        <v>0.095708</v>
      </c>
      <c r="C1924" s="78" t="n">
        <f aca="false">05_Unit_Economics!$B$15*EXP((01_Inputs!$C$20-01_Inputs!$C$21^2/2)*01_Inputs!$C$22+01_Inputs!$C$21*SQRT(01_Inputs!$C$22)*B1924)</f>
        <v>55.9638043211783</v>
      </c>
      <c r="D1924" s="78" t="n">
        <f aca="false">MAX(C1924-05_Unit_Economics!$B$21,0)</f>
        <v>18.0561988466748</v>
      </c>
      <c r="E1924" s="78" t="n">
        <f aca="false">D1924*EXP(-01_Inputs!$C$20*01_Inputs!$C$22)</f>
        <v>17.2789509432458</v>
      </c>
      <c r="F1924" s="79"/>
    </row>
    <row r="1925" customFormat="false" ht="15" hidden="false" customHeight="false" outlineLevel="0" collapsed="false">
      <c r="A1925" s="76" t="n">
        <v>1914</v>
      </c>
      <c r="B1925" s="77" t="n">
        <v>-0.095708</v>
      </c>
      <c r="C1925" s="78" t="n">
        <f aca="false">05_Unit_Economics!$B$15*EXP((01_Inputs!$C$20-01_Inputs!$C$21^2/2)*01_Inputs!$C$22+01_Inputs!$C$21*SQRT(01_Inputs!$C$22)*B1925)</f>
        <v>52.3373115333804</v>
      </c>
      <c r="D1925" s="78" t="n">
        <f aca="false">MAX(C1925-05_Unit_Economics!$B$21,0)</f>
        <v>14.429706058877</v>
      </c>
      <c r="E1925" s="78" t="n">
        <f aca="false">D1925*EXP(-01_Inputs!$C$20*01_Inputs!$C$22)</f>
        <v>13.8085643182151</v>
      </c>
      <c r="F1925" s="80" t="n">
        <f aca="false">AVERAGE(E1924:E1925)</f>
        <v>15.5437576307304</v>
      </c>
    </row>
    <row r="1926" customFormat="false" ht="15" hidden="false" customHeight="false" outlineLevel="0" collapsed="false">
      <c r="A1926" s="76" t="n">
        <v>1915</v>
      </c>
      <c r="B1926" s="77" t="n">
        <v>-1.308646</v>
      </c>
      <c r="C1926" s="78" t="n">
        <f aca="false">05_Unit_Economics!$B$15*EXP((01_Inputs!$C$20-01_Inputs!$C$21^2/2)*01_Inputs!$C$22+01_Inputs!$C$21*SQRT(01_Inputs!$C$22)*B1926)</f>
        <v>34.2326966706676</v>
      </c>
      <c r="D1926" s="78" t="n">
        <f aca="false">MAX(C1926-05_Unit_Economics!$B$21,0)</f>
        <v>0</v>
      </c>
      <c r="E1926" s="78" t="n">
        <f aca="false">D1926*EXP(-01_Inputs!$C$20*01_Inputs!$C$22)</f>
        <v>0</v>
      </c>
      <c r="F1926" s="79"/>
    </row>
    <row r="1927" customFormat="false" ht="15" hidden="false" customHeight="false" outlineLevel="0" collapsed="false">
      <c r="A1927" s="76" t="n">
        <v>1916</v>
      </c>
      <c r="B1927" s="77" t="n">
        <v>1.308646</v>
      </c>
      <c r="C1927" s="78" t="n">
        <f aca="false">05_Unit_Economics!$B$15*EXP((01_Inputs!$C$20-01_Inputs!$C$21^2/2)*01_Inputs!$C$22+01_Inputs!$C$21*SQRT(01_Inputs!$C$22)*B1927)</f>
        <v>85.5613301379314</v>
      </c>
      <c r="D1927" s="78" t="n">
        <f aca="false">MAX(C1927-05_Unit_Economics!$B$21,0)</f>
        <v>47.6537246634279</v>
      </c>
      <c r="E1927" s="78" t="n">
        <f aca="false">D1927*EXP(-01_Inputs!$C$20*01_Inputs!$C$22)</f>
        <v>45.6024204049983</v>
      </c>
      <c r="F1927" s="80" t="n">
        <f aca="false">AVERAGE(E1926:E1927)</f>
        <v>22.8012102024991</v>
      </c>
    </row>
    <row r="1928" customFormat="false" ht="15" hidden="false" customHeight="false" outlineLevel="0" collapsed="false">
      <c r="A1928" s="76" t="n">
        <v>1917</v>
      </c>
      <c r="B1928" s="77" t="n">
        <v>-1.838961</v>
      </c>
      <c r="C1928" s="78" t="n">
        <f aca="false">05_Unit_Economics!$B$15*EXP((01_Inputs!$C$20-01_Inputs!$C$21^2/2)*01_Inputs!$C$22+01_Inputs!$C$21*SQRT(01_Inputs!$C$22)*B1928)</f>
        <v>28.4335839607077</v>
      </c>
      <c r="D1928" s="78" t="n">
        <f aca="false">MAX(C1928-05_Unit_Economics!$B$21,0)</f>
        <v>0</v>
      </c>
      <c r="E1928" s="78" t="n">
        <f aca="false">D1928*EXP(-01_Inputs!$C$20*01_Inputs!$C$22)</f>
        <v>0</v>
      </c>
      <c r="F1928" s="79"/>
    </row>
    <row r="1929" customFormat="false" ht="15" hidden="false" customHeight="false" outlineLevel="0" collapsed="false">
      <c r="A1929" s="76" t="n">
        <v>1918</v>
      </c>
      <c r="B1929" s="77" t="n">
        <v>1.838961</v>
      </c>
      <c r="C1929" s="78" t="n">
        <f aca="false">05_Unit_Economics!$B$15*EXP((01_Inputs!$C$20-01_Inputs!$C$21^2/2)*01_Inputs!$C$22+01_Inputs!$C$21*SQRT(01_Inputs!$C$22)*B1929)</f>
        <v>103.011813966126</v>
      </c>
      <c r="D1929" s="78" t="n">
        <f aca="false">MAX(C1929-05_Unit_Economics!$B$21,0)</f>
        <v>65.1042084916226</v>
      </c>
      <c r="E1929" s="78" t="n">
        <f aca="false">D1929*EXP(-01_Inputs!$C$20*01_Inputs!$C$22)</f>
        <v>62.3017299642086</v>
      </c>
      <c r="F1929" s="80" t="n">
        <f aca="false">AVERAGE(E1928:E1929)</f>
        <v>31.1508649821043</v>
      </c>
    </row>
    <row r="1930" customFormat="false" ht="15" hidden="false" customHeight="false" outlineLevel="0" collapsed="false">
      <c r="A1930" s="76" t="n">
        <v>1919</v>
      </c>
      <c r="B1930" s="77" t="n">
        <v>2.13703</v>
      </c>
      <c r="C1930" s="78" t="n">
        <f aca="false">05_Unit_Economics!$B$15*EXP((01_Inputs!$C$20-01_Inputs!$C$21^2/2)*01_Inputs!$C$22+01_Inputs!$C$21*SQRT(01_Inputs!$C$22)*B1930)</f>
        <v>114.339012623099</v>
      </c>
      <c r="D1930" s="78" t="n">
        <f aca="false">MAX(C1930-05_Unit_Economics!$B$21,0)</f>
        <v>76.4314071485959</v>
      </c>
      <c r="E1930" s="78" t="n">
        <f aca="false">D1930*EXP(-01_Inputs!$C$20*01_Inputs!$C$22)</f>
        <v>73.1413375460825</v>
      </c>
      <c r="F1930" s="79"/>
    </row>
    <row r="1931" customFormat="false" ht="15" hidden="false" customHeight="false" outlineLevel="0" collapsed="false">
      <c r="A1931" s="76" t="n">
        <v>1920</v>
      </c>
      <c r="B1931" s="77" t="n">
        <v>-2.13703</v>
      </c>
      <c r="C1931" s="78" t="n">
        <f aca="false">05_Unit_Economics!$B$15*EXP((01_Inputs!$C$20-01_Inputs!$C$21^2/2)*01_Inputs!$C$22+01_Inputs!$C$21*SQRT(01_Inputs!$C$22)*B1931)</f>
        <v>25.6167601429761</v>
      </c>
      <c r="D1931" s="78" t="n">
        <f aca="false">MAX(C1931-05_Unit_Economics!$B$21,0)</f>
        <v>0</v>
      </c>
      <c r="E1931" s="78" t="n">
        <f aca="false">D1931*EXP(-01_Inputs!$C$20*01_Inputs!$C$22)</f>
        <v>0</v>
      </c>
      <c r="F1931" s="80" t="n">
        <f aca="false">AVERAGE(E1930:E1931)</f>
        <v>36.5706687730413</v>
      </c>
    </row>
    <row r="1932" customFormat="false" ht="15" hidden="false" customHeight="false" outlineLevel="0" collapsed="false">
      <c r="A1932" s="76" t="n">
        <v>1921</v>
      </c>
      <c r="B1932" s="77" t="n">
        <v>-0.442162</v>
      </c>
      <c r="C1932" s="78" t="n">
        <f aca="false">05_Unit_Economics!$B$15*EXP((01_Inputs!$C$20-01_Inputs!$C$21^2/2)*01_Inputs!$C$22+01_Inputs!$C$21*SQRT(01_Inputs!$C$22)*B1932)</f>
        <v>46.3606310510955</v>
      </c>
      <c r="D1932" s="78" t="n">
        <f aca="false">MAX(C1932-05_Unit_Economics!$B$21,0)</f>
        <v>8.45302557659202</v>
      </c>
      <c r="E1932" s="78" t="n">
        <f aca="false">D1932*EXP(-01_Inputs!$C$20*01_Inputs!$C$22)</f>
        <v>8.08915627814062</v>
      </c>
      <c r="F1932" s="79"/>
    </row>
    <row r="1933" customFormat="false" ht="15" hidden="false" customHeight="false" outlineLevel="0" collapsed="false">
      <c r="A1933" s="76" t="n">
        <v>1922</v>
      </c>
      <c r="B1933" s="77" t="n">
        <v>0.442162</v>
      </c>
      <c r="C1933" s="78" t="n">
        <f aca="false">05_Unit_Economics!$B$15*EXP((01_Inputs!$C$20-01_Inputs!$C$21^2/2)*01_Inputs!$C$22+01_Inputs!$C$21*SQRT(01_Inputs!$C$22)*B1933)</f>
        <v>63.1784985437864</v>
      </c>
      <c r="D1933" s="78" t="n">
        <f aca="false">MAX(C1933-05_Unit_Economics!$B$21,0)</f>
        <v>25.2708930692829</v>
      </c>
      <c r="E1933" s="78" t="n">
        <f aca="false">D1933*EXP(-01_Inputs!$C$20*01_Inputs!$C$22)</f>
        <v>24.1830811315284</v>
      </c>
      <c r="F1933" s="80" t="n">
        <f aca="false">AVERAGE(E1932:E1933)</f>
        <v>16.1361187048345</v>
      </c>
    </row>
    <row r="1934" customFormat="false" ht="15" hidden="false" customHeight="false" outlineLevel="0" collapsed="false">
      <c r="A1934" s="76" t="n">
        <v>1923</v>
      </c>
      <c r="B1934" s="77" t="n">
        <v>-0.148641</v>
      </c>
      <c r="C1934" s="78" t="n">
        <f aca="false">05_Unit_Economics!$B$15*EXP((01_Inputs!$C$20-01_Inputs!$C$21^2/2)*01_Inputs!$C$22+01_Inputs!$C$21*SQRT(01_Inputs!$C$22)*B1934)</f>
        <v>51.3766084498452</v>
      </c>
      <c r="D1934" s="78" t="n">
        <f aca="false">MAX(C1934-05_Unit_Economics!$B$21,0)</f>
        <v>13.4690029753417</v>
      </c>
      <c r="E1934" s="78" t="n">
        <f aca="false">D1934*EXP(-01_Inputs!$C$20*01_Inputs!$C$22)</f>
        <v>12.8892157004695</v>
      </c>
      <c r="F1934" s="79"/>
    </row>
    <row r="1935" customFormat="false" ht="15" hidden="false" customHeight="false" outlineLevel="0" collapsed="false">
      <c r="A1935" s="76" t="n">
        <v>1924</v>
      </c>
      <c r="B1935" s="77" t="n">
        <v>0.148641</v>
      </c>
      <c r="C1935" s="78" t="n">
        <f aca="false">05_Unit_Economics!$B$15*EXP((01_Inputs!$C$20-01_Inputs!$C$21^2/2)*01_Inputs!$C$22+01_Inputs!$C$21*SQRT(01_Inputs!$C$22)*B1935)</f>
        <v>57.010284441216</v>
      </c>
      <c r="D1935" s="78" t="n">
        <f aca="false">MAX(C1935-05_Unit_Economics!$B$21,0)</f>
        <v>19.1026789667125</v>
      </c>
      <c r="E1935" s="78" t="n">
        <f aca="false">D1935*EXP(-01_Inputs!$C$20*01_Inputs!$C$22)</f>
        <v>18.2803842355327</v>
      </c>
      <c r="F1935" s="80" t="n">
        <f aca="false">AVERAGE(E1934:E1935)</f>
        <v>15.5847999680011</v>
      </c>
    </row>
    <row r="1936" customFormat="false" ht="15" hidden="false" customHeight="false" outlineLevel="0" collapsed="false">
      <c r="A1936" s="76" t="n">
        <v>1925</v>
      </c>
      <c r="B1936" s="77" t="n">
        <v>-0.002316</v>
      </c>
      <c r="C1936" s="78" t="n">
        <f aca="false">05_Unit_Economics!$B$15*EXP((01_Inputs!$C$20-01_Inputs!$C$21^2/2)*01_Inputs!$C$22+01_Inputs!$C$21*SQRT(01_Inputs!$C$22)*B1936)</f>
        <v>54.0763388331843</v>
      </c>
      <c r="D1936" s="78" t="n">
        <f aca="false">MAX(C1936-05_Unit_Economics!$B$21,0)</f>
        <v>16.1687333586809</v>
      </c>
      <c r="E1936" s="78" t="n">
        <f aca="false">D1936*EXP(-01_Inputs!$C$20*01_Inputs!$C$22)</f>
        <v>15.4727333749161</v>
      </c>
      <c r="F1936" s="79"/>
    </row>
    <row r="1937" customFormat="false" ht="15" hidden="false" customHeight="false" outlineLevel="0" collapsed="false">
      <c r="A1937" s="76" t="n">
        <v>1926</v>
      </c>
      <c r="B1937" s="77" t="n">
        <v>0.002316</v>
      </c>
      <c r="C1937" s="78" t="n">
        <f aca="false">05_Unit_Economics!$B$15*EXP((01_Inputs!$C$20-01_Inputs!$C$21^2/2)*01_Inputs!$C$22+01_Inputs!$C$21*SQRT(01_Inputs!$C$22)*B1937)</f>
        <v>54.1640784962545</v>
      </c>
      <c r="D1937" s="78" t="n">
        <f aca="false">MAX(C1937-05_Unit_Economics!$B$21,0)</f>
        <v>16.256473021751</v>
      </c>
      <c r="E1937" s="78" t="n">
        <f aca="false">D1937*EXP(-01_Inputs!$C$20*01_Inputs!$C$22)</f>
        <v>15.5566961927185</v>
      </c>
      <c r="F1937" s="80" t="n">
        <f aca="false">AVERAGE(E1936:E1937)</f>
        <v>15.5147147838173</v>
      </c>
    </row>
    <row r="1938" customFormat="false" ht="15" hidden="false" customHeight="false" outlineLevel="0" collapsed="false">
      <c r="A1938" s="76" t="n">
        <v>1927</v>
      </c>
      <c r="B1938" s="77" t="n">
        <v>-0.007646</v>
      </c>
      <c r="C1938" s="78" t="n">
        <f aca="false">05_Unit_Economics!$B$15*EXP((01_Inputs!$C$20-01_Inputs!$C$21^2/2)*01_Inputs!$C$22+01_Inputs!$C$21*SQRT(01_Inputs!$C$22)*B1938)</f>
        <v>53.9755534598765</v>
      </c>
      <c r="D1938" s="78" t="n">
        <f aca="false">MAX(C1938-05_Unit_Economics!$B$21,0)</f>
        <v>16.067947985373</v>
      </c>
      <c r="E1938" s="78" t="n">
        <f aca="false">D1938*EXP(-01_Inputs!$C$20*01_Inputs!$C$22)</f>
        <v>15.3762864130738</v>
      </c>
      <c r="F1938" s="79"/>
    </row>
    <row r="1939" customFormat="false" ht="15" hidden="false" customHeight="false" outlineLevel="0" collapsed="false">
      <c r="A1939" s="76" t="n">
        <v>1928</v>
      </c>
      <c r="B1939" s="77" t="n">
        <v>0.007646</v>
      </c>
      <c r="C1939" s="78" t="n">
        <f aca="false">05_Unit_Economics!$B$15*EXP((01_Inputs!$C$20-01_Inputs!$C$21^2/2)*01_Inputs!$C$22+01_Inputs!$C$21*SQRT(01_Inputs!$C$22)*B1939)</f>
        <v>54.2652158912638</v>
      </c>
      <c r="D1939" s="78" t="n">
        <f aca="false">MAX(C1939-05_Unit_Economics!$B$21,0)</f>
        <v>16.3576104167604</v>
      </c>
      <c r="E1939" s="78" t="n">
        <f aca="false">D1939*EXP(-01_Inputs!$C$20*01_Inputs!$C$22)</f>
        <v>15.6534800231212</v>
      </c>
      <c r="F1939" s="80" t="n">
        <f aca="false">AVERAGE(E1938:E1939)</f>
        <v>15.5148832180975</v>
      </c>
    </row>
    <row r="1940" customFormat="false" ht="15" hidden="false" customHeight="false" outlineLevel="0" collapsed="false">
      <c r="A1940" s="76" t="n">
        <v>1929</v>
      </c>
      <c r="B1940" s="77" t="n">
        <v>-1.091019</v>
      </c>
      <c r="C1940" s="78" t="n">
        <f aca="false">05_Unit_Economics!$B$15*EXP((01_Inputs!$C$20-01_Inputs!$C$21^2/2)*01_Inputs!$C$22+01_Inputs!$C$21*SQRT(01_Inputs!$C$22)*B1940)</f>
        <v>36.9420578214925</v>
      </c>
      <c r="D1940" s="78" t="n">
        <f aca="false">MAX(C1940-05_Unit_Economics!$B$21,0)</f>
        <v>0</v>
      </c>
      <c r="E1940" s="78" t="n">
        <f aca="false">D1940*EXP(-01_Inputs!$C$20*01_Inputs!$C$22)</f>
        <v>0</v>
      </c>
      <c r="F1940" s="79"/>
    </row>
    <row r="1941" customFormat="false" ht="15" hidden="false" customHeight="false" outlineLevel="0" collapsed="false">
      <c r="A1941" s="76" t="n">
        <v>1930</v>
      </c>
      <c r="B1941" s="77" t="n">
        <v>1.091019</v>
      </c>
      <c r="C1941" s="78" t="n">
        <f aca="false">05_Unit_Economics!$B$15*EXP((01_Inputs!$C$20-01_Inputs!$C$21^2/2)*01_Inputs!$C$22+01_Inputs!$C$21*SQRT(01_Inputs!$C$22)*B1941)</f>
        <v>79.2861912431579</v>
      </c>
      <c r="D1941" s="78" t="n">
        <f aca="false">MAX(C1941-05_Unit_Economics!$B$21,0)</f>
        <v>41.3785857686544</v>
      </c>
      <c r="E1941" s="78" t="n">
        <f aca="false">D1941*EXP(-01_Inputs!$C$20*01_Inputs!$C$22)</f>
        <v>39.5974014059517</v>
      </c>
      <c r="F1941" s="80" t="n">
        <f aca="false">AVERAGE(E1940:E1941)</f>
        <v>19.7987007029759</v>
      </c>
    </row>
    <row r="1942" customFormat="false" ht="15" hidden="false" customHeight="false" outlineLevel="0" collapsed="false">
      <c r="A1942" s="76" t="n">
        <v>1931</v>
      </c>
      <c r="B1942" s="77" t="n">
        <v>-0.170216</v>
      </c>
      <c r="C1942" s="78" t="n">
        <f aca="false">05_Unit_Economics!$B$15*EXP((01_Inputs!$C$20-01_Inputs!$C$21^2/2)*01_Inputs!$C$22+01_Inputs!$C$21*SQRT(01_Inputs!$C$22)*B1942)</f>
        <v>50.990111937727</v>
      </c>
      <c r="D1942" s="78" t="n">
        <f aca="false">MAX(C1942-05_Unit_Economics!$B$21,0)</f>
        <v>13.0825064632235</v>
      </c>
      <c r="E1942" s="78" t="n">
        <f aca="false">D1942*EXP(-01_Inputs!$C$20*01_Inputs!$C$22)</f>
        <v>12.5193563336485</v>
      </c>
      <c r="F1942" s="79"/>
    </row>
    <row r="1943" customFormat="false" ht="15" hidden="false" customHeight="false" outlineLevel="0" collapsed="false">
      <c r="A1943" s="76" t="n">
        <v>1932</v>
      </c>
      <c r="B1943" s="77" t="n">
        <v>0.170216</v>
      </c>
      <c r="C1943" s="78" t="n">
        <f aca="false">05_Unit_Economics!$B$15*EXP((01_Inputs!$C$20-01_Inputs!$C$21^2/2)*01_Inputs!$C$22+01_Inputs!$C$21*SQRT(01_Inputs!$C$22)*B1943)</f>
        <v>57.4424128530599</v>
      </c>
      <c r="D1943" s="78" t="n">
        <f aca="false">MAX(C1943-05_Unit_Economics!$B$21,0)</f>
        <v>19.5348073785564</v>
      </c>
      <c r="E1943" s="78" t="n">
        <f aca="false">D1943*EXP(-01_Inputs!$C$20*01_Inputs!$C$22)</f>
        <v>18.6939112293832</v>
      </c>
      <c r="F1943" s="80" t="n">
        <f aca="false">AVERAGE(E1942:E1943)</f>
        <v>15.6066337815159</v>
      </c>
    </row>
    <row r="1944" customFormat="false" ht="15" hidden="false" customHeight="false" outlineLevel="0" collapsed="false">
      <c r="A1944" s="76" t="n">
        <v>1933</v>
      </c>
      <c r="B1944" s="77" t="n">
        <v>0.191641</v>
      </c>
      <c r="C1944" s="78" t="n">
        <f aca="false">05_Unit_Economics!$B$15*EXP((01_Inputs!$C$20-01_Inputs!$C$21^2/2)*01_Inputs!$C$22+01_Inputs!$C$21*SQRT(01_Inputs!$C$22)*B1944)</f>
        <v>57.8747782203053</v>
      </c>
      <c r="D1944" s="78" t="n">
        <f aca="false">MAX(C1944-05_Unit_Economics!$B$21,0)</f>
        <v>19.9671727458019</v>
      </c>
      <c r="E1944" s="78" t="n">
        <f aca="false">D1944*EXP(-01_Inputs!$C$20*01_Inputs!$C$22)</f>
        <v>19.1076649786431</v>
      </c>
      <c r="F1944" s="79"/>
    </row>
    <row r="1945" customFormat="false" ht="15" hidden="false" customHeight="false" outlineLevel="0" collapsed="false">
      <c r="A1945" s="76" t="n">
        <v>1934</v>
      </c>
      <c r="B1945" s="77" t="n">
        <v>-0.191641</v>
      </c>
      <c r="C1945" s="78" t="n">
        <f aca="false">05_Unit_Economics!$B$15*EXP((01_Inputs!$C$20-01_Inputs!$C$21^2/2)*01_Inputs!$C$22+01_Inputs!$C$21*SQRT(01_Inputs!$C$22)*B1945)</f>
        <v>50.6091798779976</v>
      </c>
      <c r="D1945" s="78" t="n">
        <f aca="false">MAX(C1945-05_Unit_Economics!$B$21,0)</f>
        <v>12.7015744034942</v>
      </c>
      <c r="E1945" s="78" t="n">
        <f aca="false">D1945*EXP(-01_Inputs!$C$20*01_Inputs!$C$22)</f>
        <v>12.1548218915621</v>
      </c>
      <c r="F1945" s="80" t="n">
        <f aca="false">AVERAGE(E1944:E1945)</f>
        <v>15.6312434351026</v>
      </c>
    </row>
    <row r="1946" customFormat="false" ht="15" hidden="false" customHeight="false" outlineLevel="0" collapsed="false">
      <c r="A1946" s="76" t="n">
        <v>1935</v>
      </c>
      <c r="B1946" s="77" t="n">
        <v>-1.57269</v>
      </c>
      <c r="C1946" s="78" t="n">
        <f aca="false">05_Unit_Economics!$B$15*EXP((01_Inputs!$C$20-01_Inputs!$C$21^2/2)*01_Inputs!$C$22+01_Inputs!$C$21*SQRT(01_Inputs!$C$22)*B1946)</f>
        <v>31.210851235327</v>
      </c>
      <c r="D1946" s="78" t="n">
        <f aca="false">MAX(C1946-05_Unit_Economics!$B$21,0)</f>
        <v>0</v>
      </c>
      <c r="E1946" s="78" t="n">
        <f aca="false">D1946*EXP(-01_Inputs!$C$20*01_Inputs!$C$22)</f>
        <v>0</v>
      </c>
      <c r="F1946" s="79"/>
    </row>
    <row r="1947" customFormat="false" ht="15" hidden="false" customHeight="false" outlineLevel="0" collapsed="false">
      <c r="A1947" s="76" t="n">
        <v>1936</v>
      </c>
      <c r="B1947" s="77" t="n">
        <v>1.57269</v>
      </c>
      <c r="C1947" s="78" t="n">
        <f aca="false">05_Unit_Economics!$B$15*EXP((01_Inputs!$C$20-01_Inputs!$C$21^2/2)*01_Inputs!$C$22+01_Inputs!$C$21*SQRT(01_Inputs!$C$22)*B1947)</f>
        <v>93.8454077803356</v>
      </c>
      <c r="D1947" s="78" t="n">
        <f aca="false">MAX(C1947-05_Unit_Economics!$B$21,0)</f>
        <v>55.9378023058322</v>
      </c>
      <c r="E1947" s="78" t="n">
        <f aca="false">D1947*EXP(-01_Inputs!$C$20*01_Inputs!$C$22)</f>
        <v>53.529901288911</v>
      </c>
      <c r="F1947" s="80" t="n">
        <f aca="false">AVERAGE(E1946:E1947)</f>
        <v>26.7649506444555</v>
      </c>
    </row>
    <row r="1948" customFormat="false" ht="15" hidden="false" customHeight="false" outlineLevel="0" collapsed="false">
      <c r="A1948" s="76" t="n">
        <v>1937</v>
      </c>
      <c r="B1948" s="77" t="n">
        <v>0.32119</v>
      </c>
      <c r="C1948" s="78" t="n">
        <f aca="false">05_Unit_Economics!$B$15*EXP((01_Inputs!$C$20-01_Inputs!$C$21^2/2)*01_Inputs!$C$22+01_Inputs!$C$21*SQRT(01_Inputs!$C$22)*B1948)</f>
        <v>60.5593472408012</v>
      </c>
      <c r="D1948" s="78" t="n">
        <f aca="false">MAX(C1948-05_Unit_Economics!$B$21,0)</f>
        <v>22.6517417662977</v>
      </c>
      <c r="E1948" s="78" t="n">
        <f aca="false">D1948*EXP(-01_Inputs!$C$20*01_Inputs!$C$22)</f>
        <v>21.6766739269161</v>
      </c>
      <c r="F1948" s="79"/>
    </row>
    <row r="1949" customFormat="false" ht="15" hidden="false" customHeight="false" outlineLevel="0" collapsed="false">
      <c r="A1949" s="76" t="n">
        <v>1938</v>
      </c>
      <c r="B1949" s="77" t="n">
        <v>-0.32119</v>
      </c>
      <c r="C1949" s="78" t="n">
        <f aca="false">05_Unit_Economics!$B$15*EXP((01_Inputs!$C$20-01_Inputs!$C$21^2/2)*01_Inputs!$C$22+01_Inputs!$C$21*SQRT(01_Inputs!$C$22)*B1949)</f>
        <v>48.3656973663229</v>
      </c>
      <c r="D1949" s="78" t="n">
        <f aca="false">MAX(C1949-05_Unit_Economics!$B$21,0)</f>
        <v>10.4580918918194</v>
      </c>
      <c r="E1949" s="78" t="n">
        <f aca="false">D1949*EXP(-01_Inputs!$C$20*01_Inputs!$C$22)</f>
        <v>10.0079124234934</v>
      </c>
      <c r="F1949" s="80" t="n">
        <f aca="false">AVERAGE(E1948:E1949)</f>
        <v>15.8422931752047</v>
      </c>
    </row>
    <row r="1950" customFormat="false" ht="15" hidden="false" customHeight="false" outlineLevel="0" collapsed="false">
      <c r="A1950" s="76" t="n">
        <v>1939</v>
      </c>
      <c r="B1950" s="77" t="n">
        <v>-1.060204</v>
      </c>
      <c r="C1950" s="78" t="n">
        <f aca="false">05_Unit_Economics!$B$15*EXP((01_Inputs!$C$20-01_Inputs!$C$21^2/2)*01_Inputs!$C$22+01_Inputs!$C$21*SQRT(01_Inputs!$C$22)*B1950)</f>
        <v>37.3426434757689</v>
      </c>
      <c r="D1950" s="78" t="n">
        <f aca="false">MAX(C1950-05_Unit_Economics!$B$21,0)</f>
        <v>0</v>
      </c>
      <c r="E1950" s="78" t="n">
        <f aca="false">D1950*EXP(-01_Inputs!$C$20*01_Inputs!$C$22)</f>
        <v>0</v>
      </c>
      <c r="F1950" s="79"/>
    </row>
    <row r="1951" customFormat="false" ht="15" hidden="false" customHeight="false" outlineLevel="0" collapsed="false">
      <c r="A1951" s="76" t="n">
        <v>1940</v>
      </c>
      <c r="B1951" s="77" t="n">
        <v>1.060204</v>
      </c>
      <c r="C1951" s="78" t="n">
        <f aca="false">05_Unit_Economics!$B$15*EXP((01_Inputs!$C$20-01_Inputs!$C$21^2/2)*01_Inputs!$C$22+01_Inputs!$C$21*SQRT(01_Inputs!$C$22)*B1951)</f>
        <v>78.4356646644802</v>
      </c>
      <c r="D1951" s="78" t="n">
        <f aca="false">MAX(C1951-05_Unit_Economics!$B$21,0)</f>
        <v>40.5280591899768</v>
      </c>
      <c r="E1951" s="78" t="n">
        <f aca="false">D1951*EXP(-01_Inputs!$C$20*01_Inputs!$C$22)</f>
        <v>38.7834866305501</v>
      </c>
      <c r="F1951" s="80" t="n">
        <f aca="false">AVERAGE(E1950:E1951)</f>
        <v>19.3917433152751</v>
      </c>
    </row>
    <row r="1952" customFormat="false" ht="15" hidden="false" customHeight="false" outlineLevel="0" collapsed="false">
      <c r="A1952" s="76" t="n">
        <v>1941</v>
      </c>
      <c r="B1952" s="77" t="n">
        <v>-0.262429</v>
      </c>
      <c r="C1952" s="78" t="n">
        <f aca="false">05_Unit_Economics!$B$15*EXP((01_Inputs!$C$20-01_Inputs!$C$21^2/2)*01_Inputs!$C$22+01_Inputs!$C$21*SQRT(01_Inputs!$C$22)*B1952)</f>
        <v>49.3707024453919</v>
      </c>
      <c r="D1952" s="78" t="n">
        <f aca="false">MAX(C1952-05_Unit_Economics!$B$21,0)</f>
        <v>11.4630969708885</v>
      </c>
      <c r="E1952" s="78" t="n">
        <f aca="false">D1952*EXP(-01_Inputs!$C$20*01_Inputs!$C$22)</f>
        <v>10.969656011189</v>
      </c>
      <c r="F1952" s="79"/>
    </row>
    <row r="1953" customFormat="false" ht="15" hidden="false" customHeight="false" outlineLevel="0" collapsed="false">
      <c r="A1953" s="76" t="n">
        <v>1942</v>
      </c>
      <c r="B1953" s="77" t="n">
        <v>0.262429</v>
      </c>
      <c r="C1953" s="78" t="n">
        <f aca="false">05_Unit_Economics!$B$15*EXP((01_Inputs!$C$20-01_Inputs!$C$21^2/2)*01_Inputs!$C$22+01_Inputs!$C$21*SQRT(01_Inputs!$C$22)*B1953)</f>
        <v>59.3265826952809</v>
      </c>
      <c r="D1953" s="78" t="n">
        <f aca="false">MAX(C1953-05_Unit_Economics!$B$21,0)</f>
        <v>21.4189772207774</v>
      </c>
      <c r="E1953" s="78" t="n">
        <f aca="false">D1953*EXP(-01_Inputs!$C$20*01_Inputs!$C$22)</f>
        <v>20.496975016448</v>
      </c>
      <c r="F1953" s="80" t="n">
        <f aca="false">AVERAGE(E1952:E1953)</f>
        <v>15.7333155138185</v>
      </c>
    </row>
    <row r="1954" customFormat="false" ht="15" hidden="false" customHeight="false" outlineLevel="0" collapsed="false">
      <c r="A1954" s="76" t="n">
        <v>1943</v>
      </c>
      <c r="B1954" s="77" t="n">
        <v>-0.044448</v>
      </c>
      <c r="C1954" s="78" t="n">
        <f aca="false">05_Unit_Economics!$B$15*EXP((01_Inputs!$C$20-01_Inputs!$C$21^2/2)*01_Inputs!$C$22+01_Inputs!$C$21*SQRT(01_Inputs!$C$22)*B1954)</f>
        <v>53.284768992952</v>
      </c>
      <c r="D1954" s="78" t="n">
        <f aca="false">MAX(C1954-05_Unit_Economics!$B$21,0)</f>
        <v>15.3771635184485</v>
      </c>
      <c r="E1954" s="78" t="n">
        <f aca="false">D1954*EXP(-01_Inputs!$C$20*01_Inputs!$C$22)</f>
        <v>14.7152374836894</v>
      </c>
      <c r="F1954" s="79"/>
    </row>
    <row r="1955" customFormat="false" ht="15" hidden="false" customHeight="false" outlineLevel="0" collapsed="false">
      <c r="A1955" s="76" t="n">
        <v>1944</v>
      </c>
      <c r="B1955" s="77" t="n">
        <v>0.044448</v>
      </c>
      <c r="C1955" s="78" t="n">
        <f aca="false">05_Unit_Economics!$B$15*EXP((01_Inputs!$C$20-01_Inputs!$C$21^2/2)*01_Inputs!$C$22+01_Inputs!$C$21*SQRT(01_Inputs!$C$22)*B1955)</f>
        <v>54.9687108850575</v>
      </c>
      <c r="D1955" s="78" t="n">
        <f aca="false">MAX(C1955-05_Unit_Economics!$B$21,0)</f>
        <v>17.061105410554</v>
      </c>
      <c r="E1955" s="78" t="n">
        <f aca="false">D1955*EXP(-01_Inputs!$C$20*01_Inputs!$C$22)</f>
        <v>16.3266923414945</v>
      </c>
      <c r="F1955" s="80" t="n">
        <f aca="false">AVERAGE(E1954:E1955)</f>
        <v>15.520964912592</v>
      </c>
    </row>
    <row r="1956" customFormat="false" ht="15" hidden="false" customHeight="false" outlineLevel="0" collapsed="false">
      <c r="A1956" s="76" t="n">
        <v>1945</v>
      </c>
      <c r="B1956" s="77" t="n">
        <v>-1.821352</v>
      </c>
      <c r="C1956" s="78" t="n">
        <f aca="false">05_Unit_Economics!$B$15*EXP((01_Inputs!$C$20-01_Inputs!$C$21^2/2)*01_Inputs!$C$22+01_Inputs!$C$21*SQRT(01_Inputs!$C$22)*B1956)</f>
        <v>28.6093655313758</v>
      </c>
      <c r="D1956" s="78" t="n">
        <f aca="false">MAX(C1956-05_Unit_Economics!$B$21,0)</f>
        <v>0</v>
      </c>
      <c r="E1956" s="78" t="n">
        <f aca="false">D1956*EXP(-01_Inputs!$C$20*01_Inputs!$C$22)</f>
        <v>0</v>
      </c>
      <c r="F1956" s="79"/>
    </row>
    <row r="1957" customFormat="false" ht="15" hidden="false" customHeight="false" outlineLevel="0" collapsed="false">
      <c r="A1957" s="76" t="n">
        <v>1946</v>
      </c>
      <c r="B1957" s="77" t="n">
        <v>1.821352</v>
      </c>
      <c r="C1957" s="78" t="n">
        <f aca="false">05_Unit_Economics!$B$15*EXP((01_Inputs!$C$20-01_Inputs!$C$21^2/2)*01_Inputs!$C$22+01_Inputs!$C$21*SQRT(01_Inputs!$C$22)*B1957)</f>
        <v>102.378889113722</v>
      </c>
      <c r="D1957" s="78" t="n">
        <f aca="false">MAX(C1957-05_Unit_Economics!$B$21,0)</f>
        <v>64.4712836392182</v>
      </c>
      <c r="E1957" s="78" t="n">
        <f aca="false">D1957*EXP(-01_Inputs!$C$20*01_Inputs!$C$22)</f>
        <v>61.6960500219171</v>
      </c>
      <c r="F1957" s="80" t="n">
        <f aca="false">AVERAGE(E1956:E1957)</f>
        <v>30.8480250109586</v>
      </c>
    </row>
    <row r="1958" customFormat="false" ht="15" hidden="false" customHeight="false" outlineLevel="0" collapsed="false">
      <c r="A1958" s="76" t="n">
        <v>1947</v>
      </c>
      <c r="B1958" s="77" t="n">
        <v>-0.749591</v>
      </c>
      <c r="C1958" s="78" t="n">
        <f aca="false">05_Unit_Economics!$B$15*EXP((01_Inputs!$C$20-01_Inputs!$C$21^2/2)*01_Inputs!$C$22+01_Inputs!$C$21*SQRT(01_Inputs!$C$22)*B1958)</f>
        <v>41.6312247370471</v>
      </c>
      <c r="D1958" s="78" t="n">
        <f aca="false">MAX(C1958-05_Unit_Economics!$B$21,0)</f>
        <v>3.72361926254361</v>
      </c>
      <c r="E1958" s="78" t="n">
        <f aca="false">D1958*EXP(-01_Inputs!$C$20*01_Inputs!$C$22)</f>
        <v>3.56333218941398</v>
      </c>
      <c r="F1958" s="79"/>
    </row>
    <row r="1959" customFormat="false" ht="15" hidden="false" customHeight="false" outlineLevel="0" collapsed="false">
      <c r="A1959" s="76" t="n">
        <v>1948</v>
      </c>
      <c r="B1959" s="77" t="n">
        <v>0.749591</v>
      </c>
      <c r="C1959" s="78" t="n">
        <f aca="false">05_Unit_Economics!$B$15*EXP((01_Inputs!$C$20-01_Inputs!$C$21^2/2)*01_Inputs!$C$22+01_Inputs!$C$21*SQRT(01_Inputs!$C$22)*B1959)</f>
        <v>70.3557264973802</v>
      </c>
      <c r="D1959" s="78" t="n">
        <f aca="false">MAX(C1959-05_Unit_Economics!$B$21,0)</f>
        <v>32.4481210228767</v>
      </c>
      <c r="E1959" s="78" t="n">
        <f aca="false">D1959*EXP(-01_Inputs!$C$20*01_Inputs!$C$22)</f>
        <v>31.0513578254062</v>
      </c>
      <c r="F1959" s="80" t="n">
        <f aca="false">AVERAGE(E1958:E1959)</f>
        <v>17.3073450074101</v>
      </c>
    </row>
    <row r="1960" customFormat="false" ht="15" hidden="false" customHeight="false" outlineLevel="0" collapsed="false">
      <c r="A1960" s="76" t="n">
        <v>1949</v>
      </c>
      <c r="B1960" s="77" t="n">
        <v>0.518437</v>
      </c>
      <c r="C1960" s="78" t="n">
        <f aca="false">05_Unit_Economics!$B$15*EXP((01_Inputs!$C$20-01_Inputs!$C$21^2/2)*01_Inputs!$C$22+01_Inputs!$C$21*SQRT(01_Inputs!$C$22)*B1960)</f>
        <v>64.8878425549389</v>
      </c>
      <c r="D1960" s="78" t="n">
        <f aca="false">MAX(C1960-05_Unit_Economics!$B$21,0)</f>
        <v>26.9802370804355</v>
      </c>
      <c r="E1960" s="78" t="n">
        <f aca="false">D1960*EXP(-01_Inputs!$C$20*01_Inputs!$C$22)</f>
        <v>25.8188446476838</v>
      </c>
      <c r="F1960" s="79"/>
    </row>
    <row r="1961" customFormat="false" ht="15" hidden="false" customHeight="false" outlineLevel="0" collapsed="false">
      <c r="A1961" s="76" t="n">
        <v>1950</v>
      </c>
      <c r="B1961" s="77" t="n">
        <v>-0.518437</v>
      </c>
      <c r="C1961" s="78" t="n">
        <f aca="false">05_Unit_Economics!$B$15*EXP((01_Inputs!$C$20-01_Inputs!$C$21^2/2)*01_Inputs!$C$22+01_Inputs!$C$21*SQRT(01_Inputs!$C$22)*B1961)</f>
        <v>45.1393503932689</v>
      </c>
      <c r="D1961" s="78" t="n">
        <f aca="false">MAX(C1961-05_Unit_Economics!$B$21,0)</f>
        <v>7.2317449187654</v>
      </c>
      <c r="E1961" s="78" t="n">
        <f aca="false">D1961*EXP(-01_Inputs!$C$20*01_Inputs!$C$22)</f>
        <v>6.92044691944815</v>
      </c>
      <c r="F1961" s="80" t="n">
        <f aca="false">AVERAGE(E1960:E1961)</f>
        <v>16.369645783566</v>
      </c>
    </row>
    <row r="1962" customFormat="false" ht="15" hidden="false" customHeight="false" outlineLevel="0" collapsed="false">
      <c r="A1962" s="76" t="n">
        <v>1951</v>
      </c>
      <c r="B1962" s="77" t="n">
        <v>-2.21507</v>
      </c>
      <c r="C1962" s="78" t="n">
        <f aca="false">05_Unit_Economics!$B$15*EXP((01_Inputs!$C$20-01_Inputs!$C$21^2/2)*01_Inputs!$C$22+01_Inputs!$C$21*SQRT(01_Inputs!$C$22)*B1962)</f>
        <v>24.9265332961865</v>
      </c>
      <c r="D1962" s="78" t="n">
        <f aca="false">MAX(C1962-05_Unit_Economics!$B$21,0)</f>
        <v>0</v>
      </c>
      <c r="E1962" s="78" t="n">
        <f aca="false">D1962*EXP(-01_Inputs!$C$20*01_Inputs!$C$22)</f>
        <v>0</v>
      </c>
      <c r="F1962" s="79"/>
    </row>
    <row r="1963" customFormat="false" ht="15" hidden="false" customHeight="false" outlineLevel="0" collapsed="false">
      <c r="A1963" s="76" t="n">
        <v>1952</v>
      </c>
      <c r="B1963" s="77" t="n">
        <v>2.21507</v>
      </c>
      <c r="C1963" s="78" t="n">
        <f aca="false">05_Unit_Economics!$B$15*EXP((01_Inputs!$C$20-01_Inputs!$C$21^2/2)*01_Inputs!$C$22+01_Inputs!$C$21*SQRT(01_Inputs!$C$22)*B1963)</f>
        <v>117.505110981428</v>
      </c>
      <c r="D1963" s="78" t="n">
        <f aca="false">MAX(C1963-05_Unit_Economics!$B$21,0)</f>
        <v>79.5975055069244</v>
      </c>
      <c r="E1963" s="78" t="n">
        <f aca="false">D1963*EXP(-01_Inputs!$C$20*01_Inputs!$C$22)</f>
        <v>76.171147899834</v>
      </c>
      <c r="F1963" s="80" t="n">
        <f aca="false">AVERAGE(E1962:E1963)</f>
        <v>38.085573949917</v>
      </c>
    </row>
    <row r="1964" customFormat="false" ht="15" hidden="false" customHeight="false" outlineLevel="0" collapsed="false">
      <c r="A1964" s="76" t="n">
        <v>1953</v>
      </c>
      <c r="B1964" s="77" t="n">
        <v>-0.902585</v>
      </c>
      <c r="C1964" s="78" t="n">
        <f aca="false">05_Unit_Economics!$B$15*EXP((01_Inputs!$C$20-01_Inputs!$C$21^2/2)*01_Inputs!$C$22+01_Inputs!$C$21*SQRT(01_Inputs!$C$22)*B1964)</f>
        <v>39.4605950517383</v>
      </c>
      <c r="D1964" s="78" t="n">
        <f aca="false">MAX(C1964-05_Unit_Economics!$B$21,0)</f>
        <v>1.55298957723486</v>
      </c>
      <c r="E1964" s="78" t="n">
        <f aca="false">D1964*EXP(-01_Inputs!$C$20*01_Inputs!$C$22)</f>
        <v>1.48613952184929</v>
      </c>
      <c r="F1964" s="79"/>
    </row>
    <row r="1965" customFormat="false" ht="15" hidden="false" customHeight="false" outlineLevel="0" collapsed="false">
      <c r="A1965" s="76" t="n">
        <v>1954</v>
      </c>
      <c r="B1965" s="77" t="n">
        <v>0.902585</v>
      </c>
      <c r="C1965" s="78" t="n">
        <f aca="false">05_Unit_Economics!$B$15*EXP((01_Inputs!$C$20-01_Inputs!$C$21^2/2)*01_Inputs!$C$22+01_Inputs!$C$21*SQRT(01_Inputs!$C$22)*B1965)</f>
        <v>74.2258209109704</v>
      </c>
      <c r="D1965" s="78" t="n">
        <f aca="false">MAX(C1965-05_Unit_Economics!$B$21,0)</f>
        <v>36.3182154364669</v>
      </c>
      <c r="E1965" s="78" t="n">
        <f aca="false">D1965*EXP(-01_Inputs!$C$20*01_Inputs!$C$22)</f>
        <v>34.7548599902857</v>
      </c>
      <c r="F1965" s="80" t="n">
        <f aca="false">AVERAGE(E1964:E1965)</f>
        <v>18.1204997560675</v>
      </c>
    </row>
    <row r="1966" customFormat="false" ht="15" hidden="false" customHeight="false" outlineLevel="0" collapsed="false">
      <c r="A1966" s="76" t="n">
        <v>1955</v>
      </c>
      <c r="B1966" s="77" t="n">
        <v>-1.63772</v>
      </c>
      <c r="C1966" s="78" t="n">
        <f aca="false">05_Unit_Economics!$B$15*EXP((01_Inputs!$C$20-01_Inputs!$C$21^2/2)*01_Inputs!$C$22+01_Inputs!$C$21*SQRT(01_Inputs!$C$22)*B1966)</f>
        <v>30.5084999097245</v>
      </c>
      <c r="D1966" s="78" t="n">
        <f aca="false">MAX(C1966-05_Unit_Economics!$B$21,0)</f>
        <v>0</v>
      </c>
      <c r="E1966" s="78" t="n">
        <f aca="false">D1966*EXP(-01_Inputs!$C$20*01_Inputs!$C$22)</f>
        <v>0</v>
      </c>
      <c r="F1966" s="79"/>
    </row>
    <row r="1967" customFormat="false" ht="15" hidden="false" customHeight="false" outlineLevel="0" collapsed="false">
      <c r="A1967" s="76" t="n">
        <v>1956</v>
      </c>
      <c r="B1967" s="77" t="n">
        <v>1.63772</v>
      </c>
      <c r="C1967" s="78" t="n">
        <f aca="false">05_Unit_Economics!$B$15*EXP((01_Inputs!$C$20-01_Inputs!$C$21^2/2)*01_Inputs!$C$22+01_Inputs!$C$21*SQRT(01_Inputs!$C$22)*B1967)</f>
        <v>96.0058695123532</v>
      </c>
      <c r="D1967" s="78" t="n">
        <f aca="false">MAX(C1967-05_Unit_Economics!$B$21,0)</f>
        <v>58.0982640378497</v>
      </c>
      <c r="E1967" s="78" t="n">
        <f aca="false">D1967*EXP(-01_Inputs!$C$20*01_Inputs!$C$22)</f>
        <v>55.5973636933343</v>
      </c>
      <c r="F1967" s="80" t="n">
        <f aca="false">AVERAGE(E1966:E1967)</f>
        <v>27.7986818466671</v>
      </c>
    </row>
    <row r="1968" customFormat="false" ht="15" hidden="false" customHeight="false" outlineLevel="0" collapsed="false">
      <c r="A1968" s="76" t="n">
        <v>1957</v>
      </c>
      <c r="B1968" s="77" t="n">
        <v>-1.940219</v>
      </c>
      <c r="C1968" s="78" t="n">
        <f aca="false">05_Unit_Economics!$B$15*EXP((01_Inputs!$C$20-01_Inputs!$C$21^2/2)*01_Inputs!$C$22+01_Inputs!$C$21*SQRT(01_Inputs!$C$22)*B1968)</f>
        <v>27.4435366263485</v>
      </c>
      <c r="D1968" s="78" t="n">
        <f aca="false">MAX(C1968-05_Unit_Economics!$B$21,0)</f>
        <v>0</v>
      </c>
      <c r="E1968" s="78" t="n">
        <f aca="false">D1968*EXP(-01_Inputs!$C$20*01_Inputs!$C$22)</f>
        <v>0</v>
      </c>
      <c r="F1968" s="79"/>
    </row>
    <row r="1969" customFormat="false" ht="15" hidden="false" customHeight="false" outlineLevel="0" collapsed="false">
      <c r="A1969" s="76" t="n">
        <v>1958</v>
      </c>
      <c r="B1969" s="77" t="n">
        <v>1.940219</v>
      </c>
      <c r="C1969" s="78" t="n">
        <f aca="false">05_Unit_Economics!$B$15*EXP((01_Inputs!$C$20-01_Inputs!$C$21^2/2)*01_Inputs!$C$22+01_Inputs!$C$21*SQRT(01_Inputs!$C$22)*B1969)</f>
        <v>106.728046797676</v>
      </c>
      <c r="D1969" s="78" t="n">
        <f aca="false">MAX(C1969-05_Unit_Economics!$B$21,0)</f>
        <v>68.8204413231723</v>
      </c>
      <c r="E1969" s="78" t="n">
        <f aca="false">D1969*EXP(-01_Inputs!$C$20*01_Inputs!$C$22)</f>
        <v>65.8579936792514</v>
      </c>
      <c r="F1969" s="80" t="n">
        <f aca="false">AVERAGE(E1968:E1969)</f>
        <v>32.9289968396257</v>
      </c>
    </row>
    <row r="1970" customFormat="false" ht="15" hidden="false" customHeight="false" outlineLevel="0" collapsed="false">
      <c r="A1970" s="76" t="n">
        <v>1959</v>
      </c>
      <c r="B1970" s="77" t="n">
        <v>0.768896</v>
      </c>
      <c r="C1970" s="78" t="n">
        <f aca="false">05_Unit_Economics!$B$15*EXP((01_Inputs!$C$20-01_Inputs!$C$21^2/2)*01_Inputs!$C$22+01_Inputs!$C$21*SQRT(01_Inputs!$C$22)*B1970)</f>
        <v>70.8327121741997</v>
      </c>
      <c r="D1970" s="78" t="n">
        <f aca="false">MAX(C1970-05_Unit_Economics!$B$21,0)</f>
        <v>32.9251066996963</v>
      </c>
      <c r="E1970" s="78" t="n">
        <f aca="false">D1970*EXP(-01_Inputs!$C$20*01_Inputs!$C$22)</f>
        <v>31.5078111564967</v>
      </c>
      <c r="F1970" s="79"/>
    </row>
    <row r="1971" customFormat="false" ht="15" hidden="false" customHeight="false" outlineLevel="0" collapsed="false">
      <c r="A1971" s="76" t="n">
        <v>1960</v>
      </c>
      <c r="B1971" s="77" t="n">
        <v>-0.768896</v>
      </c>
      <c r="C1971" s="78" t="n">
        <f aca="false">05_Unit_Economics!$B$15*EXP((01_Inputs!$C$20-01_Inputs!$C$21^2/2)*01_Inputs!$C$22+01_Inputs!$C$21*SQRT(01_Inputs!$C$22)*B1971)</f>
        <v>41.3508811316915</v>
      </c>
      <c r="D1971" s="78" t="n">
        <f aca="false">MAX(C1971-05_Unit_Economics!$B$21,0)</f>
        <v>3.44327565718805</v>
      </c>
      <c r="E1971" s="78" t="n">
        <f aca="false">D1971*EXP(-01_Inputs!$C$20*01_Inputs!$C$22)</f>
        <v>3.29505626681671</v>
      </c>
      <c r="F1971" s="80" t="n">
        <f aca="false">AVERAGE(E1970:E1971)</f>
        <v>17.4014337116567</v>
      </c>
    </row>
    <row r="1972" customFormat="false" ht="15" hidden="false" customHeight="false" outlineLevel="0" collapsed="false">
      <c r="A1972" s="76" t="n">
        <v>1961</v>
      </c>
      <c r="B1972" s="77" t="n">
        <v>0.284616</v>
      </c>
      <c r="C1972" s="78" t="n">
        <f aca="false">05_Unit_Economics!$B$15*EXP((01_Inputs!$C$20-01_Inputs!$C$21^2/2)*01_Inputs!$C$22+01_Inputs!$C$21*SQRT(01_Inputs!$C$22)*B1972)</f>
        <v>59.7890737081898</v>
      </c>
      <c r="D1972" s="78" t="n">
        <f aca="false">MAX(C1972-05_Unit_Economics!$B$21,0)</f>
        <v>21.8814682336863</v>
      </c>
      <c r="E1972" s="78" t="n">
        <f aca="false">D1972*EXP(-01_Inputs!$C$20*01_Inputs!$C$22)</f>
        <v>20.9395576215468</v>
      </c>
      <c r="F1972" s="79"/>
    </row>
    <row r="1973" customFormat="false" ht="15" hidden="false" customHeight="false" outlineLevel="0" collapsed="false">
      <c r="A1973" s="76" t="n">
        <v>1962</v>
      </c>
      <c r="B1973" s="77" t="n">
        <v>-0.284616</v>
      </c>
      <c r="C1973" s="78" t="n">
        <f aca="false">05_Unit_Economics!$B$15*EXP((01_Inputs!$C$20-01_Inputs!$C$21^2/2)*01_Inputs!$C$22+01_Inputs!$C$21*SQRT(01_Inputs!$C$22)*B1973)</f>
        <v>48.988801459713</v>
      </c>
      <c r="D1973" s="78" t="n">
        <f aca="false">MAX(C1973-05_Unit_Economics!$B$21,0)</f>
        <v>11.0811959852095</v>
      </c>
      <c r="E1973" s="78" t="n">
        <f aca="false">D1973*EXP(-01_Inputs!$C$20*01_Inputs!$C$22)</f>
        <v>10.6041943515807</v>
      </c>
      <c r="F1973" s="80" t="n">
        <f aca="false">AVERAGE(E1972:E1973)</f>
        <v>15.7718759865638</v>
      </c>
    </row>
    <row r="1974" customFormat="false" ht="15" hidden="false" customHeight="false" outlineLevel="0" collapsed="false">
      <c r="A1974" s="76" t="n">
        <v>1963</v>
      </c>
      <c r="B1974" s="77" t="n">
        <v>0.236479</v>
      </c>
      <c r="C1974" s="78" t="n">
        <f aca="false">05_Unit_Economics!$B$15*EXP((01_Inputs!$C$20-01_Inputs!$C$21^2/2)*01_Inputs!$C$22+01_Inputs!$C$21*SQRT(01_Inputs!$C$22)*B1974)</f>
        <v>58.790188594997</v>
      </c>
      <c r="D1974" s="78" t="n">
        <f aca="false">MAX(C1974-05_Unit_Economics!$B$21,0)</f>
        <v>20.8825831204936</v>
      </c>
      <c r="E1974" s="78" t="n">
        <f aca="false">D1974*EXP(-01_Inputs!$C$20*01_Inputs!$C$22)</f>
        <v>19.9836705594162</v>
      </c>
      <c r="F1974" s="79"/>
    </row>
    <row r="1975" customFormat="false" ht="15" hidden="false" customHeight="false" outlineLevel="0" collapsed="false">
      <c r="A1975" s="76" t="n">
        <v>1964</v>
      </c>
      <c r="B1975" s="77" t="n">
        <v>-0.236479</v>
      </c>
      <c r="C1975" s="78" t="n">
        <f aca="false">05_Unit_Economics!$B$15*EXP((01_Inputs!$C$20-01_Inputs!$C$21^2/2)*01_Inputs!$C$22+01_Inputs!$C$21*SQRT(01_Inputs!$C$22)*B1975)</f>
        <v>49.8211543686034</v>
      </c>
      <c r="D1975" s="78" t="n">
        <f aca="false">MAX(C1975-05_Unit_Economics!$B$21,0)</f>
        <v>11.9135488940999</v>
      </c>
      <c r="E1975" s="78" t="n">
        <f aca="false">D1975*EXP(-01_Inputs!$C$20*01_Inputs!$C$22)</f>
        <v>11.4007177617575</v>
      </c>
      <c r="F1975" s="80" t="n">
        <f aca="false">AVERAGE(E1974:E1975)</f>
        <v>15.6921941605868</v>
      </c>
    </row>
    <row r="1976" customFormat="false" ht="15" hidden="false" customHeight="false" outlineLevel="0" collapsed="false">
      <c r="A1976" s="76" t="n">
        <v>1965</v>
      </c>
      <c r="B1976" s="77" t="n">
        <v>-2.063486</v>
      </c>
      <c r="C1976" s="78" t="n">
        <f aca="false">05_Unit_Economics!$B$15*EXP((01_Inputs!$C$20-01_Inputs!$C$21^2/2)*01_Inputs!$C$22+01_Inputs!$C$21*SQRT(01_Inputs!$C$22)*B1976)</f>
        <v>26.284705506641</v>
      </c>
      <c r="D1976" s="78" t="n">
        <f aca="false">MAX(C1976-05_Unit_Economics!$B$21,0)</f>
        <v>0</v>
      </c>
      <c r="E1976" s="78" t="n">
        <f aca="false">D1976*EXP(-01_Inputs!$C$20*01_Inputs!$C$22)</f>
        <v>0</v>
      </c>
      <c r="F1976" s="79"/>
    </row>
    <row r="1977" customFormat="false" ht="15" hidden="false" customHeight="false" outlineLevel="0" collapsed="false">
      <c r="A1977" s="76" t="n">
        <v>1966</v>
      </c>
      <c r="B1977" s="77" t="n">
        <v>2.063486</v>
      </c>
      <c r="C1977" s="78" t="n">
        <f aca="false">05_Unit_Economics!$B$15*EXP((01_Inputs!$C$20-01_Inputs!$C$21^2/2)*01_Inputs!$C$22+01_Inputs!$C$21*SQRT(01_Inputs!$C$22)*B1977)</f>
        <v>111.433436475467</v>
      </c>
      <c r="D1977" s="78" t="n">
        <f aca="false">MAX(C1977-05_Unit_Economics!$B$21,0)</f>
        <v>73.5258310009639</v>
      </c>
      <c r="E1977" s="78" t="n">
        <f aca="false">D1977*EXP(-01_Inputs!$C$20*01_Inputs!$C$22)</f>
        <v>70.3608349528668</v>
      </c>
      <c r="F1977" s="80" t="n">
        <f aca="false">AVERAGE(E1976:E1977)</f>
        <v>35.1804174764334</v>
      </c>
    </row>
    <row r="1978" customFormat="false" ht="15" hidden="false" customHeight="false" outlineLevel="0" collapsed="false">
      <c r="A1978" s="76" t="n">
        <v>1967</v>
      </c>
      <c r="B1978" s="77" t="n">
        <v>-1.725523</v>
      </c>
      <c r="C1978" s="78" t="n">
        <f aca="false">05_Unit_Economics!$B$15*EXP((01_Inputs!$C$20-01_Inputs!$C$21^2/2)*01_Inputs!$C$22+01_Inputs!$C$21*SQRT(01_Inputs!$C$22)*B1978)</f>
        <v>29.5852013036471</v>
      </c>
      <c r="D1978" s="78" t="n">
        <f aca="false">MAX(C1978-05_Unit_Economics!$B$21,0)</f>
        <v>0</v>
      </c>
      <c r="E1978" s="78" t="n">
        <f aca="false">D1978*EXP(-01_Inputs!$C$20*01_Inputs!$C$22)</f>
        <v>0</v>
      </c>
      <c r="F1978" s="79"/>
    </row>
    <row r="1979" customFormat="false" ht="15" hidden="false" customHeight="false" outlineLevel="0" collapsed="false">
      <c r="A1979" s="76" t="n">
        <v>1968</v>
      </c>
      <c r="B1979" s="77" t="n">
        <v>1.725523</v>
      </c>
      <c r="C1979" s="78" t="n">
        <f aca="false">05_Unit_Economics!$B$15*EXP((01_Inputs!$C$20-01_Inputs!$C$21^2/2)*01_Inputs!$C$22+01_Inputs!$C$21*SQRT(01_Inputs!$C$22)*B1979)</f>
        <v>99.0020325124366</v>
      </c>
      <c r="D1979" s="78" t="n">
        <f aca="false">MAX(C1979-05_Unit_Economics!$B$21,0)</f>
        <v>61.0944270379331</v>
      </c>
      <c r="E1979" s="78" t="n">
        <f aca="false">D1979*EXP(-01_Inputs!$C$20*01_Inputs!$C$22)</f>
        <v>58.4645537334984</v>
      </c>
      <c r="F1979" s="80" t="n">
        <f aca="false">AVERAGE(E1978:E1979)</f>
        <v>29.2322768667492</v>
      </c>
    </row>
    <row r="1980" customFormat="false" ht="15" hidden="false" customHeight="false" outlineLevel="0" collapsed="false">
      <c r="A1980" s="76" t="n">
        <v>1969</v>
      </c>
      <c r="B1980" s="77" t="n">
        <v>1.340351</v>
      </c>
      <c r="C1980" s="78" t="n">
        <f aca="false">05_Unit_Economics!$B$15*EXP((01_Inputs!$C$20-01_Inputs!$C$21^2/2)*01_Inputs!$C$22+01_Inputs!$C$21*SQRT(01_Inputs!$C$22)*B1980)</f>
        <v>86.5160702874819</v>
      </c>
      <c r="D1980" s="78" t="n">
        <f aca="false">MAX(C1980-05_Unit_Economics!$B$21,0)</f>
        <v>48.6084648129784</v>
      </c>
      <c r="E1980" s="78" t="n">
        <f aca="false">D1980*EXP(-01_Inputs!$C$20*01_Inputs!$C$22)</f>
        <v>46.516062769469</v>
      </c>
      <c r="F1980" s="79"/>
    </row>
    <row r="1981" customFormat="false" ht="15" hidden="false" customHeight="false" outlineLevel="0" collapsed="false">
      <c r="A1981" s="76" t="n">
        <v>1970</v>
      </c>
      <c r="B1981" s="77" t="n">
        <v>-1.340351</v>
      </c>
      <c r="C1981" s="78" t="n">
        <f aca="false">05_Unit_Economics!$B$15*EXP((01_Inputs!$C$20-01_Inputs!$C$21^2/2)*01_Inputs!$C$22+01_Inputs!$C$21*SQRT(01_Inputs!$C$22)*B1981)</f>
        <v>33.8549248898843</v>
      </c>
      <c r="D1981" s="78" t="n">
        <f aca="false">MAX(C1981-05_Unit_Economics!$B$21,0)</f>
        <v>0</v>
      </c>
      <c r="E1981" s="78" t="n">
        <f aca="false">D1981*EXP(-01_Inputs!$C$20*01_Inputs!$C$22)</f>
        <v>0</v>
      </c>
      <c r="F1981" s="80" t="n">
        <f aca="false">AVERAGE(E1980:E1981)</f>
        <v>23.2580313847345</v>
      </c>
    </row>
    <row r="1982" customFormat="false" ht="15" hidden="false" customHeight="false" outlineLevel="0" collapsed="false">
      <c r="A1982" s="76" t="n">
        <v>1971</v>
      </c>
      <c r="B1982" s="77" t="n">
        <v>0.082928</v>
      </c>
      <c r="C1982" s="78" t="n">
        <f aca="false">05_Unit_Economics!$B$15*EXP((01_Inputs!$C$20-01_Inputs!$C$21^2/2)*01_Inputs!$C$22+01_Inputs!$C$21*SQRT(01_Inputs!$C$22)*B1982)</f>
        <v>55.7140372449549</v>
      </c>
      <c r="D1982" s="78" t="n">
        <f aca="false">MAX(C1982-05_Unit_Economics!$B$21,0)</f>
        <v>17.8064317704514</v>
      </c>
      <c r="E1982" s="78" t="n">
        <f aca="false">D1982*EXP(-01_Inputs!$C$20*01_Inputs!$C$22)</f>
        <v>17.0399353512072</v>
      </c>
      <c r="F1982" s="79"/>
    </row>
    <row r="1983" customFormat="false" ht="15" hidden="false" customHeight="false" outlineLevel="0" collapsed="false">
      <c r="A1983" s="76" t="n">
        <v>1972</v>
      </c>
      <c r="B1983" s="77" t="n">
        <v>-0.082928</v>
      </c>
      <c r="C1983" s="78" t="n">
        <f aca="false">05_Unit_Economics!$B$15*EXP((01_Inputs!$C$20-01_Inputs!$C$21^2/2)*01_Inputs!$C$22+01_Inputs!$C$21*SQRT(01_Inputs!$C$22)*B1983)</f>
        <v>52.5719406847668</v>
      </c>
      <c r="D1983" s="78" t="n">
        <f aca="false">MAX(C1983-05_Unit_Economics!$B$21,0)</f>
        <v>14.6643352102633</v>
      </c>
      <c r="E1983" s="78" t="n">
        <f aca="false">D1983*EXP(-01_Inputs!$C$20*01_Inputs!$C$22)</f>
        <v>14.0330936131728</v>
      </c>
      <c r="F1983" s="80" t="n">
        <f aca="false">AVERAGE(E1982:E1983)</f>
        <v>15.53651448219</v>
      </c>
    </row>
    <row r="1984" customFormat="false" ht="15" hidden="false" customHeight="false" outlineLevel="0" collapsed="false">
      <c r="A1984" s="76" t="n">
        <v>1973</v>
      </c>
      <c r="B1984" s="77" t="n">
        <v>-0.879029</v>
      </c>
      <c r="C1984" s="78" t="n">
        <f aca="false">05_Unit_Economics!$B$15*EXP((01_Inputs!$C$20-01_Inputs!$C$21^2/2)*01_Inputs!$C$22+01_Inputs!$C$21*SQRT(01_Inputs!$C$22)*B1984)</f>
        <v>39.7872767030023</v>
      </c>
      <c r="D1984" s="78" t="n">
        <f aca="false">MAX(C1984-05_Unit_Economics!$B$21,0)</f>
        <v>1.87967122849885</v>
      </c>
      <c r="E1984" s="78" t="n">
        <f aca="false">D1984*EXP(-01_Inputs!$C$20*01_Inputs!$C$22)</f>
        <v>1.7987588208602</v>
      </c>
      <c r="F1984" s="79"/>
    </row>
    <row r="1985" customFormat="false" ht="15" hidden="false" customHeight="false" outlineLevel="0" collapsed="false">
      <c r="A1985" s="76" t="n">
        <v>1974</v>
      </c>
      <c r="B1985" s="77" t="n">
        <v>0.879029</v>
      </c>
      <c r="C1985" s="78" t="n">
        <f aca="false">05_Unit_Economics!$B$15*EXP((01_Inputs!$C$20-01_Inputs!$C$21^2/2)*01_Inputs!$C$22+01_Inputs!$C$21*SQRT(01_Inputs!$C$22)*B1985)</f>
        <v>73.6163744810821</v>
      </c>
      <c r="D1985" s="78" t="n">
        <f aca="false">MAX(C1985-05_Unit_Economics!$B$21,0)</f>
        <v>35.7087690065786</v>
      </c>
      <c r="E1985" s="78" t="n">
        <f aca="false">D1985*EXP(-01_Inputs!$C$20*01_Inputs!$C$22)</f>
        <v>34.1716478173363</v>
      </c>
      <c r="F1985" s="80" t="n">
        <f aca="false">AVERAGE(E1984:E1985)</f>
        <v>17.9852033190982</v>
      </c>
    </row>
    <row r="1986" customFormat="false" ht="15" hidden="false" customHeight="false" outlineLevel="0" collapsed="false">
      <c r="A1986" s="76" t="n">
        <v>1975</v>
      </c>
      <c r="B1986" s="77" t="n">
        <v>-0.526604</v>
      </c>
      <c r="C1986" s="78" t="n">
        <f aca="false">05_Unit_Economics!$B$15*EXP((01_Inputs!$C$20-01_Inputs!$C$21^2/2)*01_Inputs!$C$22+01_Inputs!$C$21*SQRT(01_Inputs!$C$22)*B1986)</f>
        <v>45.0105060524197</v>
      </c>
      <c r="D1986" s="78" t="n">
        <f aca="false">MAX(C1986-05_Unit_Economics!$B$21,0)</f>
        <v>7.10290057791624</v>
      </c>
      <c r="E1986" s="78" t="n">
        <f aca="false">D1986*EXP(-01_Inputs!$C$20*01_Inputs!$C$22)</f>
        <v>6.79714881757453</v>
      </c>
      <c r="F1986" s="79"/>
    </row>
    <row r="1987" customFormat="false" ht="15" hidden="false" customHeight="false" outlineLevel="0" collapsed="false">
      <c r="A1987" s="76" t="n">
        <v>1976</v>
      </c>
      <c r="B1987" s="77" t="n">
        <v>0.526604</v>
      </c>
      <c r="C1987" s="78" t="n">
        <f aca="false">05_Unit_Economics!$B$15*EXP((01_Inputs!$C$20-01_Inputs!$C$21^2/2)*01_Inputs!$C$22+01_Inputs!$C$21*SQRT(01_Inputs!$C$22)*B1987)</f>
        <v>65.0735865519822</v>
      </c>
      <c r="D1987" s="78" t="n">
        <f aca="false">MAX(C1987-05_Unit_Economics!$B$21,0)</f>
        <v>27.1659810774787</v>
      </c>
      <c r="E1987" s="78" t="n">
        <f aca="false">D1987*EXP(-01_Inputs!$C$20*01_Inputs!$C$22)</f>
        <v>25.9965931007312</v>
      </c>
      <c r="F1987" s="80" t="n">
        <f aca="false">AVERAGE(E1986:E1987)</f>
        <v>16.3968709591529</v>
      </c>
    </row>
    <row r="1988" customFormat="false" ht="15" hidden="false" customHeight="false" outlineLevel="0" collapsed="false">
      <c r="A1988" s="76" t="n">
        <v>1977</v>
      </c>
      <c r="B1988" s="77" t="n">
        <v>0.343674</v>
      </c>
      <c r="C1988" s="78" t="n">
        <f aca="false">05_Unit_Economics!$B$15*EXP((01_Inputs!$C$20-01_Inputs!$C$21^2/2)*01_Inputs!$C$22+01_Inputs!$C$21*SQRT(01_Inputs!$C$22)*B1988)</f>
        <v>61.0377930395873</v>
      </c>
      <c r="D1988" s="78" t="n">
        <f aca="false">MAX(C1988-05_Unit_Economics!$B$21,0)</f>
        <v>23.1301875650839</v>
      </c>
      <c r="E1988" s="78" t="n">
        <f aca="false">D1988*EXP(-01_Inputs!$C$20*01_Inputs!$C$22)</f>
        <v>22.1345245275009</v>
      </c>
      <c r="F1988" s="79"/>
    </row>
    <row r="1989" customFormat="false" ht="15" hidden="false" customHeight="false" outlineLevel="0" collapsed="false">
      <c r="A1989" s="76" t="n">
        <v>1978</v>
      </c>
      <c r="B1989" s="77" t="n">
        <v>-0.343674</v>
      </c>
      <c r="C1989" s="78" t="n">
        <f aca="false">05_Unit_Economics!$B$15*EXP((01_Inputs!$C$20-01_Inputs!$C$21^2/2)*01_Inputs!$C$22+01_Inputs!$C$21*SQRT(01_Inputs!$C$22)*B1989)</f>
        <v>47.9865820091331</v>
      </c>
      <c r="D1989" s="78" t="n">
        <f aca="false">MAX(C1989-05_Unit_Economics!$B$21,0)</f>
        <v>10.0789765346296</v>
      </c>
      <c r="E1989" s="78" t="n">
        <f aca="false">D1989*EXP(-01_Inputs!$C$20*01_Inputs!$C$22)</f>
        <v>9.6451164820918</v>
      </c>
      <c r="F1989" s="80" t="n">
        <f aca="false">AVERAGE(E1988:E1989)</f>
        <v>15.8898205047963</v>
      </c>
    </row>
    <row r="1990" customFormat="false" ht="15" hidden="false" customHeight="false" outlineLevel="0" collapsed="false">
      <c r="A1990" s="76" t="n">
        <v>1979</v>
      </c>
      <c r="B1990" s="77" t="n">
        <v>1.76017</v>
      </c>
      <c r="C1990" s="78" t="n">
        <f aca="false">05_Unit_Economics!$B$15*EXP((01_Inputs!$C$20-01_Inputs!$C$21^2/2)*01_Inputs!$C$22+01_Inputs!$C$21*SQRT(01_Inputs!$C$22)*B1990)</f>
        <v>100.209884386012</v>
      </c>
      <c r="D1990" s="78" t="n">
        <f aca="false">MAX(C1990-05_Unit_Economics!$B$21,0)</f>
        <v>62.3022789115083</v>
      </c>
      <c r="E1990" s="78" t="n">
        <f aca="false">D1990*EXP(-01_Inputs!$C$20*01_Inputs!$C$22)</f>
        <v>59.6204123639574</v>
      </c>
      <c r="F1990" s="79"/>
    </row>
    <row r="1991" customFormat="false" ht="15" hidden="false" customHeight="false" outlineLevel="0" collapsed="false">
      <c r="A1991" s="76" t="n">
        <v>1980</v>
      </c>
      <c r="B1991" s="77" t="n">
        <v>-1.76017</v>
      </c>
      <c r="C1991" s="78" t="n">
        <f aca="false">05_Unit_Economics!$B$15*EXP((01_Inputs!$C$20-01_Inputs!$C$21^2/2)*01_Inputs!$C$22+01_Inputs!$C$21*SQRT(01_Inputs!$C$22)*B1991)</f>
        <v>29.2286043367545</v>
      </c>
      <c r="D1991" s="78" t="n">
        <f aca="false">MAX(C1991-05_Unit_Economics!$B$21,0)</f>
        <v>0</v>
      </c>
      <c r="E1991" s="78" t="n">
        <f aca="false">D1991*EXP(-01_Inputs!$C$20*01_Inputs!$C$22)</f>
        <v>0</v>
      </c>
      <c r="F1991" s="80" t="n">
        <f aca="false">AVERAGE(E1990:E1991)</f>
        <v>29.8102061819787</v>
      </c>
    </row>
    <row r="1992" customFormat="false" ht="15" hidden="false" customHeight="false" outlineLevel="0" collapsed="false">
      <c r="A1992" s="76" t="n">
        <v>1981</v>
      </c>
      <c r="B1992" s="77" t="n">
        <v>-0.525422</v>
      </c>
      <c r="C1992" s="78" t="n">
        <f aca="false">05_Unit_Economics!$B$15*EXP((01_Inputs!$C$20-01_Inputs!$C$21^2/2)*01_Inputs!$C$22+01_Inputs!$C$21*SQRT(01_Inputs!$C$22)*B1992)</f>
        <v>45.0291307510269</v>
      </c>
      <c r="D1992" s="78" t="n">
        <f aca="false">MAX(C1992-05_Unit_Economics!$B$21,0)</f>
        <v>7.12152527652339</v>
      </c>
      <c r="E1992" s="78" t="n">
        <f aca="false">D1992*EXP(-01_Inputs!$C$20*01_Inputs!$C$22)</f>
        <v>6.81497179661339</v>
      </c>
      <c r="F1992" s="79"/>
    </row>
    <row r="1993" customFormat="false" ht="15" hidden="false" customHeight="false" outlineLevel="0" collapsed="false">
      <c r="A1993" s="76" t="n">
        <v>1982</v>
      </c>
      <c r="B1993" s="77" t="n">
        <v>0.525422</v>
      </c>
      <c r="C1993" s="78" t="n">
        <f aca="false">05_Unit_Economics!$B$15*EXP((01_Inputs!$C$20-01_Inputs!$C$21^2/2)*01_Inputs!$C$22+01_Inputs!$C$21*SQRT(01_Inputs!$C$22)*B1993)</f>
        <v>65.0466711770548</v>
      </c>
      <c r="D1993" s="78" t="n">
        <f aca="false">MAX(C1993-05_Unit_Economics!$B$21,0)</f>
        <v>27.1390657025514</v>
      </c>
      <c r="E1993" s="78" t="n">
        <f aca="false">D1993*EXP(-01_Inputs!$C$20*01_Inputs!$C$22)</f>
        <v>25.9708363261775</v>
      </c>
      <c r="F1993" s="80" t="n">
        <f aca="false">AVERAGE(E1992:E1993)</f>
        <v>16.3929040613955</v>
      </c>
    </row>
    <row r="1994" customFormat="false" ht="15" hidden="false" customHeight="false" outlineLevel="0" collapsed="false">
      <c r="A1994" s="76" t="n">
        <v>1983</v>
      </c>
      <c r="B1994" s="77" t="n">
        <v>0.950553</v>
      </c>
      <c r="C1994" s="78" t="n">
        <f aca="false">05_Unit_Economics!$B$15*EXP((01_Inputs!$C$20-01_Inputs!$C$21^2/2)*01_Inputs!$C$22+01_Inputs!$C$21*SQRT(01_Inputs!$C$22)*B1994)</f>
        <v>75.4825029471384</v>
      </c>
      <c r="D1994" s="78" t="n">
        <f aca="false">MAX(C1994-05_Unit_Economics!$B$21,0)</f>
        <v>37.574897472635</v>
      </c>
      <c r="E1994" s="78" t="n">
        <f aca="false">D1994*EXP(-01_Inputs!$C$20*01_Inputs!$C$22)</f>
        <v>35.957446838082</v>
      </c>
      <c r="F1994" s="79"/>
    </row>
    <row r="1995" customFormat="false" ht="15" hidden="false" customHeight="false" outlineLevel="0" collapsed="false">
      <c r="A1995" s="76" t="n">
        <v>1984</v>
      </c>
      <c r="B1995" s="77" t="n">
        <v>-0.950553</v>
      </c>
      <c r="C1995" s="78" t="n">
        <f aca="false">05_Unit_Economics!$B$15*EXP((01_Inputs!$C$20-01_Inputs!$C$21^2/2)*01_Inputs!$C$22+01_Inputs!$C$21*SQRT(01_Inputs!$C$22)*B1995)</f>
        <v>38.8036292781901</v>
      </c>
      <c r="D1995" s="78" t="n">
        <f aca="false">MAX(C1995-05_Unit_Economics!$B$21,0)</f>
        <v>0.896023803686632</v>
      </c>
      <c r="E1995" s="78" t="n">
        <f aca="false">D1995*EXP(-01_Inputs!$C$20*01_Inputs!$C$22)</f>
        <v>0.857453524927974</v>
      </c>
      <c r="F1995" s="80" t="n">
        <f aca="false">AVERAGE(E1994:E1995)</f>
        <v>18.407450181505</v>
      </c>
    </row>
    <row r="1996" customFormat="false" ht="15" hidden="false" customHeight="false" outlineLevel="0" collapsed="false">
      <c r="A1996" s="76" t="n">
        <v>1985</v>
      </c>
      <c r="B1996" s="77" t="n">
        <v>1.282432</v>
      </c>
      <c r="C1996" s="78" t="n">
        <f aca="false">05_Unit_Economics!$B$15*EXP((01_Inputs!$C$20-01_Inputs!$C$21^2/2)*01_Inputs!$C$22+01_Inputs!$C$21*SQRT(01_Inputs!$C$22)*B1996)</f>
        <v>84.7799037262609</v>
      </c>
      <c r="D1996" s="78" t="n">
        <f aca="false">MAX(C1996-05_Unit_Economics!$B$21,0)</f>
        <v>46.8722982517574</v>
      </c>
      <c r="E1996" s="78" t="n">
        <f aca="false">D1996*EXP(-01_Inputs!$C$20*01_Inputs!$C$22)</f>
        <v>44.8546313078762</v>
      </c>
      <c r="F1996" s="79"/>
    </row>
    <row r="1997" customFormat="false" ht="15" hidden="false" customHeight="false" outlineLevel="0" collapsed="false">
      <c r="A1997" s="76" t="n">
        <v>1986</v>
      </c>
      <c r="B1997" s="77" t="n">
        <v>-1.282432</v>
      </c>
      <c r="C1997" s="78" t="n">
        <f aca="false">05_Unit_Economics!$B$15*EXP((01_Inputs!$C$20-01_Inputs!$C$21^2/2)*01_Inputs!$C$22+01_Inputs!$C$21*SQRT(01_Inputs!$C$22)*B1997)</f>
        <v>34.5482234894705</v>
      </c>
      <c r="D1997" s="78" t="n">
        <f aca="false">MAX(C1997-05_Unit_Economics!$B$21,0)</f>
        <v>0</v>
      </c>
      <c r="E1997" s="78" t="n">
        <f aca="false">D1997*EXP(-01_Inputs!$C$20*01_Inputs!$C$22)</f>
        <v>0</v>
      </c>
      <c r="F1997" s="80" t="n">
        <f aca="false">AVERAGE(E1996:E1997)</f>
        <v>22.4273156539381</v>
      </c>
    </row>
    <row r="1998" customFormat="false" ht="15" hidden="false" customHeight="false" outlineLevel="0" collapsed="false">
      <c r="A1998" s="76" t="n">
        <v>1987</v>
      </c>
      <c r="B1998" s="77" t="n">
        <v>2.039915</v>
      </c>
      <c r="C1998" s="78" t="n">
        <f aca="false">05_Unit_Economics!$B$15*EXP((01_Inputs!$C$20-01_Inputs!$C$21^2/2)*01_Inputs!$C$22+01_Inputs!$C$21*SQRT(01_Inputs!$C$22)*B1998)</f>
        <v>110.517909014236</v>
      </c>
      <c r="D1998" s="78" t="n">
        <f aca="false">MAX(C1998-05_Unit_Economics!$B$21,0)</f>
        <v>72.6103035397324</v>
      </c>
      <c r="E1998" s="78" t="n">
        <f aca="false">D1998*EXP(-01_Inputs!$C$20*01_Inputs!$C$22)</f>
        <v>69.4847173256661</v>
      </c>
      <c r="F1998" s="79"/>
    </row>
    <row r="1999" customFormat="false" ht="15" hidden="false" customHeight="false" outlineLevel="0" collapsed="false">
      <c r="A1999" s="76" t="n">
        <v>1988</v>
      </c>
      <c r="B1999" s="77" t="n">
        <v>-2.039915</v>
      </c>
      <c r="C1999" s="78" t="n">
        <f aca="false">05_Unit_Economics!$B$15*EXP((01_Inputs!$C$20-01_Inputs!$C$21^2/2)*01_Inputs!$C$22+01_Inputs!$C$21*SQRT(01_Inputs!$C$22)*B1999)</f>
        <v>26.5024473180484</v>
      </c>
      <c r="D1999" s="78" t="n">
        <f aca="false">MAX(C1999-05_Unit_Economics!$B$21,0)</f>
        <v>0</v>
      </c>
      <c r="E1999" s="78" t="n">
        <f aca="false">D1999*EXP(-01_Inputs!$C$20*01_Inputs!$C$22)</f>
        <v>0</v>
      </c>
      <c r="F1999" s="80" t="n">
        <f aca="false">AVERAGE(E1998:E1999)</f>
        <v>34.742358662833</v>
      </c>
    </row>
    <row r="2000" customFormat="false" ht="15" hidden="false" customHeight="false" outlineLevel="0" collapsed="false">
      <c r="A2000" s="76" t="n">
        <v>1989</v>
      </c>
      <c r="B2000" s="77" t="n">
        <v>1.755657</v>
      </c>
      <c r="C2000" s="78" t="n">
        <f aca="false">05_Unit_Economics!$B$15*EXP((01_Inputs!$C$20-01_Inputs!$C$21^2/2)*01_Inputs!$C$22+01_Inputs!$C$21*SQRT(01_Inputs!$C$22)*B2000)</f>
        <v>100.051722808074</v>
      </c>
      <c r="D2000" s="78" t="n">
        <f aca="false">MAX(C2000-05_Unit_Economics!$B$21,0)</f>
        <v>62.1441173335708</v>
      </c>
      <c r="E2000" s="78" t="n">
        <f aca="false">D2000*EXP(-01_Inputs!$C$20*01_Inputs!$C$22)</f>
        <v>59.4690590160299</v>
      </c>
      <c r="F2000" s="79"/>
    </row>
    <row r="2001" customFormat="false" ht="15" hidden="false" customHeight="false" outlineLevel="0" collapsed="false">
      <c r="A2001" s="76" t="n">
        <v>1990</v>
      </c>
      <c r="B2001" s="77" t="n">
        <v>-1.755657</v>
      </c>
      <c r="C2001" s="78" t="n">
        <f aca="false">05_Unit_Economics!$B$15*EXP((01_Inputs!$C$20-01_Inputs!$C$21^2/2)*01_Inputs!$C$22+01_Inputs!$C$21*SQRT(01_Inputs!$C$22)*B2001)</f>
        <v>29.2748088603056</v>
      </c>
      <c r="D2001" s="78" t="n">
        <f aca="false">MAX(C2001-05_Unit_Economics!$B$21,0)</f>
        <v>0</v>
      </c>
      <c r="E2001" s="78" t="n">
        <f aca="false">D2001*EXP(-01_Inputs!$C$20*01_Inputs!$C$22)</f>
        <v>0</v>
      </c>
      <c r="F2001" s="80" t="n">
        <f aca="false">AVERAGE(E2000:E2001)</f>
        <v>29.7345295080149</v>
      </c>
    </row>
    <row r="2002" customFormat="false" ht="15" hidden="false" customHeight="false" outlineLevel="0" collapsed="false">
      <c r="A2002" s="76" t="n">
        <v>1991</v>
      </c>
      <c r="B2002" s="77" t="n">
        <v>-1.030729</v>
      </c>
      <c r="C2002" s="78" t="n">
        <f aca="false">05_Unit_Economics!$B$15*EXP((01_Inputs!$C$20-01_Inputs!$C$21^2/2)*01_Inputs!$C$22+01_Inputs!$C$21*SQRT(01_Inputs!$C$22)*B2002)</f>
        <v>37.7298734679891</v>
      </c>
      <c r="D2002" s="78" t="n">
        <f aca="false">MAX(C2002-05_Unit_Economics!$B$21,0)</f>
        <v>0</v>
      </c>
      <c r="E2002" s="78" t="n">
        <f aca="false">D2002*EXP(-01_Inputs!$C$20*01_Inputs!$C$22)</f>
        <v>0</v>
      </c>
      <c r="F2002" s="79"/>
    </row>
    <row r="2003" customFormat="false" ht="15" hidden="false" customHeight="false" outlineLevel="0" collapsed="false">
      <c r="A2003" s="76" t="n">
        <v>1992</v>
      </c>
      <c r="B2003" s="77" t="n">
        <v>1.030729</v>
      </c>
      <c r="C2003" s="78" t="n">
        <f aca="false">05_Unit_Economics!$B$15*EXP((01_Inputs!$C$20-01_Inputs!$C$21^2/2)*01_Inputs!$C$22+01_Inputs!$C$21*SQRT(01_Inputs!$C$22)*B2003)</f>
        <v>77.630662181671</v>
      </c>
      <c r="D2003" s="78" t="n">
        <f aca="false">MAX(C2003-05_Unit_Economics!$B$21,0)</f>
        <v>39.7230567071675</v>
      </c>
      <c r="E2003" s="78" t="n">
        <f aca="false">D2003*EXP(-01_Inputs!$C$20*01_Inputs!$C$22)</f>
        <v>38.0131363188502</v>
      </c>
      <c r="F2003" s="80" t="n">
        <f aca="false">AVERAGE(E2002:E2003)</f>
        <v>19.0065681594251</v>
      </c>
    </row>
    <row r="2004" customFormat="false" ht="15" hidden="false" customHeight="false" outlineLevel="0" collapsed="false">
      <c r="A2004" s="76" t="n">
        <v>1993</v>
      </c>
      <c r="B2004" s="77" t="n">
        <v>0.743145</v>
      </c>
      <c r="C2004" s="78" t="n">
        <f aca="false">05_Unit_Economics!$B$15*EXP((01_Inputs!$C$20-01_Inputs!$C$21^2/2)*01_Inputs!$C$22+01_Inputs!$C$21*SQRT(01_Inputs!$C$22)*B2004)</f>
        <v>70.1971758631241</v>
      </c>
      <c r="D2004" s="78" t="n">
        <f aca="false">MAX(C2004-05_Unit_Economics!$B$21,0)</f>
        <v>32.2895703886206</v>
      </c>
      <c r="E2004" s="78" t="n">
        <f aca="false">D2004*EXP(-01_Inputs!$C$20*01_Inputs!$C$22)</f>
        <v>30.899632168495</v>
      </c>
      <c r="F2004" s="79"/>
    </row>
    <row r="2005" customFormat="false" ht="15" hidden="false" customHeight="false" outlineLevel="0" collapsed="false">
      <c r="A2005" s="76" t="n">
        <v>1994</v>
      </c>
      <c r="B2005" s="77" t="n">
        <v>-0.743145</v>
      </c>
      <c r="C2005" s="78" t="n">
        <f aca="false">05_Unit_Economics!$B$15*EXP((01_Inputs!$C$20-01_Inputs!$C$21^2/2)*01_Inputs!$C$22+01_Inputs!$C$21*SQRT(01_Inputs!$C$22)*B2005)</f>
        <v>41.7252549741009</v>
      </c>
      <c r="D2005" s="78" t="n">
        <f aca="false">MAX(C2005-05_Unit_Economics!$B$21,0)</f>
        <v>3.81764949959739</v>
      </c>
      <c r="E2005" s="78" t="n">
        <f aca="false">D2005*EXP(-01_Inputs!$C$20*01_Inputs!$C$22)</f>
        <v>3.65331479688472</v>
      </c>
      <c r="F2005" s="80" t="n">
        <f aca="false">AVERAGE(E2004:E2005)</f>
        <v>17.2764734826899</v>
      </c>
    </row>
    <row r="2006" customFormat="false" ht="15" hidden="false" customHeight="false" outlineLevel="0" collapsed="false">
      <c r="A2006" s="76" t="n">
        <v>1995</v>
      </c>
      <c r="B2006" s="77" t="n">
        <v>0.135865</v>
      </c>
      <c r="C2006" s="78" t="n">
        <f aca="false">05_Unit_Economics!$B$15*EXP((01_Inputs!$C$20-01_Inputs!$C$21^2/2)*01_Inputs!$C$22+01_Inputs!$C$21*SQRT(01_Inputs!$C$22)*B2006)</f>
        <v>56.7559263709106</v>
      </c>
      <c r="D2006" s="78" t="n">
        <f aca="false">MAX(C2006-05_Unit_Economics!$B$21,0)</f>
        <v>18.8483208964071</v>
      </c>
      <c r="E2006" s="78" t="n">
        <f aca="false">D2006*EXP(-01_Inputs!$C$20*01_Inputs!$C$22)</f>
        <v>18.0369752735387</v>
      </c>
      <c r="F2006" s="79"/>
    </row>
    <row r="2007" customFormat="false" ht="15" hidden="false" customHeight="false" outlineLevel="0" collapsed="false">
      <c r="A2007" s="76" t="n">
        <v>1996</v>
      </c>
      <c r="B2007" s="77" t="n">
        <v>-0.135865</v>
      </c>
      <c r="C2007" s="78" t="n">
        <f aca="false">05_Unit_Economics!$B$15*EXP((01_Inputs!$C$20-01_Inputs!$C$21^2/2)*01_Inputs!$C$22+01_Inputs!$C$21*SQRT(01_Inputs!$C$22)*B2007)</f>
        <v>51.6068585015972</v>
      </c>
      <c r="D2007" s="78" t="n">
        <f aca="false">MAX(C2007-05_Unit_Economics!$B$21,0)</f>
        <v>13.6992530270937</v>
      </c>
      <c r="E2007" s="78" t="n">
        <f aca="false">D2007*EXP(-01_Inputs!$C$20*01_Inputs!$C$22)</f>
        <v>13.109554398702</v>
      </c>
      <c r="F2007" s="80" t="n">
        <f aca="false">AVERAGE(E2006:E2007)</f>
        <v>15.5732648361203</v>
      </c>
    </row>
    <row r="2008" customFormat="false" ht="15" hidden="false" customHeight="false" outlineLevel="0" collapsed="false">
      <c r="A2008" s="76" t="n">
        <v>1997</v>
      </c>
      <c r="B2008" s="77" t="n">
        <v>0.819678</v>
      </c>
      <c r="C2008" s="78" t="n">
        <f aca="false">05_Unit_Economics!$B$15*EXP((01_Inputs!$C$20-01_Inputs!$C$21^2/2)*01_Inputs!$C$22+01_Inputs!$C$21*SQRT(01_Inputs!$C$22)*B2008)</f>
        <v>72.1029263144242</v>
      </c>
      <c r="D2008" s="78" t="n">
        <f aca="false">MAX(C2008-05_Unit_Economics!$B$21,0)</f>
        <v>34.1953208399207</v>
      </c>
      <c r="E2008" s="78" t="n">
        <f aca="false">D2008*EXP(-01_Inputs!$C$20*01_Inputs!$C$22)</f>
        <v>32.7233476048227</v>
      </c>
      <c r="F2008" s="79"/>
    </row>
    <row r="2009" customFormat="false" ht="15" hidden="false" customHeight="false" outlineLevel="0" collapsed="false">
      <c r="A2009" s="76" t="n">
        <v>1998</v>
      </c>
      <c r="B2009" s="77" t="n">
        <v>-0.819678</v>
      </c>
      <c r="C2009" s="78" t="n">
        <f aca="false">05_Unit_Economics!$B$15*EXP((01_Inputs!$C$20-01_Inputs!$C$21^2/2)*01_Inputs!$C$22+01_Inputs!$C$21*SQRT(01_Inputs!$C$22)*B2009)</f>
        <v>40.622415913856</v>
      </c>
      <c r="D2009" s="78" t="n">
        <f aca="false">MAX(C2009-05_Unit_Economics!$B$21,0)</f>
        <v>2.71481043935253</v>
      </c>
      <c r="E2009" s="78" t="n">
        <f aca="false">D2009*EXP(-01_Inputs!$C$20*01_Inputs!$C$22)</f>
        <v>2.59794859372755</v>
      </c>
      <c r="F2009" s="80" t="n">
        <f aca="false">AVERAGE(E2008:E2009)</f>
        <v>17.6606480992751</v>
      </c>
    </row>
    <row r="2010" customFormat="false" ht="15" hidden="false" customHeight="false" outlineLevel="0" collapsed="false">
      <c r="A2010" s="76" t="n">
        <v>1999</v>
      </c>
      <c r="B2010" s="77" t="n">
        <v>-0.998572</v>
      </c>
      <c r="C2010" s="78" t="n">
        <f aca="false">05_Unit_Economics!$B$15*EXP((01_Inputs!$C$20-01_Inputs!$C$21^2/2)*01_Inputs!$C$22+01_Inputs!$C$21*SQRT(01_Inputs!$C$22)*B2010)</f>
        <v>38.1569199930601</v>
      </c>
      <c r="D2010" s="78" t="n">
        <f aca="false">MAX(C2010-05_Unit_Economics!$B$21,0)</f>
        <v>0.249314518556638</v>
      </c>
      <c r="E2010" s="78" t="n">
        <f aca="false">D2010*EXP(-01_Inputs!$C$20*01_Inputs!$C$22)</f>
        <v>0.238582515188262</v>
      </c>
      <c r="F2010" s="79"/>
    </row>
    <row r="2011" customFormat="false" ht="15" hidden="false" customHeight="false" outlineLevel="0" collapsed="false">
      <c r="A2011" s="76" t="n">
        <v>2000</v>
      </c>
      <c r="B2011" s="77" t="n">
        <v>0.998572</v>
      </c>
      <c r="C2011" s="78" t="n">
        <f aca="false">05_Unit_Economics!$B$15*EXP((01_Inputs!$C$20-01_Inputs!$C$21^2/2)*01_Inputs!$C$22+01_Inputs!$C$21*SQRT(01_Inputs!$C$22)*B2011)</f>
        <v>76.7618314550381</v>
      </c>
      <c r="D2011" s="78" t="n">
        <f aca="false">MAX(C2011-05_Unit_Economics!$B$21,0)</f>
        <v>38.8542259805346</v>
      </c>
      <c r="E2011" s="78" t="n">
        <f aca="false">D2011*EXP(-01_Inputs!$C$20*01_Inputs!$C$22)</f>
        <v>37.1817053166246</v>
      </c>
      <c r="F2011" s="80" t="n">
        <f aca="false">AVERAGE(E2010:E2011)</f>
        <v>18.7101439159065</v>
      </c>
    </row>
  </sheetData>
  <mergeCells count="2">
    <mergeCell ref="A1:F1"/>
    <mergeCell ref="A3:F3"/>
  </mergeCells>
  <hyperlinks>
    <hyperlink ref="G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2"/>
    <col collapsed="false" customWidth="true" hidden="false" outlineLevel="0" max="8" min="8" style="0" width="44"/>
    <col collapsed="false" customWidth="true" hidden="false" outlineLevel="0" max="9" min="9" style="0" width="11"/>
  </cols>
  <sheetData>
    <row r="1" customFormat="false" ht="39.75" hidden="false" customHeight="true" outlineLevel="0" collapsed="false">
      <c r="A1" s="23" t="s">
        <v>637</v>
      </c>
      <c r="B1" s="23"/>
      <c r="C1" s="23"/>
      <c r="D1" s="23"/>
      <c r="E1" s="23"/>
      <c r="F1" s="23"/>
      <c r="G1" s="23"/>
      <c r="H1" s="23"/>
      <c r="I1" s="24" t="s">
        <v>85</v>
      </c>
      <c r="J1" s="25"/>
    </row>
    <row r="2" customFormat="false" ht="7.5" hidden="false" customHeight="true" outlineLevel="0" collapsed="false"/>
    <row r="3" customFormat="false" ht="27.75" hidden="false" customHeight="true" outlineLevel="0" collapsed="false">
      <c r="A3" s="48" t="s">
        <v>638</v>
      </c>
      <c r="B3" s="48"/>
      <c r="C3" s="48"/>
      <c r="D3" s="48"/>
      <c r="E3" s="48"/>
      <c r="F3" s="48"/>
      <c r="G3" s="48"/>
      <c r="H3" s="48"/>
    </row>
    <row r="4" customFormat="false" ht="16.5" hidden="false" customHeight="true" outlineLevel="0" collapsed="false">
      <c r="A4" s="26" t="s">
        <v>143</v>
      </c>
      <c r="B4" s="27" t="s">
        <v>639</v>
      </c>
      <c r="C4" s="27" t="s">
        <v>640</v>
      </c>
      <c r="D4" s="27" t="s">
        <v>641</v>
      </c>
      <c r="E4" s="27" t="s">
        <v>642</v>
      </c>
      <c r="F4" s="27" t="s">
        <v>643</v>
      </c>
      <c r="G4" s="27" t="s">
        <v>644</v>
      </c>
      <c r="H4" s="28" t="s">
        <v>350</v>
      </c>
    </row>
    <row r="5" customFormat="false" ht="15" hidden="false" customHeight="true" outlineLevel="0" collapsed="false">
      <c r="A5" s="30" t="s">
        <v>645</v>
      </c>
      <c r="B5" s="55" t="n">
        <f aca="false">01_Inputs!$C$92</f>
        <v>6112.7</v>
      </c>
      <c r="C5" s="55" t="n">
        <f aca="false">01_Inputs!$C$101</f>
        <v>6900</v>
      </c>
      <c r="D5" s="55" t="n">
        <f aca="false">C5*(1+01_Inputs!$C$106)</f>
        <v>7452</v>
      </c>
      <c r="E5" s="55" t="n">
        <f aca="false">D5*(1+01_Inputs!$C$106)</f>
        <v>8048.16</v>
      </c>
      <c r="F5" s="55" t="n">
        <f aca="false">E5*(1+01_Inputs!$C$106)</f>
        <v>8692.0128</v>
      </c>
      <c r="G5" s="55" t="n">
        <f aca="false">F5*(1+01_Inputs!$C$106)</f>
        <v>9387.373824</v>
      </c>
      <c r="H5" s="33" t="s">
        <v>646</v>
      </c>
    </row>
    <row r="6" customFormat="false" ht="15" hidden="false" customHeight="true" outlineLevel="0" collapsed="false">
      <c r="A6" s="51" t="s">
        <v>647</v>
      </c>
      <c r="B6" s="81" t="n">
        <f aca="false">01_Inputs!$C$93</f>
        <v>3339.1</v>
      </c>
      <c r="C6" s="81" t="n">
        <f aca="false">01_Inputs!$C$102</f>
        <v>3800</v>
      </c>
      <c r="D6" s="81" t="n">
        <f aca="false">D5*$C$6/$C$5</f>
        <v>4104</v>
      </c>
      <c r="E6" s="81" t="n">
        <f aca="false">E5*$C$6/$C$5</f>
        <v>4432.32</v>
      </c>
      <c r="F6" s="81" t="n">
        <f aca="false">F5*$C$6/$C$5</f>
        <v>4786.9056</v>
      </c>
      <c r="G6" s="81" t="n">
        <f aca="false">G5*$C$6/$C$5</f>
        <v>5169.858048</v>
      </c>
      <c r="H6" s="33" t="s">
        <v>648</v>
      </c>
    </row>
    <row r="7" customFormat="false" ht="15" hidden="false" customHeight="true" outlineLevel="0" collapsed="false">
      <c r="A7" s="30" t="s">
        <v>649</v>
      </c>
      <c r="B7" s="53" t="n">
        <f aca="false">B6/B5</f>
        <v>0.546256155217825</v>
      </c>
      <c r="C7" s="53" t="n">
        <f aca="false">C6/C5</f>
        <v>0.550724637681159</v>
      </c>
      <c r="D7" s="53" t="n">
        <f aca="false">D6/D5</f>
        <v>0.550724637681159</v>
      </c>
      <c r="E7" s="53" t="n">
        <f aca="false">E6/E5</f>
        <v>0.55072463768116</v>
      </c>
      <c r="F7" s="53" t="n">
        <f aca="false">F6/F5</f>
        <v>0.550724637681159</v>
      </c>
      <c r="G7" s="53" t="n">
        <f aca="false">G6/G5</f>
        <v>0.550724637681159</v>
      </c>
      <c r="H7" s="33"/>
    </row>
    <row r="8" customFormat="false" ht="15" hidden="false" customHeight="true" outlineLevel="0" collapsed="false">
      <c r="A8" s="30" t="s">
        <v>650</v>
      </c>
      <c r="B8" s="55" t="n">
        <f aca="false">-01_Inputs!$C$94</f>
        <v>-1894.6</v>
      </c>
      <c r="C8" s="55" t="n">
        <f aca="false">-C5*01_Inputs!$C$94/01_Inputs!$C$92</f>
        <v>-2138.61959526887</v>
      </c>
      <c r="D8" s="55" t="n">
        <f aca="false">-D5*01_Inputs!$C$94/01_Inputs!$C$92</f>
        <v>-2309.70916289038</v>
      </c>
      <c r="E8" s="55" t="n">
        <f aca="false">-E5*01_Inputs!$C$94/01_Inputs!$C$92</f>
        <v>-2494.48589592161</v>
      </c>
      <c r="F8" s="55" t="n">
        <f aca="false">-F5*01_Inputs!$C$94/01_Inputs!$C$92</f>
        <v>-2694.04476759534</v>
      </c>
      <c r="G8" s="55" t="n">
        <f aca="false">-G5*01_Inputs!$C$94/01_Inputs!$C$92</f>
        <v>-2909.56834900296</v>
      </c>
      <c r="H8" s="33" t="s">
        <v>651</v>
      </c>
    </row>
    <row r="9" customFormat="false" ht="15" hidden="false" customHeight="true" outlineLevel="0" collapsed="false">
      <c r="A9" s="30" t="s">
        <v>652</v>
      </c>
      <c r="B9" s="55" t="n">
        <f aca="false">B6+B8</f>
        <v>1444.5</v>
      </c>
      <c r="C9" s="55" t="n">
        <f aca="false">C6+C8</f>
        <v>1661.38040473113</v>
      </c>
      <c r="D9" s="55" t="n">
        <f aca="false">D6+D8</f>
        <v>1794.29083710963</v>
      </c>
      <c r="E9" s="55" t="n">
        <f aca="false">E6+E8</f>
        <v>1937.8341040784</v>
      </c>
      <c r="F9" s="55" t="n">
        <f aca="false">F6+F8</f>
        <v>2092.86083240467</v>
      </c>
      <c r="G9" s="55" t="n">
        <f aca="false">G6+G8</f>
        <v>2260.28969899704</v>
      </c>
      <c r="H9" s="33"/>
    </row>
    <row r="10" customFormat="false" ht="26.25" hidden="false" customHeight="true" outlineLevel="0" collapsed="false">
      <c r="A10" s="30" t="s">
        <v>653</v>
      </c>
      <c r="B10" s="55" t="n">
        <f aca="false">-01_Inputs!$C$95</f>
        <v>-437.9</v>
      </c>
      <c r="C10" s="55" t="n">
        <f aca="false">-14_Balance_Sheet!B8*01_Inputs!$C$95/01_Inputs!$C$99</f>
        <v>-437.9</v>
      </c>
      <c r="D10" s="55" t="n">
        <f aca="false">-14_Balance_Sheet!C8*01_Inputs!$C$95/01_Inputs!$C$99</f>
        <v>-480.662792407873</v>
      </c>
      <c r="E10" s="55" t="n">
        <f aca="false">-14_Balance_Sheet!D8*01_Inputs!$C$95/01_Inputs!$C$99</f>
        <v>-526.787050603726</v>
      </c>
      <c r="F10" s="55" t="n">
        <f aca="false">-14_Balance_Sheet!E8*01_Inputs!$C$95/01_Inputs!$C$99</f>
        <v>-573.281550856326</v>
      </c>
      <c r="G10" s="55" t="n">
        <f aca="false">-14_Balance_Sheet!F8*01_Inputs!$C$95/01_Inputs!$C$99</f>
        <v>-620.098180267038</v>
      </c>
      <c r="H10" s="40" t="s">
        <v>654</v>
      </c>
    </row>
    <row r="11" customFormat="false" ht="15" hidden="false" customHeight="true" outlineLevel="0" collapsed="false">
      <c r="A11" s="30" t="s">
        <v>655</v>
      </c>
      <c r="B11" s="55" t="n">
        <f aca="false">B9+B10</f>
        <v>1006.6</v>
      </c>
      <c r="C11" s="55" t="n">
        <f aca="false">C9+C10</f>
        <v>1223.48040473113</v>
      </c>
      <c r="D11" s="55" t="n">
        <f aca="false">D9+D10</f>
        <v>1313.62804470175</v>
      </c>
      <c r="E11" s="55" t="n">
        <f aca="false">E9+E10</f>
        <v>1411.04705347467</v>
      </c>
      <c r="F11" s="55" t="n">
        <f aca="false">F9+F10</f>
        <v>1519.57928154834</v>
      </c>
      <c r="G11" s="55" t="n">
        <f aca="false">G9+G10</f>
        <v>1640.19151873</v>
      </c>
      <c r="H11" s="33"/>
    </row>
    <row r="12" customFormat="false" ht="15" hidden="false" customHeight="true" outlineLevel="0" collapsed="false">
      <c r="A12" s="30" t="s">
        <v>656</v>
      </c>
      <c r="B12" s="55" t="n">
        <f aca="false">-MAX(B11,0)*01_Inputs!$C$83</f>
        <v>-16.1056</v>
      </c>
      <c r="C12" s="55" t="n">
        <f aca="false">-MAX(C11,0)*01_Inputs!$C$83</f>
        <v>-19.5756864756981</v>
      </c>
      <c r="D12" s="55" t="n">
        <f aca="false">-MAX(D11,0)*01_Inputs!$C$83</f>
        <v>-21.018048715228</v>
      </c>
      <c r="E12" s="55" t="n">
        <f aca="false">-MAX(E11,0)*01_Inputs!$C$83</f>
        <v>-22.5767528555947</v>
      </c>
      <c r="F12" s="55" t="n">
        <f aca="false">-MAX(F11,0)*01_Inputs!$C$83</f>
        <v>-24.3132685047734</v>
      </c>
      <c r="G12" s="55" t="n">
        <f aca="false">-MAX(G11,0)*01_Inputs!$C$83</f>
        <v>-26.24306429968</v>
      </c>
      <c r="H12" s="33" t="s">
        <v>657</v>
      </c>
    </row>
    <row r="13" customFormat="false" ht="26.25" hidden="false" customHeight="true" outlineLevel="0" collapsed="false">
      <c r="A13" s="51" t="s">
        <v>658</v>
      </c>
      <c r="B13" s="81" t="n">
        <f aca="false">B11+B12</f>
        <v>990.4944</v>
      </c>
      <c r="C13" s="81" t="n">
        <f aca="false">C11+C12</f>
        <v>1203.90471825544</v>
      </c>
      <c r="D13" s="81" t="n">
        <f aca="false">D11+D12</f>
        <v>1292.60999598652</v>
      </c>
      <c r="E13" s="81" t="n">
        <f aca="false">E11+E12</f>
        <v>1388.47030061907</v>
      </c>
      <c r="F13" s="81" t="n">
        <f aca="false">F11+F12</f>
        <v>1495.26601304357</v>
      </c>
      <c r="G13" s="81" t="n">
        <f aca="false">G11+G12</f>
        <v>1613.94845443032</v>
      </c>
      <c r="H13" s="40" t="s">
        <v>659</v>
      </c>
    </row>
  </sheetData>
  <mergeCells count="2">
    <mergeCell ref="A1:H1"/>
    <mergeCell ref="A3:H3"/>
  </mergeCells>
  <hyperlinks>
    <hyperlink ref="I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2"/>
    <col collapsed="false" customWidth="true" hidden="false" outlineLevel="0" max="8" min="8" style="0" width="44"/>
    <col collapsed="false" customWidth="true" hidden="false" outlineLevel="0" max="9" min="9" style="0" width="11"/>
  </cols>
  <sheetData>
    <row r="1" customFormat="false" ht="39.75" hidden="false" customHeight="true" outlineLevel="0" collapsed="false">
      <c r="A1" s="23" t="s">
        <v>660</v>
      </c>
      <c r="B1" s="23"/>
      <c r="C1" s="23"/>
      <c r="D1" s="23"/>
      <c r="E1" s="23"/>
      <c r="F1" s="23"/>
      <c r="G1" s="23"/>
      <c r="H1" s="23"/>
      <c r="I1" s="24" t="s">
        <v>85</v>
      </c>
      <c r="J1" s="25"/>
    </row>
    <row r="2" customFormat="false" ht="7.5" hidden="false" customHeight="true" outlineLevel="0" collapsed="false"/>
    <row r="3" customFormat="false" ht="27.75" hidden="false" customHeight="true" outlineLevel="0" collapsed="false">
      <c r="A3" s="48" t="s">
        <v>661</v>
      </c>
      <c r="B3" s="48"/>
      <c r="C3" s="48"/>
      <c r="D3" s="48"/>
      <c r="E3" s="48"/>
      <c r="F3" s="48"/>
      <c r="G3" s="48"/>
      <c r="H3" s="48"/>
    </row>
    <row r="4" customFormat="false" ht="16.5" hidden="false" customHeight="true" outlineLevel="0" collapsed="false">
      <c r="A4" s="26" t="s">
        <v>143</v>
      </c>
      <c r="B4" s="27" t="s">
        <v>639</v>
      </c>
      <c r="C4" s="27" t="s">
        <v>640</v>
      </c>
      <c r="D4" s="27" t="s">
        <v>641</v>
      </c>
      <c r="E4" s="27" t="s">
        <v>642</v>
      </c>
      <c r="F4" s="27" t="s">
        <v>643</v>
      </c>
      <c r="G4" s="27" t="s">
        <v>644</v>
      </c>
      <c r="H4" s="28" t="s">
        <v>350</v>
      </c>
    </row>
    <row r="5" customFormat="false" ht="15" hidden="false" customHeight="true" outlineLevel="0" collapsed="false">
      <c r="A5" s="30" t="s">
        <v>662</v>
      </c>
      <c r="B5" s="55" t="n">
        <f aca="false">01_Inputs!$C$100</f>
        <v>3451.6</v>
      </c>
      <c r="C5" s="55" t="n">
        <f aca="false">B5+15_Cash_Flow!C14</f>
        <v>1864.8</v>
      </c>
      <c r="D5" s="55" t="n">
        <f aca="false">C5+15_Cash_Flow!D14</f>
        <v>1864.8</v>
      </c>
      <c r="E5" s="55" t="n">
        <f aca="false">D5+15_Cash_Flow!E14</f>
        <v>1864.8</v>
      </c>
      <c r="F5" s="55" t="n">
        <f aca="false">E5+15_Cash_Flow!F14</f>
        <v>1864.8</v>
      </c>
      <c r="G5" s="55" t="n">
        <f aca="false">F5+15_Cash_Flow!G14</f>
        <v>1864.8</v>
      </c>
      <c r="H5" s="33" t="s">
        <v>663</v>
      </c>
    </row>
    <row r="6" customFormat="false" ht="15" hidden="false" customHeight="true" outlineLevel="0" collapsed="false">
      <c r="A6" s="30" t="s">
        <v>664</v>
      </c>
      <c r="B6" s="55" t="n">
        <f aca="false">01_Inputs!$C$97-01_Inputs!$C$100</f>
        <v>45958.9</v>
      </c>
      <c r="C6" s="55" t="n">
        <f aca="false">B6-15_Cash_Flow!C10+13_Income_Statement!C8</f>
        <v>48708.4738380748</v>
      </c>
      <c r="D6" s="55" t="n">
        <f aca="false">C6-15_Cash_Flow!D10+13_Income_Statement!D8</f>
        <v>50101.2135831957</v>
      </c>
      <c r="E6" s="55" t="n">
        <f aca="false">D6-15_Cash_Flow!E10+13_Income_Statement!E8</f>
        <v>51605.3725079261</v>
      </c>
      <c r="F6" s="55" t="n">
        <f aca="false">E6-15_Cash_Flow!F10+13_Income_Statement!F8</f>
        <v>53229.8641466351</v>
      </c>
      <c r="G6" s="55" t="n">
        <f aca="false">F6-15_Cash_Flow!G10+13_Income_Statement!G8</f>
        <v>52140.8931900407</v>
      </c>
      <c r="H6" s="33" t="s">
        <v>665</v>
      </c>
    </row>
    <row r="7" customFormat="false" ht="15" hidden="false" customHeight="true" outlineLevel="0" collapsed="false">
      <c r="A7" s="51" t="s">
        <v>666</v>
      </c>
      <c r="B7" s="81" t="n">
        <f aca="false">B5+B6</f>
        <v>49410.5</v>
      </c>
      <c r="C7" s="81" t="n">
        <f aca="false">C5+C6</f>
        <v>50573.2738380748</v>
      </c>
      <c r="D7" s="81" t="n">
        <f aca="false">D5+D6</f>
        <v>51966.0135831957</v>
      </c>
      <c r="E7" s="81" t="n">
        <f aca="false">E5+E6</f>
        <v>53470.1725079261</v>
      </c>
      <c r="F7" s="81" t="n">
        <f aca="false">F5+F6</f>
        <v>55094.6641466351</v>
      </c>
      <c r="G7" s="81" t="n">
        <f aca="false">G5+G6</f>
        <v>54005.6931900407</v>
      </c>
      <c r="H7" s="33"/>
    </row>
    <row r="8" customFormat="false" ht="15" hidden="false" customHeight="true" outlineLevel="0" collapsed="false">
      <c r="A8" s="30" t="s">
        <v>667</v>
      </c>
      <c r="B8" s="55" t="n">
        <f aca="false">01_Inputs!$C$99</f>
        <v>18402.1</v>
      </c>
      <c r="C8" s="55" t="n">
        <f aca="false">B8+15_Cash_Flow!C12</f>
        <v>20199.1431198194</v>
      </c>
      <c r="D8" s="55" t="n">
        <f aca="false">C8+15_Cash_Flow!D12</f>
        <v>22137.4468689537</v>
      </c>
      <c r="E8" s="55" t="n">
        <f aca="false">D8+15_Cash_Flow!E12</f>
        <v>24091.3094930651</v>
      </c>
      <c r="F8" s="55" t="n">
        <f aca="false">E8+15_Cash_Flow!F12</f>
        <v>26058.7091187304</v>
      </c>
      <c r="G8" s="55" t="n">
        <f aca="false">F8+15_Cash_Flow!G12</f>
        <v>25193.9637077058</v>
      </c>
      <c r="H8" s="33" t="s">
        <v>668</v>
      </c>
    </row>
    <row r="9" customFormat="false" ht="15" hidden="false" customHeight="true" outlineLevel="0" collapsed="false">
      <c r="A9" s="30" t="s">
        <v>669</v>
      </c>
      <c r="B9" s="55" t="n">
        <f aca="false">01_Inputs!$C$98-01_Inputs!$C$99</f>
        <v>6162.4</v>
      </c>
      <c r="C9" s="55" t="n">
        <f aca="false">B9</f>
        <v>6162.4</v>
      </c>
      <c r="D9" s="55" t="n">
        <f aca="false">C9</f>
        <v>6162.4</v>
      </c>
      <c r="E9" s="55" t="n">
        <f aca="false">D9</f>
        <v>6162.4</v>
      </c>
      <c r="F9" s="55" t="n">
        <f aca="false">E9</f>
        <v>6162.4</v>
      </c>
      <c r="G9" s="55" t="n">
        <f aca="false">F9</f>
        <v>6162.4</v>
      </c>
      <c r="H9" s="33" t="s">
        <v>670</v>
      </c>
    </row>
    <row r="10" customFormat="false" ht="26.25" hidden="false" customHeight="true" outlineLevel="0" collapsed="false">
      <c r="A10" s="37" t="s">
        <v>671</v>
      </c>
      <c r="B10" s="55" t="n">
        <f aca="false">01_Inputs!$C$97-01_Inputs!$C$98</f>
        <v>24846</v>
      </c>
      <c r="C10" s="55" t="n">
        <f aca="false">B10+13_Income_Statement!C13+15_Cash_Flow!C11</f>
        <v>24211.7307182554</v>
      </c>
      <c r="D10" s="55" t="n">
        <f aca="false">C10+13_Income_Statement!D13+15_Cash_Flow!D11</f>
        <v>23666.166714242</v>
      </c>
      <c r="E10" s="55" t="n">
        <f aca="false">D10+13_Income_Statement!E13+15_Cash_Flow!E11</f>
        <v>23216.463014861</v>
      </c>
      <c r="F10" s="55" t="n">
        <f aca="false">E10+13_Income_Statement!F13+15_Cash_Flow!F11</f>
        <v>22873.5550279046</v>
      </c>
      <c r="G10" s="55" t="n">
        <f aca="false">F10+13_Income_Statement!G13+15_Cash_Flow!G11</f>
        <v>22649.3294823349</v>
      </c>
      <c r="H10" s="33" t="s">
        <v>672</v>
      </c>
    </row>
    <row r="11" customFormat="false" ht="15" hidden="false" customHeight="true" outlineLevel="0" collapsed="false">
      <c r="A11" s="51" t="s">
        <v>673</v>
      </c>
      <c r="B11" s="81" t="n">
        <f aca="false">B8+B9+B10</f>
        <v>49410.5</v>
      </c>
      <c r="C11" s="81" t="n">
        <f aca="false">C8+C9+C10</f>
        <v>50573.2738380748</v>
      </c>
      <c r="D11" s="81" t="n">
        <f aca="false">D8+D9+D10</f>
        <v>51966.0135831956</v>
      </c>
      <c r="E11" s="81" t="n">
        <f aca="false">E8+E9+E10</f>
        <v>53470.1725079261</v>
      </c>
      <c r="F11" s="81" t="n">
        <f aca="false">F8+F9+F10</f>
        <v>55094.6641466351</v>
      </c>
      <c r="G11" s="81" t="n">
        <f aca="false">G8+G9+G10</f>
        <v>54005.6931900407</v>
      </c>
      <c r="H11" s="33"/>
    </row>
    <row r="12" customFormat="false" ht="15" hidden="false" customHeight="true" outlineLevel="0" collapsed="false">
      <c r="A12" s="30" t="s">
        <v>674</v>
      </c>
      <c r="B12" s="82" t="n">
        <f aca="false">ROUND(B7-B11,6)</f>
        <v>0</v>
      </c>
      <c r="C12" s="82" t="n">
        <f aca="false">ROUND(C7-C11,6)</f>
        <v>0</v>
      </c>
      <c r="D12" s="82" t="n">
        <f aca="false">ROUND(D7-D11,6)</f>
        <v>0</v>
      </c>
      <c r="E12" s="82" t="n">
        <f aca="false">ROUND(E7-E11,6)</f>
        <v>0</v>
      </c>
      <c r="F12" s="82" t="n">
        <f aca="false">ROUND(F7-F11,6)</f>
        <v>0</v>
      </c>
      <c r="G12" s="82" t="n">
        <f aca="false">ROUND(G7-G11,6)</f>
        <v>0</v>
      </c>
      <c r="H12" s="33"/>
    </row>
    <row r="13" customFormat="false" ht="26.25" hidden="false" customHeight="true" outlineLevel="0" collapsed="false">
      <c r="A13" s="30" t="s">
        <v>675</v>
      </c>
      <c r="B13" s="83" t="n">
        <f aca="false">(B8-B5)/13_Income_Statement!B6</f>
        <v>4.4774040909227</v>
      </c>
      <c r="C13" s="83" t="n">
        <f aca="false">(C8-C5)/13_Income_Statement!C6</f>
        <v>4.82482713679458</v>
      </c>
      <c r="D13" s="83" t="n">
        <f aca="false">(D8-D5)/13_Income_Statement!D6</f>
        <v>4.93972876923823</v>
      </c>
      <c r="E13" s="83" t="n">
        <f aca="false">(E8-E5)/13_Income_Statement!E6</f>
        <v>5.01464458637126</v>
      </c>
      <c r="F13" s="83" t="n">
        <f aca="false">(F8-F5)/13_Income_Statement!F6</f>
        <v>5.05418555125266</v>
      </c>
      <c r="G13" s="83" t="n">
        <f aca="false">(G8-G5)/13_Income_Statement!G6</f>
        <v>4.51253467524719</v>
      </c>
      <c r="H13" s="40" t="s">
        <v>676</v>
      </c>
    </row>
  </sheetData>
  <mergeCells count="2">
    <mergeCell ref="A1:H1"/>
    <mergeCell ref="A3:H3"/>
  </mergeCells>
  <hyperlinks>
    <hyperlink ref="I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2"/>
    <col collapsed="false" customWidth="true" hidden="false" outlineLevel="0" max="8" min="8" style="0" width="44"/>
    <col collapsed="false" customWidth="true" hidden="false" outlineLevel="0" max="9" min="9" style="0" width="11"/>
  </cols>
  <sheetData>
    <row r="1" customFormat="false" ht="39.75" hidden="false" customHeight="true" outlineLevel="0" collapsed="false">
      <c r="A1" s="23" t="s">
        <v>677</v>
      </c>
      <c r="B1" s="23"/>
      <c r="C1" s="23"/>
      <c r="D1" s="23"/>
      <c r="E1" s="23"/>
      <c r="F1" s="23"/>
      <c r="G1" s="23"/>
      <c r="H1" s="23"/>
      <c r="I1" s="24" t="s">
        <v>85</v>
      </c>
      <c r="J1" s="25"/>
    </row>
    <row r="2" customFormat="false" ht="7.5" hidden="false" customHeight="true" outlineLevel="0" collapsed="false"/>
    <row r="3" customFormat="false" ht="27.75" hidden="false" customHeight="true" outlineLevel="0" collapsed="false">
      <c r="A3" s="48" t="s">
        <v>678</v>
      </c>
      <c r="B3" s="48"/>
      <c r="C3" s="48"/>
      <c r="D3" s="48"/>
      <c r="E3" s="48"/>
      <c r="F3" s="48"/>
      <c r="G3" s="48"/>
      <c r="H3" s="48"/>
    </row>
    <row r="4" customFormat="false" ht="16.5" hidden="false" customHeight="true" outlineLevel="0" collapsed="false">
      <c r="A4" s="26" t="s">
        <v>143</v>
      </c>
      <c r="B4" s="27"/>
      <c r="C4" s="27" t="s">
        <v>640</v>
      </c>
      <c r="D4" s="27" t="s">
        <v>641</v>
      </c>
      <c r="E4" s="27" t="s">
        <v>642</v>
      </c>
      <c r="F4" s="27" t="s">
        <v>643</v>
      </c>
      <c r="G4" s="27" t="s">
        <v>644</v>
      </c>
      <c r="H4" s="28" t="s">
        <v>350</v>
      </c>
    </row>
    <row r="5" customFormat="false" ht="15" hidden="false" customHeight="true" outlineLevel="0" collapsed="false">
      <c r="A5" s="30" t="s">
        <v>679</v>
      </c>
      <c r="B5" s="31"/>
      <c r="C5" s="55" t="n">
        <f aca="false">13_Income_Statement!C13</f>
        <v>1203.90471825544</v>
      </c>
      <c r="D5" s="55" t="n">
        <f aca="false">13_Income_Statement!D13</f>
        <v>1292.60999598652</v>
      </c>
      <c r="E5" s="55" t="n">
        <f aca="false">13_Income_Statement!E13</f>
        <v>1388.47030061907</v>
      </c>
      <c r="F5" s="55" t="n">
        <f aca="false">13_Income_Statement!F13</f>
        <v>1495.26601304357</v>
      </c>
      <c r="G5" s="55" t="n">
        <f aca="false">13_Income_Statement!G13</f>
        <v>1613.94845443032</v>
      </c>
      <c r="H5" s="33" t="s">
        <v>680</v>
      </c>
    </row>
    <row r="6" customFormat="false" ht="15" hidden="false" customHeight="true" outlineLevel="0" collapsed="false">
      <c r="A6" s="30" t="s">
        <v>681</v>
      </c>
      <c r="B6" s="31"/>
      <c r="C6" s="55" t="n">
        <f aca="false">-13_Income_Statement!C8</f>
        <v>2138.61959526887</v>
      </c>
      <c r="D6" s="55" t="n">
        <f aca="false">-13_Income_Statement!D8</f>
        <v>2309.70916289038</v>
      </c>
      <c r="E6" s="55" t="n">
        <f aca="false">-13_Income_Statement!E8</f>
        <v>2494.48589592161</v>
      </c>
      <c r="F6" s="55" t="n">
        <f aca="false">-13_Income_Statement!F8</f>
        <v>2694.04476759534</v>
      </c>
      <c r="G6" s="55" t="n">
        <f aca="false">-13_Income_Statement!G8</f>
        <v>2909.56834900296</v>
      </c>
      <c r="H6" s="33" t="s">
        <v>682</v>
      </c>
    </row>
    <row r="7" customFormat="false" ht="15" hidden="false" customHeight="true" outlineLevel="0" collapsed="false">
      <c r="A7" s="51" t="s">
        <v>683</v>
      </c>
      <c r="B7" s="31"/>
      <c r="C7" s="81" t="n">
        <f aca="false">C5+C6</f>
        <v>3342.5243135243</v>
      </c>
      <c r="D7" s="81" t="n">
        <f aca="false">D5+D6</f>
        <v>3602.3191588769</v>
      </c>
      <c r="E7" s="81" t="n">
        <f aca="false">E5+E6</f>
        <v>3882.95619654068</v>
      </c>
      <c r="F7" s="81" t="n">
        <f aca="false">F5+F6</f>
        <v>4189.3107806389</v>
      </c>
      <c r="G7" s="81" t="n">
        <f aca="false">G5+G6</f>
        <v>4523.51680343328</v>
      </c>
      <c r="H7" s="33"/>
    </row>
    <row r="8" customFormat="false" ht="15" hidden="false" customHeight="true" outlineLevel="0" collapsed="false">
      <c r="A8" s="30" t="s">
        <v>684</v>
      </c>
      <c r="B8" s="31"/>
      <c r="C8" s="55" t="n">
        <f aca="false">-13_Income_Statement!C5*01_Inputs!$C$96/01_Inputs!$C$92</f>
        <v>-388.193433343694</v>
      </c>
      <c r="D8" s="55" t="n">
        <f aca="false">-13_Income_Statement!D5*01_Inputs!$C$96/01_Inputs!$C$92</f>
        <v>-419.24890801119</v>
      </c>
      <c r="E8" s="55" t="n">
        <f aca="false">-13_Income_Statement!E5*01_Inputs!$C$96/01_Inputs!$C$92</f>
        <v>-452.788820652085</v>
      </c>
      <c r="F8" s="55" t="n">
        <f aca="false">-13_Income_Statement!F5*01_Inputs!$C$96/01_Inputs!$C$92</f>
        <v>-489.011926304252</v>
      </c>
      <c r="G8" s="55" t="n">
        <f aca="false">-13_Income_Statement!G5*01_Inputs!$C$96/01_Inputs!$C$92</f>
        <v>-528.132880408592</v>
      </c>
      <c r="H8" s="33" t="s">
        <v>685</v>
      </c>
    </row>
    <row r="9" customFormat="false" ht="37.5" hidden="false" customHeight="true" outlineLevel="0" collapsed="false">
      <c r="A9" s="30" t="s">
        <v>686</v>
      </c>
      <c r="B9" s="31"/>
      <c r="C9" s="55" t="n">
        <f aca="false">-01_Inputs!$C$103</f>
        <v>-4500</v>
      </c>
      <c r="D9" s="55" t="n">
        <f aca="false">-(13_Income_Statement!E6-13_Income_Statement!D6)/01_Inputs!$C$105</f>
        <v>-3283.20000000001</v>
      </c>
      <c r="E9" s="55" t="n">
        <f aca="false">-(13_Income_Statement!F6-13_Income_Statement!E6)/01_Inputs!$C$105</f>
        <v>-3545.85599999999</v>
      </c>
      <c r="F9" s="55" t="n">
        <f aca="false">-(13_Income_Statement!G6-13_Income_Statement!F6)/01_Inputs!$C$105</f>
        <v>-3829.52448000001</v>
      </c>
      <c r="G9" s="55" t="n">
        <f aca="false">-13_Income_Statement!G6*01_Inputs!$C$107/01_Inputs!$C$105</f>
        <v>-1292.464512</v>
      </c>
      <c r="H9" s="40" t="s">
        <v>687</v>
      </c>
    </row>
    <row r="10" customFormat="false" ht="15" hidden="false" customHeight="true" outlineLevel="0" collapsed="false">
      <c r="A10" s="51" t="s">
        <v>688</v>
      </c>
      <c r="B10" s="31"/>
      <c r="C10" s="81" t="n">
        <f aca="false">C8+C9</f>
        <v>-4888.19343334369</v>
      </c>
      <c r="D10" s="81" t="n">
        <f aca="false">D8+D9</f>
        <v>-3702.4489080112</v>
      </c>
      <c r="E10" s="81" t="n">
        <f aca="false">E8+E9</f>
        <v>-3998.64482065208</v>
      </c>
      <c r="F10" s="81" t="n">
        <f aca="false">F8+F9</f>
        <v>-4318.53640630426</v>
      </c>
      <c r="G10" s="81" t="n">
        <f aca="false">G8+G9</f>
        <v>-1820.59739240859</v>
      </c>
      <c r="H10" s="33"/>
    </row>
    <row r="11" customFormat="false" ht="26.25" hidden="false" customHeight="true" outlineLevel="0" collapsed="false">
      <c r="A11" s="30" t="s">
        <v>689</v>
      </c>
      <c r="B11" s="31"/>
      <c r="C11" s="55" t="n">
        <f aca="false">-01_Inputs!$C$104*01_Inputs!$C$89</f>
        <v>-1838.174</v>
      </c>
      <c r="D11" s="55" t="n">
        <f aca="false">-01_Inputs!$C$104*01_Inputs!$C$89</f>
        <v>-1838.174</v>
      </c>
      <c r="E11" s="55" t="n">
        <f aca="false">-01_Inputs!$C$104*01_Inputs!$C$89</f>
        <v>-1838.174</v>
      </c>
      <c r="F11" s="55" t="n">
        <f aca="false">-01_Inputs!$C$104*01_Inputs!$C$89</f>
        <v>-1838.174</v>
      </c>
      <c r="G11" s="55" t="n">
        <f aca="false">-01_Inputs!$C$104*01_Inputs!$C$89</f>
        <v>-1838.174</v>
      </c>
      <c r="H11" s="40" t="s">
        <v>690</v>
      </c>
    </row>
    <row r="12" customFormat="false" ht="15" hidden="false" customHeight="true" outlineLevel="0" collapsed="false">
      <c r="A12" s="30" t="s">
        <v>691</v>
      </c>
      <c r="B12" s="31"/>
      <c r="C12" s="55" t="n">
        <f aca="false">01_Inputs!$C$88-(14_Balance_Sheet!B5+C7+C10+C11)</f>
        <v>1797.04311981939</v>
      </c>
      <c r="D12" s="55" t="n">
        <f aca="false">01_Inputs!$C$88-(14_Balance_Sheet!C5+D7+D10+D11)</f>
        <v>1938.3037491343</v>
      </c>
      <c r="E12" s="55" t="n">
        <f aca="false">01_Inputs!$C$88-(14_Balance_Sheet!D5+E7+E10+E11)</f>
        <v>1953.8626241114</v>
      </c>
      <c r="F12" s="55" t="n">
        <f aca="false">01_Inputs!$C$88-(14_Balance_Sheet!E5+F7+F10+F11)</f>
        <v>1967.39962566536</v>
      </c>
      <c r="G12" s="55" t="n">
        <f aca="false">01_Inputs!$C$88-(14_Balance_Sheet!F5+G7+G10+G11)</f>
        <v>-864.745411024691</v>
      </c>
      <c r="H12" s="33" t="s">
        <v>692</v>
      </c>
    </row>
    <row r="13" customFormat="false" ht="15" hidden="false" customHeight="true" outlineLevel="0" collapsed="false">
      <c r="A13" s="51" t="s">
        <v>693</v>
      </c>
      <c r="B13" s="31"/>
      <c r="C13" s="81" t="n">
        <f aca="false">C11+C12</f>
        <v>-41.1308801806083</v>
      </c>
      <c r="D13" s="81" t="n">
        <f aca="false">D11+D12</f>
        <v>100.129749134296</v>
      </c>
      <c r="E13" s="81" t="n">
        <f aca="false">E11+E12</f>
        <v>115.688624111398</v>
      </c>
      <c r="F13" s="81" t="n">
        <f aca="false">F11+F12</f>
        <v>129.225625665359</v>
      </c>
      <c r="G13" s="81" t="n">
        <f aca="false">G11+G12</f>
        <v>-2702.91941102469</v>
      </c>
      <c r="H13" s="33"/>
    </row>
    <row r="14" customFormat="false" ht="15" hidden="false" customHeight="true" outlineLevel="0" collapsed="false">
      <c r="A14" s="30" t="s">
        <v>694</v>
      </c>
      <c r="B14" s="31"/>
      <c r="C14" s="55" t="n">
        <f aca="false">C7+C10+C13</f>
        <v>-1586.8</v>
      </c>
      <c r="D14" s="55" t="n">
        <f aca="false">D7+D10+D13</f>
        <v>6.82121026329696E-013</v>
      </c>
      <c r="E14" s="55" t="n">
        <f aca="false">E7+E10+E13</f>
        <v>0</v>
      </c>
      <c r="F14" s="55" t="n">
        <f aca="false">F7+F10+F13</f>
        <v>0</v>
      </c>
      <c r="G14" s="55" t="n">
        <f aca="false">G7+G10+G13</f>
        <v>0</v>
      </c>
      <c r="H14" s="33"/>
    </row>
    <row r="16" customFormat="false" ht="18" hidden="false" customHeight="true" outlineLevel="0" collapsed="false">
      <c r="A16" s="29" t="s">
        <v>695</v>
      </c>
      <c r="B16" s="29"/>
      <c r="C16" s="29"/>
      <c r="D16" s="29"/>
      <c r="E16" s="29"/>
      <c r="F16" s="29"/>
      <c r="G16" s="29"/>
      <c r="H16" s="29"/>
    </row>
    <row r="17" customFormat="false" ht="16.5" hidden="false" customHeight="true" outlineLevel="0" collapsed="false">
      <c r="A17" s="26" t="s">
        <v>143</v>
      </c>
      <c r="B17" s="27"/>
      <c r="C17" s="27" t="s">
        <v>640</v>
      </c>
      <c r="D17" s="27" t="s">
        <v>641</v>
      </c>
      <c r="E17" s="27" t="s">
        <v>642</v>
      </c>
      <c r="F17" s="27" t="s">
        <v>643</v>
      </c>
      <c r="G17" s="27" t="s">
        <v>644</v>
      </c>
      <c r="H17" s="28" t="s">
        <v>350</v>
      </c>
    </row>
    <row r="18" customFormat="false" ht="15" hidden="false" customHeight="true" outlineLevel="0" collapsed="false">
      <c r="A18" s="30" t="s">
        <v>647</v>
      </c>
      <c r="B18" s="31"/>
      <c r="C18" s="55" t="n">
        <f aca="false">13_Income_Statement!C6</f>
        <v>3800</v>
      </c>
      <c r="D18" s="55" t="n">
        <f aca="false">13_Income_Statement!D6</f>
        <v>4104</v>
      </c>
      <c r="E18" s="55" t="n">
        <f aca="false">13_Income_Statement!E6</f>
        <v>4432.32</v>
      </c>
      <c r="F18" s="55" t="n">
        <f aca="false">13_Income_Statement!F6</f>
        <v>4786.9056</v>
      </c>
      <c r="G18" s="55" t="n">
        <f aca="false">13_Income_Statement!G6</f>
        <v>5169.858048</v>
      </c>
      <c r="H18" s="33"/>
    </row>
    <row r="19" customFormat="false" ht="15" hidden="false" customHeight="true" outlineLevel="0" collapsed="false">
      <c r="A19" s="30" t="s">
        <v>696</v>
      </c>
      <c r="B19" s="31"/>
      <c r="C19" s="55" t="n">
        <f aca="false">-MAX(13_Income_Statement!C9,0)*01_Inputs!$C$83</f>
        <v>-26.5820864756981</v>
      </c>
      <c r="D19" s="55" t="n">
        <f aca="false">-MAX(13_Income_Statement!D9,0)*01_Inputs!$C$83</f>
        <v>-28.708653393754</v>
      </c>
      <c r="E19" s="55" t="n">
        <f aca="false">-MAX(13_Income_Statement!E9,0)*01_Inputs!$C$83</f>
        <v>-31.0053456652543</v>
      </c>
      <c r="F19" s="55" t="n">
        <f aca="false">-MAX(13_Income_Statement!F9,0)*01_Inputs!$C$83</f>
        <v>-33.4857733184747</v>
      </c>
      <c r="G19" s="55" t="n">
        <f aca="false">-MAX(13_Income_Statement!G9,0)*01_Inputs!$C$83</f>
        <v>-36.1646351839526</v>
      </c>
      <c r="H19" s="33" t="s">
        <v>697</v>
      </c>
    </row>
    <row r="20" customFormat="false" ht="15" hidden="false" customHeight="true" outlineLevel="0" collapsed="false">
      <c r="A20" s="51" t="s">
        <v>698</v>
      </c>
      <c r="B20" s="31"/>
      <c r="C20" s="81" t="n">
        <f aca="false">C18+C19+C8+C9</f>
        <v>-1114.77551981939</v>
      </c>
      <c r="D20" s="81" t="n">
        <f aca="false">D18+D19+D8+D9</f>
        <v>372.842438595051</v>
      </c>
      <c r="E20" s="81" t="n">
        <f aca="false">E18+E19+E8+E9</f>
        <v>402.669833682668</v>
      </c>
      <c r="F20" s="81" t="n">
        <f aca="false">F18+F19+F8+F9</f>
        <v>434.883420377266</v>
      </c>
      <c r="G20" s="81" t="n">
        <f aca="false">G18+G19+G8+G9</f>
        <v>3313.09602040746</v>
      </c>
      <c r="H20" s="33" t="s">
        <v>699</v>
      </c>
    </row>
  </sheetData>
  <mergeCells count="2">
    <mergeCell ref="A1:H1"/>
    <mergeCell ref="A3:H3"/>
  </mergeCells>
  <hyperlinks>
    <hyperlink ref="I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4"/>
    <col collapsed="false" customWidth="true" hidden="false" outlineLevel="0" max="7" min="7" style="0" width="44"/>
    <col collapsed="false" customWidth="true" hidden="false" outlineLevel="0" max="8" min="8" style="0" width="11"/>
  </cols>
  <sheetData>
    <row r="1" customFormat="false" ht="39.75" hidden="false" customHeight="true" outlineLevel="0" collapsed="false">
      <c r="A1" s="23" t="s">
        <v>700</v>
      </c>
      <c r="B1" s="23"/>
      <c r="C1" s="23"/>
      <c r="D1" s="23"/>
      <c r="E1" s="23"/>
      <c r="F1" s="23"/>
      <c r="G1" s="23"/>
      <c r="H1" s="24" t="s">
        <v>85</v>
      </c>
      <c r="I1" s="25"/>
    </row>
    <row r="2" customFormat="false" ht="7.5" hidden="false" customHeight="true" outlineLevel="0" collapsed="false"/>
    <row r="3" customFormat="false" ht="39.75" hidden="false" customHeight="true" outlineLevel="0" collapsed="false">
      <c r="A3" s="48" t="s">
        <v>701</v>
      </c>
      <c r="B3" s="48"/>
      <c r="C3" s="48"/>
      <c r="D3" s="48"/>
      <c r="E3" s="48"/>
      <c r="F3" s="48"/>
      <c r="G3" s="48"/>
    </row>
    <row r="4" customFormat="false" ht="16.5" hidden="false" customHeight="true" outlineLevel="0" collapsed="false">
      <c r="A4" s="26" t="s">
        <v>143</v>
      </c>
      <c r="B4" s="27" t="s">
        <v>640</v>
      </c>
      <c r="C4" s="27" t="s">
        <v>641</v>
      </c>
      <c r="D4" s="27" t="s">
        <v>642</v>
      </c>
      <c r="E4" s="27" t="s">
        <v>643</v>
      </c>
      <c r="F4" s="27" t="s">
        <v>644</v>
      </c>
      <c r="G4" s="28" t="s">
        <v>350</v>
      </c>
    </row>
    <row r="5" customFormat="false" ht="15" hidden="false" customHeight="true" outlineLevel="0" collapsed="false">
      <c r="A5" s="30" t="s">
        <v>702</v>
      </c>
      <c r="B5" s="55" t="n">
        <f aca="false">15_Cash_Flow!C20</f>
        <v>-1114.77551981939</v>
      </c>
      <c r="C5" s="55" t="n">
        <f aca="false">15_Cash_Flow!D20</f>
        <v>372.842438595051</v>
      </c>
      <c r="D5" s="55" t="n">
        <f aca="false">15_Cash_Flow!E20</f>
        <v>402.669833682668</v>
      </c>
      <c r="E5" s="55" t="n">
        <f aca="false">15_Cash_Flow!F20</f>
        <v>434.883420377266</v>
      </c>
      <c r="F5" s="55" t="n">
        <f aca="false">15_Cash_Flow!G20</f>
        <v>3313.09602040746</v>
      </c>
      <c r="G5" s="33" t="s">
        <v>703</v>
      </c>
    </row>
    <row r="6" customFormat="false" ht="15" hidden="false" customHeight="true" outlineLevel="0" collapsed="false">
      <c r="A6" s="30" t="s">
        <v>704</v>
      </c>
      <c r="B6" s="65" t="n">
        <v>1</v>
      </c>
      <c r="C6" s="65" t="n">
        <v>2</v>
      </c>
      <c r="D6" s="65" t="n">
        <v>3</v>
      </c>
      <c r="E6" s="65" t="n">
        <v>4</v>
      </c>
      <c r="F6" s="65" t="n">
        <v>5</v>
      </c>
      <c r="G6" s="33" t="s">
        <v>705</v>
      </c>
    </row>
    <row r="7" customFormat="false" ht="15" hidden="false" customHeight="true" outlineLevel="0" collapsed="false">
      <c r="A7" s="30" t="s">
        <v>706</v>
      </c>
      <c r="B7" s="57" t="n">
        <f aca="false">1/(1+02_WACC_Build!$B$22)^B6</f>
        <v>0.942406116447689</v>
      </c>
      <c r="C7" s="57" t="n">
        <f aca="false">1/(1+02_WACC_Build!$B$22)^C6</f>
        <v>0.888129288318014</v>
      </c>
      <c r="D7" s="57" t="n">
        <f aca="false">1/(1+02_WACC_Build!$B$22)^D6</f>
        <v>0.836978473507229</v>
      </c>
      <c r="E7" s="57" t="n">
        <f aca="false">1/(1+02_WACC_Build!$B$22)^E6</f>
        <v>0.788773632768262</v>
      </c>
      <c r="F7" s="57" t="n">
        <f aca="false">1/(1+02_WACC_Build!$B$22)^F6</f>
        <v>0.743345096013473</v>
      </c>
      <c r="G7" s="33" t="s">
        <v>707</v>
      </c>
    </row>
    <row r="8" customFormat="false" ht="15" hidden="false" customHeight="true" outlineLevel="0" collapsed="false">
      <c r="A8" s="30" t="s">
        <v>708</v>
      </c>
      <c r="B8" s="55" t="n">
        <f aca="false">B5*B7</f>
        <v>-1050.57126834395</v>
      </c>
      <c r="C8" s="55" t="n">
        <f aca="false">C5*C7</f>
        <v>331.132289644175</v>
      </c>
      <c r="D8" s="55" t="n">
        <f aca="false">D5*D7</f>
        <v>337.025982723129</v>
      </c>
      <c r="E8" s="55" t="n">
        <f aca="false">E5*E7</f>
        <v>343.024575321663</v>
      </c>
      <c r="F8" s="55" t="n">
        <f aca="false">F5*F7</f>
        <v>2462.77367939164</v>
      </c>
      <c r="G8" s="33"/>
    </row>
    <row r="10" customFormat="false" ht="18" hidden="false" customHeight="true" outlineLevel="0" collapsed="false">
      <c r="A10" s="29" t="s">
        <v>709</v>
      </c>
      <c r="B10" s="29"/>
      <c r="C10" s="29"/>
      <c r="D10" s="29"/>
      <c r="E10" s="29"/>
      <c r="F10" s="29"/>
      <c r="G10" s="29"/>
    </row>
    <row r="11" customFormat="false" ht="16.5" hidden="false" customHeight="true" outlineLevel="0" collapsed="false">
      <c r="A11" s="26" t="s">
        <v>410</v>
      </c>
      <c r="B11" s="27" t="s">
        <v>88</v>
      </c>
      <c r="C11" s="27"/>
      <c r="D11" s="27"/>
      <c r="E11" s="27"/>
      <c r="F11" s="27"/>
      <c r="G11" s="28" t="s">
        <v>350</v>
      </c>
    </row>
    <row r="12" customFormat="false" ht="15" hidden="false" customHeight="true" outlineLevel="0" collapsed="false">
      <c r="A12" s="30" t="s">
        <v>370</v>
      </c>
      <c r="B12" s="49" t="n">
        <f aca="false">02_WACC_Build!$B$22</f>
        <v>0.0611136563601756</v>
      </c>
      <c r="C12" s="31"/>
      <c r="D12" s="31"/>
      <c r="E12" s="31"/>
      <c r="F12" s="31"/>
      <c r="G12" s="33" t="s">
        <v>710</v>
      </c>
    </row>
    <row r="13" customFormat="false" ht="15" hidden="false" customHeight="true" outlineLevel="0" collapsed="false">
      <c r="A13" s="30" t="s">
        <v>711</v>
      </c>
      <c r="B13" s="53" t="n">
        <f aca="false">01_Inputs!$C$107</f>
        <v>0.025</v>
      </c>
      <c r="C13" s="31"/>
      <c r="D13" s="31"/>
      <c r="E13" s="31"/>
      <c r="F13" s="31"/>
      <c r="G13" s="33" t="s">
        <v>458</v>
      </c>
    </row>
    <row r="14" customFormat="false" ht="15" hidden="false" customHeight="true" outlineLevel="0" collapsed="false">
      <c r="A14" s="30" t="s">
        <v>295</v>
      </c>
      <c r="B14" s="53" t="n">
        <f aca="false">01_Inputs!$C$108</f>
        <v>0.1</v>
      </c>
      <c r="C14" s="31"/>
      <c r="D14" s="31"/>
      <c r="E14" s="31"/>
      <c r="F14" s="31"/>
      <c r="G14" s="33" t="s">
        <v>458</v>
      </c>
    </row>
    <row r="15" customFormat="false" ht="15" hidden="false" customHeight="true" outlineLevel="0" collapsed="false">
      <c r="A15" s="30" t="s">
        <v>712</v>
      </c>
      <c r="B15" s="55" t="n">
        <f aca="false">13_Income_Statement!G6+15_Cash_Flow!G8</f>
        <v>4641.72516759141</v>
      </c>
      <c r="C15" s="31"/>
      <c r="D15" s="31"/>
      <c r="E15" s="31"/>
      <c r="F15" s="31"/>
      <c r="G15" s="33" t="s">
        <v>713</v>
      </c>
    </row>
    <row r="16" customFormat="false" ht="15" hidden="false" customHeight="true" outlineLevel="0" collapsed="false">
      <c r="A16" s="30" t="s">
        <v>714</v>
      </c>
      <c r="B16" s="55" t="n">
        <f aca="false">B15*(1+B13)*(1-01_Inputs!$C$83)</f>
        <v>4681.6440040327</v>
      </c>
      <c r="C16" s="31"/>
      <c r="D16" s="31"/>
      <c r="E16" s="31"/>
      <c r="F16" s="31"/>
      <c r="G16" s="33" t="s">
        <v>715</v>
      </c>
    </row>
    <row r="17" customFormat="false" ht="15" hidden="false" customHeight="true" outlineLevel="0" collapsed="false">
      <c r="A17" s="30" t="s">
        <v>716</v>
      </c>
      <c r="B17" s="53" t="n">
        <f aca="false">B13/B14</f>
        <v>0.25</v>
      </c>
      <c r="C17" s="31"/>
      <c r="D17" s="31"/>
      <c r="E17" s="31"/>
      <c r="F17" s="31"/>
      <c r="G17" s="33" t="s">
        <v>717</v>
      </c>
    </row>
    <row r="18" customFormat="false" ht="15" hidden="false" customHeight="true" outlineLevel="0" collapsed="false">
      <c r="A18" s="51" t="s">
        <v>718</v>
      </c>
      <c r="B18" s="81" t="n">
        <f aca="false">B16*(1-B17)/(B12-B13)</f>
        <v>97227.2917481858</v>
      </c>
      <c r="C18" s="31"/>
      <c r="D18" s="31"/>
      <c r="E18" s="31"/>
      <c r="F18" s="31"/>
      <c r="G18" s="33" t="s">
        <v>719</v>
      </c>
    </row>
    <row r="19" customFormat="false" ht="15" hidden="false" customHeight="true" outlineLevel="0" collapsed="false">
      <c r="A19" s="30" t="s">
        <v>720</v>
      </c>
      <c r="B19" s="55" t="n">
        <f aca="false">B18*F7</f>
        <v>72273.4305196851</v>
      </c>
      <c r="C19" s="31"/>
      <c r="D19" s="31"/>
      <c r="E19" s="31"/>
      <c r="F19" s="31"/>
      <c r="G19" s="33"/>
    </row>
    <row r="20" customFormat="false" ht="15" hidden="false" customHeight="true" outlineLevel="0" collapsed="false">
      <c r="A20" s="30" t="s">
        <v>721</v>
      </c>
      <c r="B20" s="55" t="n">
        <f aca="false">SUM(B8:F8)</f>
        <v>2423.38525873666</v>
      </c>
      <c r="C20" s="31"/>
      <c r="D20" s="31"/>
      <c r="E20" s="31"/>
      <c r="F20" s="31"/>
      <c r="G20" s="33"/>
    </row>
    <row r="21" customFormat="false" ht="15" hidden="false" customHeight="true" outlineLevel="0" collapsed="false">
      <c r="A21" s="51" t="s">
        <v>722</v>
      </c>
      <c r="B21" s="81" t="n">
        <f aca="false">B19+B20</f>
        <v>74696.8157784218</v>
      </c>
      <c r="C21" s="31"/>
      <c r="D21" s="31"/>
      <c r="E21" s="31"/>
      <c r="F21" s="31"/>
      <c r="G21" s="33"/>
    </row>
    <row r="22" customFormat="false" ht="26.25" hidden="false" customHeight="true" outlineLevel="0" collapsed="false">
      <c r="A22" s="37" t="s">
        <v>723</v>
      </c>
      <c r="B22" s="55" t="n">
        <f aca="false">-01_Inputs!$C$87-01_Inputs!$C$90-01_Inputs!$C$91+01_Inputs!$C$88</f>
        <v>-18411.7</v>
      </c>
      <c r="C22" s="31"/>
      <c r="D22" s="31"/>
      <c r="E22" s="31"/>
      <c r="F22" s="31"/>
      <c r="G22" s="33" t="s">
        <v>724</v>
      </c>
    </row>
    <row r="23" customFormat="false" ht="15" hidden="false" customHeight="true" outlineLevel="0" collapsed="false">
      <c r="A23" s="51" t="s">
        <v>725</v>
      </c>
      <c r="B23" s="81" t="n">
        <f aca="false">B21+B22</f>
        <v>56285.1157784218</v>
      </c>
      <c r="C23" s="31"/>
      <c r="D23" s="31"/>
      <c r="E23" s="31"/>
      <c r="F23" s="31"/>
      <c r="G23" s="33"/>
    </row>
    <row r="24" customFormat="false" ht="15" hidden="false" customHeight="true" outlineLevel="0" collapsed="false">
      <c r="A24" s="51" t="s">
        <v>726</v>
      </c>
      <c r="B24" s="84" t="n">
        <f aca="false">B23/01_Inputs!$C$89</f>
        <v>149.426205026672</v>
      </c>
      <c r="C24" s="31"/>
      <c r="D24" s="31"/>
      <c r="E24" s="31"/>
      <c r="F24" s="31"/>
      <c r="G24" s="33" t="s">
        <v>727</v>
      </c>
    </row>
    <row r="25" customFormat="false" ht="26.25" hidden="false" customHeight="true" outlineLevel="0" collapsed="false">
      <c r="A25" s="37" t="s">
        <v>728</v>
      </c>
      <c r="B25" s="85" t="n">
        <f aca="false">01_Inputs!$C$86/01_Inputs!$C$89</f>
        <v>188.49140505741</v>
      </c>
      <c r="C25" s="31"/>
      <c r="D25" s="31"/>
      <c r="E25" s="31"/>
      <c r="F25" s="31"/>
      <c r="G25" s="33"/>
    </row>
    <row r="26" customFormat="false" ht="26.25" hidden="false" customHeight="true" outlineLevel="0" collapsed="false">
      <c r="A26" s="30" t="s">
        <v>729</v>
      </c>
      <c r="B26" s="86" t="n">
        <f aca="false">B24/B25-1</f>
        <v>-0.207251890444763</v>
      </c>
      <c r="C26" s="31"/>
      <c r="D26" s="31"/>
      <c r="E26" s="31"/>
      <c r="F26" s="31"/>
      <c r="G26" s="40" t="s">
        <v>730</v>
      </c>
    </row>
    <row r="27" customFormat="false" ht="26.25" hidden="false" customHeight="true" outlineLevel="0" collapsed="false">
      <c r="A27" s="30" t="s">
        <v>731</v>
      </c>
      <c r="B27" s="53" t="n">
        <f aca="false">B19/B21</f>
        <v>0.967557047332174</v>
      </c>
      <c r="C27" s="31"/>
      <c r="D27" s="31"/>
      <c r="E27" s="31"/>
      <c r="F27" s="31"/>
      <c r="G27" s="40" t="s">
        <v>732</v>
      </c>
    </row>
    <row r="28" customFormat="false" ht="26.25" hidden="false" customHeight="true" outlineLevel="0" collapsed="false">
      <c r="A28" s="37" t="s">
        <v>733</v>
      </c>
      <c r="B28" s="85" t="n">
        <f aca="false">((13_Income_Statement!G9*(1+B13)*(1-01_Inputs!$C$83)*(1-B17)/(B12-B13))*F7+B20+B22)/01_Inputs!$C$89</f>
        <v>50.9862815658544</v>
      </c>
      <c r="C28" s="31"/>
      <c r="D28" s="31"/>
      <c r="E28" s="31"/>
      <c r="F28" s="31"/>
      <c r="G28" s="40" t="s">
        <v>734</v>
      </c>
    </row>
    <row r="29" customFormat="false" ht="27.75" hidden="false" customHeight="true" outlineLevel="0" collapsed="false">
      <c r="A29" s="48" t="s">
        <v>735</v>
      </c>
      <c r="B29" s="48"/>
      <c r="C29" s="48"/>
      <c r="D29" s="48"/>
      <c r="E29" s="48"/>
      <c r="F29" s="48"/>
      <c r="G29" s="48"/>
    </row>
  </sheetData>
  <mergeCells count="3">
    <mergeCell ref="A1:G1"/>
    <mergeCell ref="A3:G3"/>
    <mergeCell ref="A29:G29"/>
  </mergeCells>
  <hyperlinks>
    <hyperlink ref="H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3"/>
    <col collapsed="false" customWidth="true" hidden="false" outlineLevel="0" max="7" min="7" style="0" width="40"/>
    <col collapsed="false" customWidth="true" hidden="false" outlineLevel="0" max="8" min="8" style="0" width="11"/>
  </cols>
  <sheetData>
    <row r="1" customFormat="false" ht="39.75" hidden="false" customHeight="true" outlineLevel="0" collapsed="false">
      <c r="A1" s="23" t="s">
        <v>736</v>
      </c>
      <c r="B1" s="23"/>
      <c r="C1" s="23"/>
      <c r="D1" s="23"/>
      <c r="E1" s="23"/>
      <c r="F1" s="23"/>
      <c r="G1" s="23"/>
      <c r="H1" s="24" t="s">
        <v>85</v>
      </c>
      <c r="I1" s="25"/>
    </row>
    <row r="2" customFormat="false" ht="7.5" hidden="false" customHeight="true" outlineLevel="0" collapsed="false"/>
    <row r="3" customFormat="false" ht="27.75" hidden="false" customHeight="true" outlineLevel="0" collapsed="false">
      <c r="A3" s="48" t="s">
        <v>737</v>
      </c>
      <c r="B3" s="48"/>
      <c r="C3" s="48"/>
      <c r="D3" s="48"/>
      <c r="E3" s="48"/>
      <c r="F3" s="48"/>
      <c r="G3" s="48"/>
    </row>
    <row r="4" customFormat="false" ht="16.5" hidden="false" customHeight="true" outlineLevel="0" collapsed="false">
      <c r="A4" s="26" t="s">
        <v>738</v>
      </c>
      <c r="B4" s="87" t="n">
        <v>0.015</v>
      </c>
      <c r="C4" s="87" t="n">
        <v>0.02</v>
      </c>
      <c r="D4" s="87" t="n">
        <v>0.025</v>
      </c>
      <c r="E4" s="87" t="n">
        <v>0.03</v>
      </c>
      <c r="F4" s="87" t="n">
        <v>0.035</v>
      </c>
      <c r="G4" s="28" t="s">
        <v>441</v>
      </c>
    </row>
    <row r="5" customFormat="false" ht="15" hidden="false" customHeight="true" outlineLevel="0" collapsed="false">
      <c r="A5" s="88" t="n">
        <f aca="false">ROUND(02_WACC_Build!$B$22,4)+(-0.01)</f>
        <v>0.0511</v>
      </c>
      <c r="B5" s="89" t="n">
        <f aca="false">((16_DCF_Terminal!$B$15*(1+B$4)*(1-01_Inputs!$C$83)*(1-B$4/16_DCF_Terminal!$B$14)/($A5-B$4))/(1+$A5)^5+15_Cash_Flow!C20/(1+$A5)^1+15_Cash_Flow!D20/(1+$A5)^2+15_Cash_Flow!E20/(1+$A5)^3+15_Cash_Flow!F20/(1+$A5)^4+15_Cash_Flow!G20/(1+$A5)^5+13_Income_Statement!G6*(01_Inputs!$C$107-B$4)/01_Inputs!$C$105/(1+$A5)^5+16_DCF_Terminal!$B$22)/01_Inputs!$C$89</f>
        <v>184.866083182304</v>
      </c>
      <c r="C5" s="89" t="n">
        <f aca="false">((16_DCF_Terminal!$B$15*(1+C$4)*(1-01_Inputs!$C$83)*(1-C$4/16_DCF_Terminal!$B$14)/($A5-C$4))/(1+$A5)^5+15_Cash_Flow!C20/(1+$A5)^1+15_Cash_Flow!D20/(1+$A5)^2+15_Cash_Flow!E20/(1+$A5)^3+15_Cash_Flow!F20/(1+$A5)^4+15_Cash_Flow!G20/(1+$A5)^5+13_Income_Statement!G6*(01_Inputs!$C$107-C$4)/01_Inputs!$C$105/(1+$A5)^5+16_DCF_Terminal!$B$22)/01_Inputs!$C$89</f>
        <v>206.438057545048</v>
      </c>
      <c r="D5" s="89" t="n">
        <f aca="false">((16_DCF_Terminal!$B$15*(1+D$4)*(1-01_Inputs!$C$83)*(1-D$4/16_DCF_Terminal!$B$14)/($A5-D$4))/(1+$A5)^5+15_Cash_Flow!C20/(1+$A5)^1+15_Cash_Flow!D20/(1+$A5)^2+15_Cash_Flow!E20/(1+$A5)^3+15_Cash_Flow!F20/(1+$A5)^4+15_Cash_Flow!G20/(1+$A5)^5+13_Income_Statement!G6*(01_Inputs!$C$107-D$4)/01_Inputs!$C$105/(1+$A5)^5+16_DCF_Terminal!$B$22)/01_Inputs!$C$89</f>
        <v>236.299035827775</v>
      </c>
      <c r="E5" s="89" t="n">
        <f aca="false">((16_DCF_Terminal!$B$15*(1+E$4)*(1-01_Inputs!$C$83)*(1-E$4/16_DCF_Terminal!$B$14)/($A5-E$4))/(1+$A5)^5+15_Cash_Flow!C20/(1+$A5)^1+15_Cash_Flow!D20/(1+$A5)^2+15_Cash_Flow!E20/(1+$A5)^3+15_Cash_Flow!F20/(1+$A5)^4+15_Cash_Flow!G20/(1+$A5)^5+13_Income_Statement!G6*(01_Inputs!$C$107-E$4)/01_Inputs!$C$105/(1+$A5)^5+16_DCF_Terminal!$B$22)/01_Inputs!$C$89</f>
        <v>280.341674845641</v>
      </c>
      <c r="F5" s="89" t="n">
        <f aca="false">((16_DCF_Terminal!$B$15*(1+F$4)*(1-01_Inputs!$C$83)*(1-F$4/16_DCF_Terminal!$B$14)/($A5-F$4))/(1+$A5)^5+15_Cash_Flow!C20/(1+$A5)^1+15_Cash_Flow!D20/(1+$A5)^2+15_Cash_Flow!E20/(1+$A5)^3+15_Cash_Flow!F20/(1+$A5)^4+15_Cash_Flow!G20/(1+$A5)^5+13_Income_Statement!G6*(01_Inputs!$C$107-F$4)/01_Inputs!$C$105/(1+$A5)^5+16_DCF_Terminal!$B$22)/01_Inputs!$C$89</f>
        <v>351.778701991629</v>
      </c>
      <c r="G5" s="33"/>
    </row>
    <row r="6" customFormat="false" ht="15" hidden="false" customHeight="true" outlineLevel="0" collapsed="false">
      <c r="A6" s="88" t="n">
        <f aca="false">ROUND(02_WACC_Build!$B$22,4)+(-0.005)</f>
        <v>0.0561</v>
      </c>
      <c r="B6" s="89" t="n">
        <f aca="false">((16_DCF_Terminal!$B$15*(1+B$4)*(1-01_Inputs!$C$83)*(1-B$4/16_DCF_Terminal!$B$14)/($A6-B$4))/(1+$A6)^5+15_Cash_Flow!C20/(1+$A6)^1+15_Cash_Flow!D20/(1+$A6)^2+15_Cash_Flow!E20/(1+$A6)^3+15_Cash_Flow!F20/(1+$A6)^4+15_Cash_Flow!G20/(1+$A6)^5+13_Income_Statement!G6*(01_Inputs!$C$107-B$4)/01_Inputs!$C$105/(1+$A6)^5+16_DCF_Terminal!$B$22)/01_Inputs!$C$89</f>
        <v>152.523632941464</v>
      </c>
      <c r="C6" s="89" t="n">
        <f aca="false">((16_DCF_Terminal!$B$15*(1+C$4)*(1-01_Inputs!$C$83)*(1-C$4/16_DCF_Terminal!$B$14)/($A6-C$4))/(1+$A6)^5+15_Cash_Flow!C20/(1+$A6)^1+15_Cash_Flow!D20/(1+$A6)^2+15_Cash_Flow!E20/(1+$A6)^3+15_Cash_Flow!F20/(1+$A6)^4+15_Cash_Flow!G20/(1+$A6)^5+13_Income_Statement!G6*(01_Inputs!$C$107-C$4)/01_Inputs!$C$105/(1+$A6)^5+16_DCF_Terminal!$B$22)/01_Inputs!$C$89</f>
        <v>166.883027339155</v>
      </c>
      <c r="D6" s="89" t="n">
        <f aca="false">((16_DCF_Terminal!$B$15*(1+D$4)*(1-01_Inputs!$C$83)*(1-D$4/16_DCF_Terminal!$B$14)/($A6-D$4))/(1+$A6)^5+15_Cash_Flow!C20/(1+$A6)^1+15_Cash_Flow!D20/(1+$A6)^2+15_Cash_Flow!E20/(1+$A6)^3+15_Cash_Flow!F20/(1+$A6)^4+15_Cash_Flow!G20/(1+$A6)^5+13_Income_Statement!G6*(01_Inputs!$C$107-D$4)/01_Inputs!$C$105/(1+$A6)^5+16_DCF_Terminal!$B$22)/01_Inputs!$C$89</f>
        <v>185.879160898318</v>
      </c>
      <c r="E6" s="89" t="n">
        <f aca="false">((16_DCF_Terminal!$B$15*(1+E$4)*(1-01_Inputs!$C$83)*(1-E$4/16_DCF_Terminal!$B$14)/($A6-E$4))/(1+$A6)^5+15_Cash_Flow!C20/(1+$A6)^1+15_Cash_Flow!D20/(1+$A6)^2+15_Cash_Flow!E20/(1+$A6)^3+15_Cash_Flow!F20/(1+$A6)^4+15_Cash_Flow!G20/(1+$A6)^5+13_Income_Statement!G6*(01_Inputs!$C$107-E$4)/01_Inputs!$C$105/(1+$A6)^5+16_DCF_Terminal!$B$22)/01_Inputs!$C$89</f>
        <v>212.176826240488</v>
      </c>
      <c r="F6" s="89" t="n">
        <f aca="false">((16_DCF_Terminal!$B$15*(1+F$4)*(1-01_Inputs!$C$83)*(1-F$4/16_DCF_Terminal!$B$14)/($A6-F$4))/(1+$A6)^5+15_Cash_Flow!C20/(1+$A6)^1+15_Cash_Flow!D20/(1+$A6)^2+15_Cash_Flow!E20/(1+$A6)^3+15_Cash_Flow!F20/(1+$A6)^4+15_Cash_Flow!G20/(1+$A6)^5+13_Income_Statement!G6*(01_Inputs!$C$107-F$4)/01_Inputs!$C$105/(1+$A6)^5+16_DCF_Terminal!$B$22)/01_Inputs!$C$89</f>
        <v>250.966685770645</v>
      </c>
      <c r="G6" s="33"/>
    </row>
    <row r="7" customFormat="false" ht="15" hidden="false" customHeight="true" outlineLevel="0" collapsed="false">
      <c r="A7" s="88" t="n">
        <f aca="false">ROUND(02_WACC_Build!$B$22,4)+(0)</f>
        <v>0.0611</v>
      </c>
      <c r="B7" s="89" t="n">
        <f aca="false">((16_DCF_Terminal!$B$15*(1+B$4)*(1-01_Inputs!$C$83)*(1-B$4/16_DCF_Terminal!$B$14)/($A7-B$4))/(1+$A7)^5+15_Cash_Flow!C20/(1+$A7)^1+15_Cash_Flow!D20/(1+$A7)^2+15_Cash_Flow!E20/(1+$A7)^3+15_Cash_Flow!F20/(1+$A7)^4+15_Cash_Flow!G20/(1+$A7)^5+13_Income_Statement!G6*(01_Inputs!$C$107-B$4)/01_Inputs!$C$105/(1+$A7)^5+16_DCF_Terminal!$B$22)/01_Inputs!$C$89</f>
        <v>127.272981317368</v>
      </c>
      <c r="C7" s="89" t="n">
        <f aca="false">((16_DCF_Terminal!$B$15*(1+C$4)*(1-01_Inputs!$C$83)*(1-C$4/16_DCF_Terminal!$B$14)/($A7-C$4))/(1+$A7)^5+15_Cash_Flow!C20/(1+$A7)^1+15_Cash_Flow!D20/(1+$A7)^2+15_Cash_Flow!E20/(1+$A7)^3+15_Cash_Flow!F20/(1+$A7)^4+15_Cash_Flow!G20/(1+$A7)^5+13_Income_Statement!G6*(01_Inputs!$C$107-C$4)/01_Inputs!$C$105/(1+$A7)^5+16_DCF_Terminal!$B$22)/01_Inputs!$C$89</f>
        <v>137.032358050362</v>
      </c>
      <c r="D7" s="89" t="n">
        <f aca="false">((16_DCF_Terminal!$B$15*(1+D$4)*(1-01_Inputs!$C$83)*(1-D$4/16_DCF_Terminal!$B$14)/($A7-D$4))/(1+$A7)^5+15_Cash_Flow!C20/(1+$A7)^1+15_Cash_Flow!D20/(1+$A7)^2+15_Cash_Flow!E20/(1+$A7)^3+15_Cash_Flow!F20/(1+$A7)^4+15_Cash_Flow!G20/(1+$A7)^5+13_Income_Statement!G6*(01_Inputs!$C$107-D$4)/01_Inputs!$C$105/(1+$A7)^5+16_DCF_Terminal!$B$22)/01_Inputs!$C$89</f>
        <v>149.51162968232</v>
      </c>
      <c r="E7" s="89" t="n">
        <f aca="false">((16_DCF_Terminal!$B$15*(1+E$4)*(1-01_Inputs!$C$83)*(1-E$4/16_DCF_Terminal!$B$14)/($A7-E$4))/(1+$A7)^5+15_Cash_Flow!C20/(1+$A7)^1+15_Cash_Flow!D20/(1+$A7)^2+15_Cash_Flow!E20/(1+$A7)^3+15_Cash_Flow!F20/(1+$A7)^4+15_Cash_Flow!G20/(1+$A7)^5+13_Income_Statement!G6*(01_Inputs!$C$107-E$4)/01_Inputs!$C$105/(1+$A7)^5+16_DCF_Terminal!$B$22)/01_Inputs!$C$89</f>
        <v>166.022642627535</v>
      </c>
      <c r="F7" s="89" t="n">
        <f aca="false">((16_DCF_Terminal!$B$15*(1+F$4)*(1-01_Inputs!$C$83)*(1-F$4/16_DCF_Terminal!$B$14)/($A7-F$4))/(1+$A7)^5+15_Cash_Flow!C20/(1+$A7)^1+15_Cash_Flow!D20/(1+$A7)^2+15_Cash_Flow!E20/(1+$A7)^3+15_Cash_Flow!F20/(1+$A7)^4+15_Cash_Flow!G20/(1+$A7)^5+13_Income_Statement!G6*(01_Inputs!$C$107-F$4)/01_Inputs!$C$105/(1+$A7)^5+16_DCF_Terminal!$B$22)/01_Inputs!$C$89</f>
        <v>188.882489594775</v>
      </c>
      <c r="G7" s="33"/>
    </row>
    <row r="8" customFormat="false" ht="15" hidden="false" customHeight="true" outlineLevel="0" collapsed="false">
      <c r="A8" s="88" t="n">
        <f aca="false">ROUND(02_WACC_Build!$B$22,4)+(0.005)</f>
        <v>0.0661</v>
      </c>
      <c r="B8" s="89" t="n">
        <f aca="false">((16_DCF_Terminal!$B$15*(1+B$4)*(1-01_Inputs!$C$83)*(1-B$4/16_DCF_Terminal!$B$14)/($A8-B$4))/(1+$A8)^5+15_Cash_Flow!C20/(1+$A8)^1+15_Cash_Flow!D20/(1+$A8)^2+15_Cash_Flow!E20/(1+$A8)^3+15_Cash_Flow!F20/(1+$A8)^4+15_Cash_Flow!G20/(1+$A8)^5+13_Income_Statement!G6*(01_Inputs!$C$107-B$4)/01_Inputs!$C$105/(1+$A8)^5+16_DCF_Terminal!$B$22)/01_Inputs!$C$89</f>
        <v>107.030511514671</v>
      </c>
      <c r="C8" s="89" t="n">
        <f aca="false">((16_DCF_Terminal!$B$15*(1+C$4)*(1-01_Inputs!$C$83)*(1-C$4/16_DCF_Terminal!$B$14)/($A8-C$4))/(1+$A8)^5+15_Cash_Flow!C20/(1+$A8)^1+15_Cash_Flow!D20/(1+$A8)^2+15_Cash_Flow!E20/(1+$A8)^3+15_Cash_Flow!F20/(1+$A8)^4+15_Cash_Flow!G20/(1+$A8)^5+13_Income_Statement!G6*(01_Inputs!$C$107-C$4)/01_Inputs!$C$105/(1+$A8)^5+16_DCF_Terminal!$B$22)/01_Inputs!$C$89</f>
        <v>113.726491705612</v>
      </c>
      <c r="D8" s="89" t="n">
        <f aca="false">((16_DCF_Terminal!$B$15*(1+D$4)*(1-01_Inputs!$C$83)*(1-D$4/16_DCF_Terminal!$B$14)/($A8-D$4))/(1+$A8)^5+15_Cash_Flow!C20/(1+$A8)^1+15_Cash_Flow!D20/(1+$A8)^2+15_Cash_Flow!E20/(1+$A8)^3+15_Cash_Flow!F20/(1+$A8)^4+15_Cash_Flow!G20/(1+$A8)^5+13_Income_Statement!G6*(01_Inputs!$C$107-D$4)/01_Inputs!$C$105/(1+$A8)^5+16_DCF_Terminal!$B$22)/01_Inputs!$C$89</f>
        <v>122.065791385965</v>
      </c>
      <c r="E8" s="89" t="n">
        <f aca="false">((16_DCF_Terminal!$B$15*(1+E$4)*(1-01_Inputs!$C$83)*(1-E$4/16_DCF_Terminal!$B$14)/($A8-E$4))/(1+$A8)^5+15_Cash_Flow!C20/(1+$A8)^1+15_Cash_Flow!D20/(1+$A8)^2+15_Cash_Flow!E20/(1+$A8)^3+15_Cash_Flow!F20/(1+$A8)^4+15_Cash_Flow!G20/(1+$A8)^5+13_Income_Statement!G6*(01_Inputs!$C$107-E$4)/01_Inputs!$C$105/(1+$A8)^5+16_DCF_Terminal!$B$22)/01_Inputs!$C$89</f>
        <v>132.731230288174</v>
      </c>
      <c r="F8" s="89" t="n">
        <f aca="false">((16_DCF_Terminal!$B$15*(1+F$4)*(1-01_Inputs!$C$83)*(1-F$4/16_DCF_Terminal!$B$14)/($A8-F$4))/(1+$A8)^5+15_Cash_Flow!C20/(1+$A8)^1+15_Cash_Flow!D20/(1+$A8)^2+15_Cash_Flow!E20/(1+$A8)^3+15_Cash_Flow!F20/(1+$A8)^4+15_Cash_Flow!G20/(1+$A8)^5+13_Income_Statement!G6*(01_Inputs!$C$107-F$4)/01_Inputs!$C$105/(1+$A8)^5+16_DCF_Terminal!$B$22)/01_Inputs!$C$89</f>
        <v>146.844740512813</v>
      </c>
      <c r="G8" s="33"/>
    </row>
    <row r="9" customFormat="false" ht="15" hidden="false" customHeight="true" outlineLevel="0" collapsed="false">
      <c r="A9" s="88" t="n">
        <f aca="false">ROUND(02_WACC_Build!$B$22,4)+(0.01)</f>
        <v>0.0711</v>
      </c>
      <c r="B9" s="89" t="n">
        <f aca="false">((16_DCF_Terminal!$B$15*(1+B$4)*(1-01_Inputs!$C$83)*(1-B$4/16_DCF_Terminal!$B$14)/($A9-B$4))/(1+$A9)^5+15_Cash_Flow!C20/(1+$A9)^1+15_Cash_Flow!D20/(1+$A9)^2+15_Cash_Flow!E20/(1+$A9)^3+15_Cash_Flow!F20/(1+$A9)^4+15_Cash_Flow!G20/(1+$A9)^5+13_Income_Statement!G6*(01_Inputs!$C$107-B$4)/01_Inputs!$C$105/(1+$A9)^5+16_DCF_Terminal!$B$22)/01_Inputs!$C$89</f>
        <v>90.455484108399</v>
      </c>
      <c r="C9" s="89" t="n">
        <f aca="false">((16_DCF_Terminal!$B$15*(1+C$4)*(1-01_Inputs!$C$83)*(1-C$4/16_DCF_Terminal!$B$14)/($A9-C$4))/(1+$A9)^5+15_Cash_Flow!C20/(1+$A9)^1+15_Cash_Flow!D20/(1+$A9)^2+15_Cash_Flow!E20/(1+$A9)^3+15_Cash_Flow!F20/(1+$A9)^4+15_Cash_Flow!G20/(1+$A9)^5+13_Income_Statement!G6*(01_Inputs!$C$107-C$4)/01_Inputs!$C$105/(1+$A9)^5+16_DCF_Terminal!$B$22)/01_Inputs!$C$89</f>
        <v>95.0425448462009</v>
      </c>
      <c r="D9" s="89" t="n">
        <f aca="false">((16_DCF_Terminal!$B$15*(1+D$4)*(1-01_Inputs!$C$83)*(1-D$4/16_DCF_Terminal!$B$14)/($A9-D$4))/(1+$A9)^5+15_Cash_Flow!C20/(1+$A9)^1+15_Cash_Flow!D20/(1+$A9)^2+15_Cash_Flow!E20/(1+$A9)^3+15_Cash_Flow!F20/(1+$A9)^4+15_Cash_Flow!G20/(1+$A9)^5+13_Income_Statement!G6*(01_Inputs!$C$107-D$4)/01_Inputs!$C$105/(1+$A9)^5+16_DCF_Terminal!$B$22)/01_Inputs!$C$89</f>
        <v>100.636933355184</v>
      </c>
      <c r="E9" s="89" t="n">
        <f aca="false">((16_DCF_Terminal!$B$15*(1+E$4)*(1-01_Inputs!$C$83)*(1-E$4/16_DCF_Terminal!$B$14)/($A9-E$4))/(1+$A9)^5+15_Cash_Flow!C20/(1+$A9)^1+15_Cash_Flow!D20/(1+$A9)^2+15_Cash_Flow!E20/(1+$A9)^3+15_Cash_Flow!F20/(1+$A9)^4+15_Cash_Flow!G20/(1+$A9)^5+13_Income_Statement!G6*(01_Inputs!$C$107-E$4)/01_Inputs!$C$105/(1+$A9)^5+16_DCF_Terminal!$B$22)/01_Inputs!$C$89</f>
        <v>107.606287508043</v>
      </c>
      <c r="F9" s="89" t="n">
        <f aca="false">((16_DCF_Terminal!$B$15*(1+F$4)*(1-01_Inputs!$C$83)*(1-F$4/16_DCF_Terminal!$B$14)/($A9-F$4))/(1+$A9)^5+15_Cash_Flow!C20/(1+$A9)^1+15_Cash_Flow!D20/(1+$A9)^2+15_Cash_Flow!E20/(1+$A9)^3+15_Cash_Flow!F20/(1+$A9)^4+15_Cash_Flow!G20/(1+$A9)^5+13_Income_Statement!G6*(01_Inputs!$C$107-F$4)/01_Inputs!$C$105/(1+$A9)^5+16_DCF_Terminal!$B$22)/01_Inputs!$C$89</f>
        <v>116.521922669268</v>
      </c>
      <c r="G9" s="33"/>
    </row>
    <row r="10" customFormat="false" ht="27.75" hidden="false" customHeight="true" outlineLevel="0" collapsed="false">
      <c r="A10" s="48" t="s">
        <v>739</v>
      </c>
      <c r="B10" s="48"/>
      <c r="C10" s="48"/>
      <c r="D10" s="48"/>
      <c r="E10" s="48"/>
      <c r="F10" s="48"/>
      <c r="G10" s="48"/>
    </row>
  </sheetData>
  <mergeCells count="3">
    <mergeCell ref="A1:G1"/>
    <mergeCell ref="A3:G3"/>
    <mergeCell ref="A10:G10"/>
  </mergeCells>
  <hyperlinks>
    <hyperlink ref="H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4" min="2" style="0" width="14"/>
    <col collapsed="false" customWidth="true" hidden="false" outlineLevel="0" max="5" min="5" style="0" width="52"/>
    <col collapsed="false" customWidth="true" hidden="false" outlineLevel="0" max="6" min="6" style="0" width="11"/>
  </cols>
  <sheetData>
    <row r="1" customFormat="false" ht="39.75" hidden="false" customHeight="true" outlineLevel="0" collapsed="false">
      <c r="A1" s="23" t="s">
        <v>740</v>
      </c>
      <c r="B1" s="23"/>
      <c r="C1" s="23"/>
      <c r="D1" s="23"/>
      <c r="E1" s="23"/>
      <c r="F1" s="24" t="s">
        <v>85</v>
      </c>
      <c r="G1" s="25"/>
    </row>
    <row r="2" customFormat="false" ht="7.5" hidden="false" customHeight="true" outlineLevel="0" collapsed="false"/>
    <row r="3" customFormat="false" ht="27.75" hidden="false" customHeight="true" outlineLevel="0" collapsed="false">
      <c r="A3" s="48" t="s">
        <v>741</v>
      </c>
      <c r="B3" s="48"/>
      <c r="C3" s="48"/>
      <c r="D3" s="48"/>
      <c r="E3" s="48"/>
    </row>
    <row r="4" customFormat="false" ht="16.5" hidden="false" customHeight="true" outlineLevel="0" collapsed="false">
      <c r="A4" s="26" t="s">
        <v>742</v>
      </c>
      <c r="B4" s="27" t="s">
        <v>743</v>
      </c>
      <c r="C4" s="27" t="s">
        <v>744</v>
      </c>
      <c r="D4" s="27" t="s">
        <v>745</v>
      </c>
      <c r="E4" s="28" t="s">
        <v>350</v>
      </c>
    </row>
    <row r="5" customFormat="false" ht="15" hidden="false" customHeight="true" outlineLevel="0" collapsed="false">
      <c r="A5" s="30" t="s">
        <v>746</v>
      </c>
      <c r="B5" s="85" t="n">
        <f aca="false">MIN(17_Sensitivity!B5:F9)</f>
        <v>90.455484108399</v>
      </c>
      <c r="C5" s="85" t="n">
        <f aca="false">16_DCF_Terminal!$B$24</f>
        <v>149.426205026672</v>
      </c>
      <c r="D5" s="85" t="n">
        <f aca="false">MAX(17_Sensitivity!B5:F9)</f>
        <v>351.778701991629</v>
      </c>
      <c r="E5" s="33" t="s">
        <v>747</v>
      </c>
    </row>
    <row r="6" customFormat="false" ht="26.25" hidden="false" customHeight="true" outlineLevel="0" collapsed="false">
      <c r="A6" s="30" t="s">
        <v>748</v>
      </c>
      <c r="B6" s="85" t="n">
        <f aca="false">(01_Inputs!$C$109*01_Inputs!$C$102+(-01_Inputs!$C$87-01_Inputs!$C$90-01_Inputs!$C$91+01_Inputs!$C$88))/01_Inputs!$C$89</f>
        <v>152.88590960377</v>
      </c>
      <c r="C6" s="85" t="n">
        <f aca="false">((01_Inputs!$C$109+01_Inputs!$C$110)/2*01_Inputs!$C$102+(-01_Inputs!$C$87-01_Inputs!$C$90-01_Inputs!$C$91+01_Inputs!$C$88))/01_Inputs!$C$89</f>
        <v>183.150726753833</v>
      </c>
      <c r="D6" s="85" t="n">
        <f aca="false">(01_Inputs!$C$110*01_Inputs!$C$102+(-01_Inputs!$C$87-01_Inputs!$C$90-01_Inputs!$C$91+01_Inputs!$C$88))/01_Inputs!$C$89</f>
        <v>213.415543903896</v>
      </c>
      <c r="E6" s="40" t="s">
        <v>749</v>
      </c>
    </row>
    <row r="7" customFormat="false" ht="15" hidden="false" customHeight="true" outlineLevel="0" collapsed="false">
      <c r="A7" s="30" t="s">
        <v>750</v>
      </c>
      <c r="B7" s="31"/>
      <c r="C7" s="85" t="n">
        <f aca="false">01_Inputs!$C$86/01_Inputs!$C$89</f>
        <v>188.49140505741</v>
      </c>
      <c r="D7" s="31"/>
      <c r="E7" s="33"/>
    </row>
    <row r="8" customFormat="false" ht="15" hidden="false" customHeight="true" outlineLevel="0" collapsed="false">
      <c r="A8" s="30" t="s">
        <v>751</v>
      </c>
      <c r="B8" s="31"/>
      <c r="C8" s="83" t="n">
        <f aca="false">(01_Inputs!$C$86-(-01_Inputs!$C$87-01_Inputs!$C$90-01_Inputs!$C$91+01_Inputs!$C$88))/01_Inputs!$C$102</f>
        <v>23.5293947368421</v>
      </c>
      <c r="D8" s="31"/>
      <c r="E8" s="33" t="s">
        <v>752</v>
      </c>
    </row>
    <row r="10" customFormat="false" ht="18" hidden="false" customHeight="true" outlineLevel="0" collapsed="false">
      <c r="A10" s="29" t="s">
        <v>753</v>
      </c>
      <c r="B10" s="29"/>
      <c r="C10" s="29"/>
      <c r="D10" s="29"/>
      <c r="E10" s="29"/>
    </row>
    <row r="11" customFormat="false" ht="16.5" hidden="false" customHeight="true" outlineLevel="0" collapsed="false">
      <c r="A11" s="26" t="s">
        <v>410</v>
      </c>
      <c r="B11" s="27"/>
      <c r="C11" s="27" t="s">
        <v>88</v>
      </c>
      <c r="D11" s="27"/>
      <c r="E11" s="28" t="s">
        <v>350</v>
      </c>
    </row>
    <row r="12" customFormat="false" ht="15" hidden="false" customHeight="true" outlineLevel="0" collapsed="false">
      <c r="A12" s="30" t="s">
        <v>19</v>
      </c>
      <c r="B12" s="31"/>
      <c r="C12" s="60" t="n">
        <f aca="false">19_Variant_Bridge!$B$9</f>
        <v>276.264000165806</v>
      </c>
      <c r="D12" s="31"/>
      <c r="E12" s="33" t="s">
        <v>754</v>
      </c>
    </row>
    <row r="13" customFormat="false" ht="15" hidden="false" customHeight="true" outlineLevel="0" collapsed="false">
      <c r="A13" s="30" t="s">
        <v>755</v>
      </c>
      <c r="B13" s="31"/>
      <c r="C13" s="85" t="n">
        <f aca="false">19_Variant_Bridge!$B$9/01_Inputs!$C$89</f>
        <v>0.733428021944133</v>
      </c>
      <c r="D13" s="31"/>
      <c r="E13" s="33"/>
    </row>
    <row r="14" customFormat="false" ht="26.25" hidden="false" customHeight="true" outlineLevel="0" collapsed="false">
      <c r="A14" s="51" t="s">
        <v>756</v>
      </c>
      <c r="B14" s="31"/>
      <c r="C14" s="52" t="n">
        <f aca="false">19_Variant_Bridge!$B$9/01_Inputs!$C$86</f>
        <v>0.00389104225585643</v>
      </c>
      <c r="D14" s="31"/>
      <c r="E14" s="40" t="s">
        <v>757</v>
      </c>
    </row>
  </sheetData>
  <mergeCells count="2">
    <mergeCell ref="A1:E1"/>
    <mergeCell ref="A3:E3"/>
  </mergeCells>
  <hyperlinks>
    <hyperlink ref="F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4"/>
    <col collapsed="false" customWidth="true" hidden="false" outlineLevel="0" max="4" min="4" style="0" width="16"/>
    <col collapsed="false" customWidth="true" hidden="false" outlineLevel="0" max="5" min="5" style="0" width="52"/>
    <col collapsed="false" customWidth="true" hidden="false" outlineLevel="0" max="6" min="6" style="0" width="11"/>
  </cols>
  <sheetData>
    <row r="1" customFormat="false" ht="39.75" hidden="false" customHeight="true" outlineLevel="0" collapsed="false">
      <c r="A1" s="23" t="s">
        <v>758</v>
      </c>
      <c r="B1" s="23"/>
      <c r="C1" s="23"/>
      <c r="D1" s="23"/>
      <c r="E1" s="23"/>
      <c r="F1" s="24" t="s">
        <v>85</v>
      </c>
      <c r="G1" s="25"/>
    </row>
    <row r="2" customFormat="false" ht="7.5" hidden="false" customHeight="true" outlineLevel="0" collapsed="false"/>
    <row r="3" customFormat="false" ht="18" hidden="false" customHeight="true" outlineLevel="0" collapsed="false">
      <c r="A3" s="29" t="s">
        <v>759</v>
      </c>
      <c r="B3" s="29"/>
      <c r="C3" s="29"/>
      <c r="D3" s="29"/>
      <c r="E3" s="29"/>
    </row>
    <row r="4" customFormat="false" ht="27.75" hidden="false" customHeight="true" outlineLevel="0" collapsed="false">
      <c r="A4" s="26" t="s">
        <v>347</v>
      </c>
      <c r="B4" s="27" t="s">
        <v>760</v>
      </c>
      <c r="C4" s="27" t="s">
        <v>761</v>
      </c>
      <c r="D4" s="27" t="s">
        <v>762</v>
      </c>
      <c r="E4" s="28" t="s">
        <v>441</v>
      </c>
    </row>
    <row r="5" customFormat="false" ht="15" hidden="false" customHeight="true" outlineLevel="0" collapsed="false">
      <c r="A5" s="30" t="s">
        <v>763</v>
      </c>
      <c r="B5" s="60" t="n">
        <f aca="false">07_Black_Scholes!$B$33</f>
        <v>314.694790384423</v>
      </c>
      <c r="C5" s="90" t="n">
        <f aca="false">ROUND(B5,0)</f>
        <v>315</v>
      </c>
      <c r="D5" s="31" t="s">
        <v>119</v>
      </c>
      <c r="E5" s="33" t="s">
        <v>52</v>
      </c>
    </row>
    <row r="6" customFormat="false" ht="15" hidden="false" customHeight="true" outlineLevel="0" collapsed="false">
      <c r="A6" s="30" t="s">
        <v>142</v>
      </c>
      <c r="B6" s="60" t="n">
        <f aca="false">07_Black_Scholes!$B$34</f>
        <v>-8</v>
      </c>
      <c r="C6" s="90" t="n">
        <f aca="false">ROUND(B6,0)</f>
        <v>-8</v>
      </c>
      <c r="D6" s="31" t="s">
        <v>119</v>
      </c>
      <c r="E6" s="33" t="s">
        <v>40</v>
      </c>
    </row>
    <row r="7" customFormat="false" ht="15" hidden="false" customHeight="true" outlineLevel="0" collapsed="false">
      <c r="A7" s="30" t="s">
        <v>764</v>
      </c>
      <c r="B7" s="60" t="n">
        <f aca="false">09_Arrhenius!$B$25</f>
        <v>-28.6965126605645</v>
      </c>
      <c r="C7" s="90" t="n">
        <f aca="false">ROUND(B7,0)</f>
        <v>-29</v>
      </c>
      <c r="D7" s="31" t="s">
        <v>160</v>
      </c>
      <c r="E7" s="33" t="s">
        <v>56</v>
      </c>
    </row>
    <row r="8" customFormat="false" ht="15" hidden="false" customHeight="true" outlineLevel="0" collapsed="false">
      <c r="A8" s="30" t="s">
        <v>765</v>
      </c>
      <c r="B8" s="60" t="n">
        <f aca="false">09_Arrhenius!$B$27</f>
        <v>-1.73427755805184</v>
      </c>
      <c r="C8" s="90" t="n">
        <f aca="false">ROUND(B8,0)</f>
        <v>-2</v>
      </c>
      <c r="D8" s="31" t="s">
        <v>160</v>
      </c>
      <c r="E8" s="33" t="s">
        <v>56</v>
      </c>
    </row>
    <row r="9" customFormat="false" ht="15" hidden="false" customHeight="true" outlineLevel="0" collapsed="false">
      <c r="A9" s="51" t="s">
        <v>766</v>
      </c>
      <c r="B9" s="69" t="n">
        <f aca="false">SUM(B5:B8)</f>
        <v>276.264000165806</v>
      </c>
      <c r="C9" s="91" t="n">
        <f aca="false">SUM(C5:C8)</f>
        <v>276</v>
      </c>
      <c r="D9" s="31"/>
      <c r="E9" s="33" t="s">
        <v>767</v>
      </c>
    </row>
    <row r="11" customFormat="false" ht="18" hidden="false" customHeight="true" outlineLevel="0" collapsed="false">
      <c r="A11" s="29" t="s">
        <v>768</v>
      </c>
      <c r="B11" s="29"/>
      <c r="C11" s="29"/>
      <c r="D11" s="29"/>
      <c r="E11" s="29"/>
    </row>
    <row r="12" customFormat="false" ht="27.75" hidden="false" customHeight="true" outlineLevel="0" collapsed="false">
      <c r="A12" s="26" t="s">
        <v>347</v>
      </c>
      <c r="B12" s="27" t="s">
        <v>769</v>
      </c>
      <c r="C12" s="27" t="s">
        <v>770</v>
      </c>
      <c r="D12" s="27" t="s">
        <v>762</v>
      </c>
      <c r="E12" s="28" t="s">
        <v>441</v>
      </c>
    </row>
    <row r="13" customFormat="false" ht="15" hidden="false" customHeight="true" outlineLevel="0" collapsed="false">
      <c r="A13" s="30" t="s">
        <v>771</v>
      </c>
      <c r="B13" s="55" t="n">
        <f aca="false">-(09_Arrhenius!$I$11-09_Arrhenius!$I$15)</f>
        <v>-58.2053333333334</v>
      </c>
      <c r="C13" s="61" t="n">
        <f aca="false">-B13/1000*09_Arrhenius!$B$6</f>
        <v>0.571468542566389</v>
      </c>
      <c r="D13" s="31" t="s">
        <v>772</v>
      </c>
      <c r="E13" s="40" t="s">
        <v>773</v>
      </c>
    </row>
    <row r="14" customFormat="false" ht="15" hidden="false" customHeight="true" outlineLevel="0" collapsed="false">
      <c r="A14" s="30" t="s">
        <v>774</v>
      </c>
      <c r="B14" s="55" t="n">
        <f aca="false">-09_Arrhenius!$B$7*01_Inputs!$C$35</f>
        <v>-11.04</v>
      </c>
      <c r="C14" s="61" t="n">
        <f aca="false">-B14/1000*09_Arrhenius!$B$6</f>
        <v>0.10839234737824</v>
      </c>
      <c r="D14" s="31" t="s">
        <v>772</v>
      </c>
      <c r="E14" s="33" t="s">
        <v>775</v>
      </c>
    </row>
    <row r="15" customFormat="false" ht="15" hidden="false" customHeight="true" outlineLevel="0" collapsed="false">
      <c r="A15" s="30" t="s">
        <v>776</v>
      </c>
      <c r="B15" s="55" t="n">
        <f aca="false">-06_Free_Cooling!$B$17</f>
        <v>-620.06784</v>
      </c>
      <c r="C15" s="61" t="n">
        <f aca="false">-B15/1000*09_Arrhenius!$B$6</f>
        <v>6.08791745573868</v>
      </c>
      <c r="D15" s="31" t="s">
        <v>772</v>
      </c>
      <c r="E15" s="33" t="s">
        <v>777</v>
      </c>
    </row>
    <row r="16" customFormat="false" ht="15" hidden="false" customHeight="true" outlineLevel="0" collapsed="false">
      <c r="A16" s="51" t="s">
        <v>778</v>
      </c>
      <c r="B16" s="81" t="n">
        <f aca="false">SUM(B13:B15)</f>
        <v>-689.313173333333</v>
      </c>
      <c r="C16" s="62" t="n">
        <f aca="false">SUM(C13:C15)</f>
        <v>6.76777834568331</v>
      </c>
      <c r="D16" s="31"/>
      <c r="E16" s="33" t="s">
        <v>779</v>
      </c>
    </row>
    <row r="18" customFormat="false" ht="18" hidden="false" customHeight="true" outlineLevel="0" collapsed="false">
      <c r="A18" s="29" t="s">
        <v>780</v>
      </c>
      <c r="B18" s="29"/>
      <c r="C18" s="29"/>
      <c r="D18" s="29"/>
      <c r="E18" s="29"/>
    </row>
    <row r="19" customFormat="false" ht="27.75" hidden="false" customHeight="true" outlineLevel="0" collapsed="false">
      <c r="A19" s="26" t="s">
        <v>347</v>
      </c>
      <c r="B19" s="27" t="s">
        <v>760</v>
      </c>
      <c r="C19" s="27" t="s">
        <v>761</v>
      </c>
      <c r="D19" s="27" t="s">
        <v>762</v>
      </c>
      <c r="E19" s="28" t="s">
        <v>441</v>
      </c>
    </row>
    <row r="20" customFormat="false" ht="15" hidden="false" customHeight="true" outlineLevel="0" collapsed="false">
      <c r="A20" s="30" t="s">
        <v>781</v>
      </c>
      <c r="B20" s="60" t="n">
        <f aca="false">C13*01_Inputs!$C$72</f>
        <v>9.14349668106222</v>
      </c>
      <c r="C20" s="90" t="n">
        <f aca="false">ROUND(B20,0)</f>
        <v>9</v>
      </c>
      <c r="D20" s="31" t="s">
        <v>772</v>
      </c>
      <c r="E20" s="33" t="s">
        <v>782</v>
      </c>
    </row>
    <row r="21" customFormat="false" ht="15" hidden="false" customHeight="true" outlineLevel="0" collapsed="false">
      <c r="A21" s="30" t="s">
        <v>783</v>
      </c>
      <c r="B21" s="60" t="n">
        <f aca="false">C14*01_Inputs!$C$72</f>
        <v>1.73427755805184</v>
      </c>
      <c r="C21" s="90" t="n">
        <f aca="false">ROUND(B21,0)</f>
        <v>2</v>
      </c>
      <c r="D21" s="31" t="s">
        <v>772</v>
      </c>
      <c r="E21" s="33" t="s">
        <v>784</v>
      </c>
    </row>
    <row r="22" customFormat="false" ht="15" hidden="false" customHeight="true" outlineLevel="0" collapsed="false">
      <c r="A22" s="30" t="s">
        <v>785</v>
      </c>
      <c r="B22" s="60" t="n">
        <f aca="false">C15*01_Inputs!$C$72</f>
        <v>97.4066792918189</v>
      </c>
      <c r="C22" s="90" t="n">
        <f aca="false">ROUND(B22,0)</f>
        <v>97</v>
      </c>
      <c r="D22" s="31" t="s">
        <v>772</v>
      </c>
      <c r="E22" s="33" t="s">
        <v>786</v>
      </c>
    </row>
    <row r="23" customFormat="false" ht="15" hidden="false" customHeight="true" outlineLevel="0" collapsed="false">
      <c r="A23" s="30" t="s">
        <v>787</v>
      </c>
      <c r="B23" s="60" t="n">
        <f aca="false">01_Inputs!$C$68</f>
        <v>-22</v>
      </c>
      <c r="C23" s="90" t="n">
        <f aca="false">ROUND(B23,0)</f>
        <v>-22</v>
      </c>
      <c r="D23" s="31" t="s">
        <v>772</v>
      </c>
      <c r="E23" s="33" t="s">
        <v>788</v>
      </c>
    </row>
    <row r="24" customFormat="false" ht="15" hidden="false" customHeight="true" outlineLevel="0" collapsed="false">
      <c r="A24" s="30" t="s">
        <v>789</v>
      </c>
      <c r="B24" s="60" t="n">
        <f aca="false">-01_Inputs!$C$69*B22</f>
        <v>-3.89626717167276</v>
      </c>
      <c r="C24" s="90" t="n">
        <f aca="false">ROUND(B24,0)</f>
        <v>-4</v>
      </c>
      <c r="D24" s="31" t="s">
        <v>772</v>
      </c>
      <c r="E24" s="33" t="s">
        <v>790</v>
      </c>
    </row>
    <row r="25" customFormat="false" ht="15" hidden="false" customHeight="true" outlineLevel="0" collapsed="false">
      <c r="A25" s="30" t="s">
        <v>213</v>
      </c>
      <c r="B25" s="60" t="n">
        <f aca="false">01_Inputs!$C$70</f>
        <v>18</v>
      </c>
      <c r="C25" s="90" t="n">
        <f aca="false">ROUND(B25,0)</f>
        <v>18</v>
      </c>
      <c r="D25" s="31" t="s">
        <v>791</v>
      </c>
      <c r="E25" s="33" t="s">
        <v>788</v>
      </c>
    </row>
    <row r="26" customFormat="false" ht="15" hidden="false" customHeight="true" outlineLevel="0" collapsed="false">
      <c r="A26" s="30" t="s">
        <v>215</v>
      </c>
      <c r="B26" s="60" t="n">
        <f aca="false">01_Inputs!$C$71</f>
        <v>4</v>
      </c>
      <c r="C26" s="90" t="n">
        <f aca="false">ROUND(B26,0)</f>
        <v>4</v>
      </c>
      <c r="D26" s="31" t="s">
        <v>792</v>
      </c>
      <c r="E26" s="33" t="s">
        <v>788</v>
      </c>
    </row>
    <row r="27" customFormat="false" ht="15" hidden="false" customHeight="true" outlineLevel="0" collapsed="false">
      <c r="A27" s="51" t="s">
        <v>793</v>
      </c>
      <c r="B27" s="69" t="n">
        <f aca="false">SUM(B20:B26)</f>
        <v>104.38818635926</v>
      </c>
      <c r="C27" s="91" t="n">
        <f aca="false">SUM(C20:C26)</f>
        <v>104</v>
      </c>
      <c r="D27" s="31"/>
      <c r="E27" s="33" t="s">
        <v>794</v>
      </c>
    </row>
    <row r="28" customFormat="false" ht="15.75" hidden="false" customHeight="true" outlineLevel="0" collapsed="false">
      <c r="A28" s="48" t="s">
        <v>795</v>
      </c>
      <c r="B28" s="48"/>
      <c r="C28" s="48"/>
      <c r="D28" s="48"/>
      <c r="E28" s="48"/>
    </row>
  </sheetData>
  <mergeCells count="2">
    <mergeCell ref="A1:E1"/>
    <mergeCell ref="A28:E28"/>
  </mergeCells>
  <hyperlinks>
    <hyperlink ref="F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2"/>
    <col collapsed="false" customWidth="true" hidden="false" outlineLevel="0" max="7" min="7" style="0" width="50"/>
    <col collapsed="false" customWidth="true" hidden="false" outlineLevel="0" max="8" min="8" style="0" width="11"/>
  </cols>
  <sheetData>
    <row r="1" customFormat="false" ht="39.75" hidden="false" customHeight="true" outlineLevel="0" collapsed="false">
      <c r="A1" s="23" t="s">
        <v>796</v>
      </c>
      <c r="B1" s="23"/>
      <c r="C1" s="23"/>
      <c r="D1" s="23"/>
      <c r="E1" s="23"/>
      <c r="F1" s="23"/>
      <c r="G1" s="23"/>
      <c r="H1" s="24" t="s">
        <v>85</v>
      </c>
      <c r="I1" s="25"/>
    </row>
    <row r="2" customFormat="false" ht="7.5" hidden="false" customHeight="true" outlineLevel="0" collapsed="false"/>
    <row r="3" customFormat="false" ht="18" hidden="false" customHeight="true" outlineLevel="0" collapsed="false">
      <c r="A3" s="29" t="s">
        <v>797</v>
      </c>
      <c r="B3" s="29"/>
      <c r="C3" s="29"/>
      <c r="D3" s="29"/>
      <c r="E3" s="29"/>
      <c r="F3" s="29"/>
      <c r="G3" s="29"/>
    </row>
    <row r="4" customFormat="false" ht="15.75" hidden="false" customHeight="true" outlineLevel="0" collapsed="false">
      <c r="A4" s="48" t="s">
        <v>798</v>
      </c>
      <c r="B4" s="48"/>
      <c r="C4" s="48"/>
      <c r="D4" s="48"/>
      <c r="E4" s="48"/>
      <c r="F4" s="48"/>
      <c r="G4" s="48"/>
    </row>
    <row r="5" customFormat="false" ht="16.5" hidden="false" customHeight="true" outlineLevel="0" collapsed="false">
      <c r="A5" s="26" t="s">
        <v>799</v>
      </c>
      <c r="B5" s="92" t="n">
        <v>0.5</v>
      </c>
      <c r="C5" s="92" t="n">
        <v>0.75</v>
      </c>
      <c r="D5" s="92" t="n">
        <v>1</v>
      </c>
      <c r="E5" s="92" t="n">
        <v>1.25</v>
      </c>
      <c r="F5" s="92" t="n">
        <v>1.5</v>
      </c>
      <c r="G5" s="28" t="s">
        <v>441</v>
      </c>
    </row>
    <row r="6" customFormat="false" ht="15" hidden="false" customHeight="true" outlineLevel="0" collapsed="false">
      <c r="A6" s="93" t="n">
        <v>0.15</v>
      </c>
      <c r="B6" s="61" t="n">
        <f aca="false">05_Unit_Economics!$B$15*NORMSDIST((LN(05_Unit_Economics!$B$15/05_Unit_Economics!$B$21)+(01_Inputs!$C$20+$A6^2/2)*B$5)/($A6*SQRT(B$5)))-05_Unit_Economics!$B$21*EXP(-01_Inputs!$C$20*B$5)*NORMSDIST((LN(05_Unit_Economics!$B$15/05_Unit_Economics!$B$21)+(01_Inputs!$C$20+$A6^2/2)*B$5)/($A6*SQRT(B$5))-$A6*SQRT(B$5))</f>
        <v>17.9792287302697</v>
      </c>
      <c r="C6" s="61" t="n">
        <f aca="false">05_Unit_Economics!$B$15*NORMSDIST((LN(05_Unit_Economics!$B$15/05_Unit_Economics!$B$21)+(01_Inputs!$C$20+$A6^2/2)*C$5)/($A6*SQRT(C$5)))-05_Unit_Economics!$B$21*EXP(-01_Inputs!$C$20*C$5)*NORMSDIST((LN(05_Unit_Economics!$B$15/05_Unit_Economics!$B$21)+(01_Inputs!$C$20+$A6^2/2)*C$5)/($A6*SQRT(C$5))-$A6*SQRT(C$5))</f>
        <v>18.3862007139793</v>
      </c>
      <c r="D6" s="61" t="n">
        <f aca="false">05_Unit_Economics!$B$15*NORMSDIST((LN(05_Unit_Economics!$B$15/05_Unit_Economics!$B$21)+(01_Inputs!$C$20+$A6^2/2)*D$5)/($A6*SQRT(D$5)))-05_Unit_Economics!$B$21*EXP(-01_Inputs!$C$20*D$5)*NORMSDIST((LN(05_Unit_Economics!$B$15/05_Unit_Economics!$B$21)+(01_Inputs!$C$20+$A6^2/2)*D$5)/($A6*SQRT(D$5))-$A6*SQRT(D$5))</f>
        <v>18.791435318306</v>
      </c>
      <c r="E6" s="61" t="n">
        <f aca="false">05_Unit_Economics!$B$15*NORMSDIST((LN(05_Unit_Economics!$B$15/05_Unit_Economics!$B$21)+(01_Inputs!$C$20+$A6^2/2)*E$5)/($A6*SQRT(E$5)))-05_Unit_Economics!$B$21*EXP(-01_Inputs!$C$20*E$5)*NORMSDIST((LN(05_Unit_Economics!$B$15/05_Unit_Economics!$B$21)+(01_Inputs!$C$20+$A6^2/2)*E$5)/($A6*SQRT(E$5))-$A6*SQRT(E$5))</f>
        <v>19.1954648335686</v>
      </c>
      <c r="F6" s="61" t="n">
        <f aca="false">05_Unit_Economics!$B$15*NORMSDIST((LN(05_Unit_Economics!$B$15/05_Unit_Economics!$B$21)+(01_Inputs!$C$20+$A6^2/2)*F$5)/($A6*SQRT(F$5)))-05_Unit_Economics!$B$21*EXP(-01_Inputs!$C$20*F$5)*NORMSDIST((LN(05_Unit_Economics!$B$15/05_Unit_Economics!$B$21)+(01_Inputs!$C$20+$A6^2/2)*F$5)/($A6*SQRT(F$5))-$A6*SQRT(F$5))</f>
        <v>19.5979842505724</v>
      </c>
      <c r="G6" s="33"/>
    </row>
    <row r="7" customFormat="false" ht="15" hidden="false" customHeight="true" outlineLevel="0" collapsed="false">
      <c r="A7" s="93" t="n">
        <v>0.2</v>
      </c>
      <c r="B7" s="61" t="n">
        <f aca="false">05_Unit_Economics!$B$15*NORMSDIST((LN(05_Unit_Economics!$B$15/05_Unit_Economics!$B$21)+(01_Inputs!$C$20+$A7^2/2)*B$5)/($A7*SQRT(B$5)))-05_Unit_Economics!$B$21*EXP(-01_Inputs!$C$20*B$5)*NORMSDIST((LN(05_Unit_Economics!$B$15/05_Unit_Economics!$B$21)+(01_Inputs!$C$20+$A7^2/2)*B$5)/($A7*SQRT(B$5))-$A7*SQRT(B$5))</f>
        <v>17.9840493807368</v>
      </c>
      <c r="C7" s="61" t="n">
        <f aca="false">05_Unit_Economics!$B$15*NORMSDIST((LN(05_Unit_Economics!$B$15/05_Unit_Economics!$B$21)+(01_Inputs!$C$20+$A7^2/2)*C$5)/($A7*SQRT(C$5)))-05_Unit_Economics!$B$21*EXP(-01_Inputs!$C$20*C$5)*NORMSDIST((LN(05_Unit_Economics!$B$15/05_Unit_Economics!$B$21)+(01_Inputs!$C$20+$A7^2/2)*C$5)/($A7*SQRT(C$5))-$A7*SQRT(C$5))</f>
        <v>18.4096166435179</v>
      </c>
      <c r="D7" s="61" t="n">
        <f aca="false">05_Unit_Economics!$B$15*NORMSDIST((LN(05_Unit_Economics!$B$15/05_Unit_Economics!$B$21)+(01_Inputs!$C$20+$A7^2/2)*D$5)/($A7*SQRT(D$5)))-05_Unit_Economics!$B$21*EXP(-01_Inputs!$C$20*D$5)*NORMSDIST((LN(05_Unit_Economics!$B$15/05_Unit_Economics!$B$21)+(01_Inputs!$C$20+$A7^2/2)*D$5)/($A7*SQRT(D$5))-$A7*SQRT(D$5))</f>
        <v>18.8457957762617</v>
      </c>
      <c r="E7" s="61" t="n">
        <f aca="false">05_Unit_Economics!$B$15*NORMSDIST((LN(05_Unit_Economics!$B$15/05_Unit_Economics!$B$21)+(01_Inputs!$C$20+$A7^2/2)*E$5)/($A7*SQRT(E$5)))-05_Unit_Economics!$B$21*EXP(-01_Inputs!$C$20*E$5)*NORMSDIST((LN(05_Unit_Economics!$B$15/05_Unit_Economics!$B$21)+(01_Inputs!$C$20+$A7^2/2)*E$5)/($A7*SQRT(E$5))-$A7*SQRT(E$5))</f>
        <v>19.2879021868341</v>
      </c>
      <c r="F7" s="61" t="n">
        <f aca="false">05_Unit_Economics!$B$15*NORMSDIST((LN(05_Unit_Economics!$B$15/05_Unit_Economics!$B$21)+(01_Inputs!$C$20+$A7^2/2)*F$5)/($A7*SQRT(F$5)))-05_Unit_Economics!$B$21*EXP(-01_Inputs!$C$20*F$5)*NORMSDIST((LN(05_Unit_Economics!$B$15/05_Unit_Economics!$B$21)+(01_Inputs!$C$20+$A7^2/2)*F$5)/($A7*SQRT(F$5))-$A7*SQRT(F$5))</f>
        <v>19.7316212401876</v>
      </c>
      <c r="G7" s="33"/>
    </row>
    <row r="8" customFormat="false" ht="15" hidden="false" customHeight="true" outlineLevel="0" collapsed="false">
      <c r="A8" s="93" t="n">
        <v>0.25</v>
      </c>
      <c r="B8" s="61" t="n">
        <f aca="false">05_Unit_Economics!$B$15*NORMSDIST((LN(05_Unit_Economics!$B$15/05_Unit_Economics!$B$21)+(01_Inputs!$C$20+$A8^2/2)*B$5)/($A8*SQRT(B$5)))-05_Unit_Economics!$B$21*EXP(-01_Inputs!$C$20*B$5)*NORMSDIST((LN(05_Unit_Economics!$B$15/05_Unit_Economics!$B$21)+(01_Inputs!$C$20+$A8^2/2)*B$5)/($A8*SQRT(B$5))-$A8*SQRT(B$5))</f>
        <v>18.014205837411</v>
      </c>
      <c r="C8" s="61" t="n">
        <f aca="false">05_Unit_Economics!$B$15*NORMSDIST((LN(05_Unit_Economics!$B$15/05_Unit_Economics!$B$21)+(01_Inputs!$C$20+$A8^2/2)*C$5)/($A8*SQRT(C$5)))-05_Unit_Economics!$B$21*EXP(-01_Inputs!$C$20*C$5)*NORMSDIST((LN(05_Unit_Economics!$B$15/05_Unit_Economics!$B$21)+(01_Inputs!$C$20+$A8^2/2)*C$5)/($A8*SQRT(C$5))-$A8*SQRT(C$5))</f>
        <v>18.4985328630895</v>
      </c>
      <c r="D8" s="61" t="n">
        <f aca="false">05_Unit_Economics!$B$15*NORMSDIST((LN(05_Unit_Economics!$B$15/05_Unit_Economics!$B$21)+(01_Inputs!$C$20+$A8^2/2)*D$5)/($A8*SQRT(D$5)))-05_Unit_Economics!$B$21*EXP(-01_Inputs!$C$20*D$5)*NORMSDIST((LN(05_Unit_Economics!$B$15/05_Unit_Economics!$B$21)+(01_Inputs!$C$20+$A8^2/2)*D$5)/($A8*SQRT(D$5))-$A8*SQRT(D$5))</f>
        <v>19.0049122879107</v>
      </c>
      <c r="E8" s="61" t="n">
        <f aca="false">05_Unit_Economics!$B$15*NORMSDIST((LN(05_Unit_Economics!$B$15/05_Unit_Economics!$B$21)+(01_Inputs!$C$20+$A8^2/2)*E$5)/($A8*SQRT(E$5)))-05_Unit_Economics!$B$21*EXP(-01_Inputs!$C$20*E$5)*NORMSDIST((LN(05_Unit_Economics!$B$15/05_Unit_Economics!$B$21)+(01_Inputs!$C$20+$A8^2/2)*E$5)/($A8*SQRT(E$5))-$A8*SQRT(E$5))</f>
        <v>19.5185501036744</v>
      </c>
      <c r="F8" s="61" t="n">
        <f aca="false">05_Unit_Economics!$B$15*NORMSDIST((LN(05_Unit_Economics!$B$15/05_Unit_Economics!$B$21)+(01_Inputs!$C$20+$A8^2/2)*F$5)/($A8*SQRT(F$5)))-05_Unit_Economics!$B$21*EXP(-01_Inputs!$C$20*F$5)*NORMSDIST((LN(05_Unit_Economics!$B$15/05_Unit_Economics!$B$21)+(01_Inputs!$C$20+$A8^2/2)*F$5)/($A8*SQRT(F$5))-$A8*SQRT(F$5))</f>
        <v>20.0310509774306</v>
      </c>
      <c r="G8" s="33"/>
    </row>
    <row r="9" customFormat="false" ht="15" hidden="false" customHeight="true" outlineLevel="0" collapsed="false">
      <c r="A9" s="93" t="n">
        <v>0.3</v>
      </c>
      <c r="B9" s="61" t="n">
        <f aca="false">05_Unit_Economics!$B$15*NORMSDIST((LN(05_Unit_Economics!$B$15/05_Unit_Economics!$B$21)+(01_Inputs!$C$20+$A9^2/2)*B$5)/($A9*SQRT(B$5)))-05_Unit_Economics!$B$21*EXP(-01_Inputs!$C$20*B$5)*NORMSDIST((LN(05_Unit_Economics!$B$15/05_Unit_Economics!$B$21)+(01_Inputs!$C$20+$A9^2/2)*B$5)/($A9*SQRT(B$5))-$A9*SQRT(B$5))</f>
        <v>18.0950555873345</v>
      </c>
      <c r="C9" s="61" t="n">
        <f aca="false">05_Unit_Economics!$B$15*NORMSDIST((LN(05_Unit_Economics!$B$15/05_Unit_Economics!$B$21)+(01_Inputs!$C$20+$A9^2/2)*C$5)/($A9*SQRT(C$5)))-05_Unit_Economics!$B$21*EXP(-01_Inputs!$C$20*C$5)*NORMSDIST((LN(05_Unit_Economics!$B$15/05_Unit_Economics!$B$21)+(01_Inputs!$C$20+$A9^2/2)*C$5)/($A9*SQRT(C$5))-$A9*SQRT(C$5))</f>
        <v>18.6783120863712</v>
      </c>
      <c r="D9" s="61" t="n">
        <f aca="false">05_Unit_Economics!$B$15*NORMSDIST((LN(05_Unit_Economics!$B$15/05_Unit_Economics!$B$21)+(01_Inputs!$C$20+$A9^2/2)*D$5)/($A9*SQRT(D$5)))-05_Unit_Economics!$B$21*EXP(-01_Inputs!$C$20*D$5)*NORMSDIST((LN(05_Unit_Economics!$B$15/05_Unit_Economics!$B$21)+(01_Inputs!$C$20+$A9^2/2)*D$5)/($A9*SQRT(D$5))-$A9*SQRT(D$5))</f>
        <v>19.2835048593236</v>
      </c>
      <c r="E9" s="61" t="n">
        <f aca="false">05_Unit_Economics!$B$15*NORMSDIST((LN(05_Unit_Economics!$B$15/05_Unit_Economics!$B$21)+(01_Inputs!$C$20+$A9^2/2)*E$5)/($A9*SQRT(E$5)))-05_Unit_Economics!$B$21*EXP(-01_Inputs!$C$20*E$5)*NORMSDIST((LN(05_Unit_Economics!$B$15/05_Unit_Economics!$B$21)+(01_Inputs!$C$20+$A9^2/2)*E$5)/($A9*SQRT(E$5))-$A9*SQRT(E$5))</f>
        <v>19.8886922783985</v>
      </c>
      <c r="F9" s="61" t="n">
        <f aca="false">05_Unit_Economics!$B$15*NORMSDIST((LN(05_Unit_Economics!$B$15/05_Unit_Economics!$B$21)+(01_Inputs!$C$20+$A9^2/2)*F$5)/($A9*SQRT(F$5)))-05_Unit_Economics!$B$21*EXP(-01_Inputs!$C$20*F$5)*NORMSDIST((LN(05_Unit_Economics!$B$15/05_Unit_Economics!$B$21)+(01_Inputs!$C$20+$A9^2/2)*F$5)/($A9*SQRT(F$5))-$A9*SQRT(F$5))</f>
        <v>20.4843721531681</v>
      </c>
      <c r="G9" s="33"/>
    </row>
    <row r="10" customFormat="false" ht="15" hidden="false" customHeight="true" outlineLevel="0" collapsed="false">
      <c r="A10" s="94" t="n">
        <v>0.35</v>
      </c>
      <c r="B10" s="62" t="n">
        <f aca="false">05_Unit_Economics!$B$15*NORMSDIST((LN(05_Unit_Economics!$B$15/05_Unit_Economics!$B$21)+(01_Inputs!$C$20+$A10^2/2)*B$5)/($A10*SQRT(B$5)))-05_Unit_Economics!$B$21*EXP(-01_Inputs!$C$20*B$5)*NORMSDIST((LN(05_Unit_Economics!$B$15/05_Unit_Economics!$B$21)+(01_Inputs!$C$20+$A10^2/2)*B$5)/($A10*SQRT(B$5))-$A10*SQRT(B$5))</f>
        <v>18.2392387145242</v>
      </c>
      <c r="C10" s="62" t="n">
        <f aca="false">05_Unit_Economics!$B$15*NORMSDIST((LN(05_Unit_Economics!$B$15/05_Unit_Economics!$B$21)+(01_Inputs!$C$20+$A10^2/2)*C$5)/($A10*SQRT(C$5)))-05_Unit_Economics!$B$21*EXP(-01_Inputs!$C$20*C$5)*NORMSDIST((LN(05_Unit_Economics!$B$15/05_Unit_Economics!$B$21)+(01_Inputs!$C$20+$A10^2/2)*C$5)/($A10*SQRT(C$5))-$A10*SQRT(C$5))</f>
        <v>18.9489347793991</v>
      </c>
      <c r="D10" s="62" t="n">
        <f aca="false">05_Unit_Economics!$B$15*NORMSDIST((LN(05_Unit_Economics!$B$15/05_Unit_Economics!$B$21)+(01_Inputs!$C$20+$A10^2/2)*D$5)/($A10*SQRT(D$5)))-05_Unit_Economics!$B$21*EXP(-01_Inputs!$C$20*D$5)*NORMSDIST((LN(05_Unit_Economics!$B$15/05_Unit_Economics!$B$21)+(01_Inputs!$C$20+$A10^2/2)*D$5)/($A10*SQRT(D$5))-$A10*SQRT(D$5))</f>
        <v>19.6684243990264</v>
      </c>
      <c r="E10" s="62" t="n">
        <f aca="false">05_Unit_Economics!$B$15*NORMSDIST((LN(05_Unit_Economics!$B$15/05_Unit_Economics!$B$21)+(01_Inputs!$C$20+$A10^2/2)*E$5)/($A10*SQRT(E$5)))-05_Unit_Economics!$B$21*EXP(-01_Inputs!$C$20*E$5)*NORMSDIST((LN(05_Unit_Economics!$B$15/05_Unit_Economics!$B$21)+(01_Inputs!$C$20+$A10^2/2)*E$5)/($A10*SQRT(E$5))-$A10*SQRT(E$5))</f>
        <v>20.3743115704669</v>
      </c>
      <c r="F10" s="62" t="n">
        <f aca="false">05_Unit_Economics!$B$15*NORMSDIST((LN(05_Unit_Economics!$B$15/05_Unit_Economics!$B$21)+(01_Inputs!$C$20+$A10^2/2)*F$5)/($A10*SQRT(F$5)))-05_Unit_Economics!$B$21*EXP(-01_Inputs!$C$20*F$5)*NORMSDIST((LN(05_Unit_Economics!$B$15/05_Unit_Economics!$B$21)+(01_Inputs!$C$20+$A10^2/2)*F$5)/($A10*SQRT(F$5))-$A10*SQRT(F$5))</f>
        <v>21.058874377302</v>
      </c>
      <c r="G10" s="33" t="s">
        <v>800</v>
      </c>
    </row>
    <row r="11" customFormat="false" ht="15" hidden="false" customHeight="true" outlineLevel="0" collapsed="false">
      <c r="A11" s="93" t="n">
        <v>0.4</v>
      </c>
      <c r="B11" s="61" t="n">
        <f aca="false">05_Unit_Economics!$B$15*NORMSDIST((LN(05_Unit_Economics!$B$15/05_Unit_Economics!$B$21)+(01_Inputs!$C$20+$A11^2/2)*B$5)/($A11*SQRT(B$5)))-05_Unit_Economics!$B$21*EXP(-01_Inputs!$C$20*B$5)*NORMSDIST((LN(05_Unit_Economics!$B$15/05_Unit_Economics!$B$21)+(01_Inputs!$C$20+$A11^2/2)*B$5)/($A11*SQRT(B$5))-$A11*SQRT(B$5))</f>
        <v>18.4469101148376</v>
      </c>
      <c r="C11" s="61" t="n">
        <f aca="false">05_Unit_Economics!$B$15*NORMSDIST((LN(05_Unit_Economics!$B$15/05_Unit_Economics!$B$21)+(01_Inputs!$C$20+$A11^2/2)*C$5)/($A11*SQRT(C$5)))-05_Unit_Economics!$B$21*EXP(-01_Inputs!$C$20*C$5)*NORMSDIST((LN(05_Unit_Economics!$B$15/05_Unit_Economics!$B$21)+(01_Inputs!$C$20+$A11^2/2)*C$5)/($A11*SQRT(C$5))-$A11*SQRT(C$5))</f>
        <v>19.2986091110841</v>
      </c>
      <c r="D11" s="61" t="n">
        <f aca="false">05_Unit_Economics!$B$15*NORMSDIST((LN(05_Unit_Economics!$B$15/05_Unit_Economics!$B$21)+(01_Inputs!$C$20+$A11^2/2)*D$5)/($A11*SQRT(D$5)))-05_Unit_Economics!$B$21*EXP(-01_Inputs!$C$20*D$5)*NORMSDIST((LN(05_Unit_Economics!$B$15/05_Unit_Economics!$B$21)+(01_Inputs!$C$20+$A11^2/2)*D$5)/($A11*SQRT(D$5))-$A11*SQRT(D$5))</f>
        <v>20.1392213578533</v>
      </c>
      <c r="E11" s="61" t="n">
        <f aca="false">05_Unit_Economics!$B$15*NORMSDIST((LN(05_Unit_Economics!$B$15/05_Unit_Economics!$B$21)+(01_Inputs!$C$20+$A11^2/2)*E$5)/($A11*SQRT(E$5)))-05_Unit_Economics!$B$21*EXP(-01_Inputs!$C$20*E$5)*NORMSDIST((LN(05_Unit_Economics!$B$15/05_Unit_Economics!$B$21)+(01_Inputs!$C$20+$A11^2/2)*E$5)/($A11*SQRT(E$5))-$A11*SQRT(E$5))</f>
        <v>20.9488542490004</v>
      </c>
      <c r="F11" s="61" t="n">
        <f aca="false">05_Unit_Economics!$B$15*NORMSDIST((LN(05_Unit_Economics!$B$15/05_Unit_Economics!$B$21)+(01_Inputs!$C$20+$A11^2/2)*F$5)/($A11*SQRT(F$5)))-05_Unit_Economics!$B$21*EXP(-01_Inputs!$C$20*F$5)*NORMSDIST((LN(05_Unit_Economics!$B$15/05_Unit_Economics!$B$21)+(01_Inputs!$C$20+$A11^2/2)*F$5)/($A11*SQRT(F$5))-$A11*SQRT(F$5))</f>
        <v>21.7235335964577</v>
      </c>
      <c r="G11" s="33"/>
    </row>
    <row r="12" customFormat="false" ht="15" hidden="false" customHeight="true" outlineLevel="0" collapsed="false">
      <c r="A12" s="93" t="n">
        <v>0.45</v>
      </c>
      <c r="B12" s="61" t="n">
        <f aca="false">05_Unit_Economics!$B$15*NORMSDIST((LN(05_Unit_Economics!$B$15/05_Unit_Economics!$B$21)+(01_Inputs!$C$20+$A12^2/2)*B$5)/($A12*SQRT(B$5)))-05_Unit_Economics!$B$21*EXP(-01_Inputs!$C$20*B$5)*NORMSDIST((LN(05_Unit_Economics!$B$15/05_Unit_Economics!$B$21)+(01_Inputs!$C$20+$A12^2/2)*B$5)/($A12*SQRT(B$5))-$A12*SQRT(B$5))</f>
        <v>18.7118654328789</v>
      </c>
      <c r="C12" s="61" t="n">
        <f aca="false">05_Unit_Economics!$B$15*NORMSDIST((LN(05_Unit_Economics!$B$15/05_Unit_Economics!$B$21)+(01_Inputs!$C$20+$A12^2/2)*C$5)/($A12*SQRT(C$5)))-05_Unit_Economics!$B$21*EXP(-01_Inputs!$C$20*C$5)*NORMSDIST((LN(05_Unit_Economics!$B$15/05_Unit_Economics!$B$21)+(01_Inputs!$C$20+$A12^2/2)*C$5)/($A12*SQRT(C$5))-$A12*SQRT(C$5))</f>
        <v>19.7130741281366</v>
      </c>
      <c r="D12" s="61" t="n">
        <f aca="false">05_Unit_Economics!$B$15*NORMSDIST((LN(05_Unit_Economics!$B$15/05_Unit_Economics!$B$21)+(01_Inputs!$C$20+$A12^2/2)*D$5)/($A12*SQRT(D$5)))-05_Unit_Economics!$B$21*EXP(-01_Inputs!$C$20*D$5)*NORMSDIST((LN(05_Unit_Economics!$B$15/05_Unit_Economics!$B$21)+(01_Inputs!$C$20+$A12^2/2)*D$5)/($A12*SQRT(D$5))-$A12*SQRT(D$5))</f>
        <v>20.6767829952541</v>
      </c>
      <c r="E12" s="61" t="n">
        <f aca="false">05_Unit_Economics!$B$15*NORMSDIST((LN(05_Unit_Economics!$B$15/05_Unit_Economics!$B$21)+(01_Inputs!$C$20+$A12^2/2)*E$5)/($A12*SQRT(E$5)))-05_Unit_Economics!$B$21*EXP(-01_Inputs!$C$20*E$5)*NORMSDIST((LN(05_Unit_Economics!$B$15/05_Unit_Economics!$B$21)+(01_Inputs!$C$20+$A12^2/2)*E$5)/($A12*SQRT(E$5))-$A12*SQRT(E$5))</f>
        <v>21.5900800150519</v>
      </c>
      <c r="F12" s="61" t="n">
        <f aca="false">05_Unit_Economics!$B$15*NORMSDIST((LN(05_Unit_Economics!$B$15/05_Unit_Economics!$B$21)+(01_Inputs!$C$20+$A12^2/2)*F$5)/($A12*SQRT(F$5)))-05_Unit_Economics!$B$21*EXP(-01_Inputs!$C$20*F$5)*NORMSDIST((LN(05_Unit_Economics!$B$15/05_Unit_Economics!$B$21)+(01_Inputs!$C$20+$A12^2/2)*F$5)/($A12*SQRT(F$5))-$A12*SQRT(F$5))</f>
        <v>22.4539171329867</v>
      </c>
      <c r="G12" s="33"/>
    </row>
    <row r="13" customFormat="false" ht="15" hidden="false" customHeight="true" outlineLevel="0" collapsed="false">
      <c r="A13" s="93" t="n">
        <v>0.5</v>
      </c>
      <c r="B13" s="61" t="n">
        <f aca="false">05_Unit_Economics!$B$15*NORMSDIST((LN(05_Unit_Economics!$B$15/05_Unit_Economics!$B$21)+(01_Inputs!$C$20+$A13^2/2)*B$5)/($A13*SQRT(B$5)))-05_Unit_Economics!$B$21*EXP(-01_Inputs!$C$20*B$5)*NORMSDIST((LN(05_Unit_Economics!$B$15/05_Unit_Economics!$B$21)+(01_Inputs!$C$20+$A13^2/2)*B$5)/($A13*SQRT(B$5))-$A13*SQRT(B$5))</f>
        <v>19.0259113087879</v>
      </c>
      <c r="C13" s="61" t="n">
        <f aca="false">05_Unit_Economics!$B$15*NORMSDIST((LN(05_Unit_Economics!$B$15/05_Unit_Economics!$B$21)+(01_Inputs!$C$20+$A13^2/2)*C$5)/($A13*SQRT(C$5)))-05_Unit_Economics!$B$21*EXP(-01_Inputs!$C$20*C$5)*NORMSDIST((LN(05_Unit_Economics!$B$15/05_Unit_Economics!$B$21)+(01_Inputs!$C$20+$A13^2/2)*C$5)/($A13*SQRT(C$5))-$A13*SQRT(C$5))</f>
        <v>20.1792872623107</v>
      </c>
      <c r="D13" s="61" t="n">
        <f aca="false">05_Unit_Economics!$B$15*NORMSDIST((LN(05_Unit_Economics!$B$15/05_Unit_Economics!$B$21)+(01_Inputs!$C$20+$A13^2/2)*D$5)/($A13*SQRT(D$5)))-05_Unit_Economics!$B$21*EXP(-01_Inputs!$C$20*D$5)*NORMSDIST((LN(05_Unit_Economics!$B$15/05_Unit_Economics!$B$21)+(01_Inputs!$C$20+$A13^2/2)*D$5)/($A13*SQRT(D$5))-$A13*SQRT(D$5))</f>
        <v>21.2654799815185</v>
      </c>
      <c r="E13" s="61" t="n">
        <f aca="false">05_Unit_Economics!$B$15*NORMSDIST((LN(05_Unit_Economics!$B$15/05_Unit_Economics!$B$21)+(01_Inputs!$C$20+$A13^2/2)*E$5)/($A13*SQRT(E$5)))-05_Unit_Economics!$B$21*EXP(-01_Inputs!$C$20*E$5)*NORMSDIST((LN(05_Unit_Economics!$B$15/05_Unit_Economics!$B$21)+(01_Inputs!$C$20+$A13^2/2)*E$5)/($A13*SQRT(E$5))-$A13*SQRT(E$5))</f>
        <v>22.2807798867306</v>
      </c>
      <c r="F13" s="61" t="n">
        <f aca="false">05_Unit_Economics!$B$15*NORMSDIST((LN(05_Unit_Economics!$B$15/05_Unit_Economics!$B$21)+(01_Inputs!$C$20+$A13^2/2)*F$5)/($A13*SQRT(F$5)))-05_Unit_Economics!$B$21*EXP(-01_Inputs!$C$20*F$5)*NORMSDIST((LN(05_Unit_Economics!$B$15/05_Unit_Economics!$B$21)+(01_Inputs!$C$20+$A13^2/2)*F$5)/($A13*SQRT(F$5))-$A13*SQRT(F$5))</f>
        <v>23.231723467303</v>
      </c>
      <c r="G13" s="33"/>
    </row>
    <row r="14" customFormat="false" ht="15.75" hidden="false" customHeight="true" outlineLevel="0" collapsed="false">
      <c r="A14" s="48" t="s">
        <v>801</v>
      </c>
      <c r="B14" s="48"/>
      <c r="C14" s="48"/>
      <c r="D14" s="48"/>
      <c r="E14" s="48"/>
      <c r="F14" s="48"/>
      <c r="G14" s="48"/>
    </row>
    <row r="16" customFormat="false" ht="18" hidden="false" customHeight="true" outlineLevel="0" collapsed="false">
      <c r="A16" s="29" t="s">
        <v>802</v>
      </c>
      <c r="B16" s="29"/>
      <c r="C16" s="29"/>
      <c r="D16" s="29"/>
      <c r="E16" s="29"/>
      <c r="F16" s="29"/>
      <c r="G16" s="29"/>
    </row>
    <row r="17" customFormat="false" ht="27.75" hidden="false" customHeight="true" outlineLevel="0" collapsed="false">
      <c r="A17" s="26" t="s">
        <v>803</v>
      </c>
      <c r="B17" s="27" t="s">
        <v>804</v>
      </c>
      <c r="C17" s="27" t="s">
        <v>805</v>
      </c>
      <c r="D17" s="27" t="s">
        <v>806</v>
      </c>
      <c r="E17" s="27"/>
      <c r="F17" s="27"/>
      <c r="G17" s="28" t="s">
        <v>807</v>
      </c>
    </row>
    <row r="18" customFormat="false" ht="15" hidden="false" customHeight="true" outlineLevel="0" collapsed="false">
      <c r="A18" s="30" t="s">
        <v>808</v>
      </c>
      <c r="B18" s="61" t="n">
        <f aca="false">05_Unit_Economics!$B$15*NORMSDIST((LN(05_Unit_Economics!$B$15/05_Unit_Economics!$B$21)+(01_Inputs!$C$20+01_Inputs!$C$21^2/2)*01_Inputs!$C$22)/(01_Inputs!$C$21*SQRT(01_Inputs!$C$22)))-05_Unit_Economics!$B$21*EXP(-01_Inputs!$C$20*01_Inputs!$C$22)*NORMSDIST((LN(05_Unit_Economics!$B$15/05_Unit_Economics!$B$21)+(01_Inputs!$C$20+01_Inputs!$C$21^2/2)*01_Inputs!$C$22)/(01_Inputs!$C$21*SQRT(01_Inputs!$C$22))-01_Inputs!$C$21*SQRT(01_Inputs!$C$22))</f>
        <v>19.6684243990264</v>
      </c>
      <c r="C18" s="60" t="n">
        <f aca="false">B18*01_Inputs!$C$23</f>
        <v>314.694790384423</v>
      </c>
      <c r="D18" s="95" t="n">
        <f aca="false">B18-07_Black_Scholes!$B$22</f>
        <v>0</v>
      </c>
      <c r="E18" s="31"/>
      <c r="F18" s="31"/>
      <c r="G18" s="33" t="s">
        <v>809</v>
      </c>
    </row>
    <row r="19" customFormat="false" ht="15" hidden="false" customHeight="true" outlineLevel="0" collapsed="false">
      <c r="A19" s="30" t="s">
        <v>810</v>
      </c>
      <c r="B19" s="61" t="n">
        <f aca="false">05_Unit_Economics!$B$15*NORMSDIST((LN(05_Unit_Economics!$B$15/05_Unit_Economics!$B$21)+(01_Inputs!$C$20+0.15^2/2)*01_Inputs!$C$22)/(0.15*SQRT(01_Inputs!$C$22)))-05_Unit_Economics!$B$21*EXP(-01_Inputs!$C$20*01_Inputs!$C$22)*NORMSDIST((LN(05_Unit_Economics!$B$15/05_Unit_Economics!$B$21)+(01_Inputs!$C$20+0.15^2/2)*01_Inputs!$C$22)/(0.15*SQRT(01_Inputs!$C$22))-0.15*SQRT(01_Inputs!$C$22))</f>
        <v>18.791435318306</v>
      </c>
      <c r="C19" s="60" t="n">
        <f aca="false">B19*01_Inputs!$C$23</f>
        <v>300.662965092897</v>
      </c>
      <c r="D19" s="95" t="n">
        <f aca="false">B19-07_Black_Scholes!$B$22</f>
        <v>-0.876989080720382</v>
      </c>
      <c r="E19" s="31"/>
      <c r="F19" s="31"/>
      <c r="G19" s="33" t="s">
        <v>811</v>
      </c>
    </row>
    <row r="20" customFormat="false" ht="15" hidden="false" customHeight="true" outlineLevel="0" collapsed="false">
      <c r="A20" s="30" t="s">
        <v>812</v>
      </c>
      <c r="B20" s="61" t="n">
        <f aca="false">05_Unit_Economics!$B$15*NORMSDIST((LN(05_Unit_Economics!$B$15/05_Unit_Economics!$B$21)+(01_Inputs!$C$20+0.6^2/2)*01_Inputs!$C$22)/(0.6*SQRT(01_Inputs!$C$22)))-05_Unit_Economics!$B$21*EXP(-01_Inputs!$C$20*01_Inputs!$C$22)*NORMSDIST((LN(05_Unit_Economics!$B$15/05_Unit_Economics!$B$21)+(01_Inputs!$C$20+0.6^2/2)*01_Inputs!$C$22)/(0.6*SQRT(01_Inputs!$C$22))-0.6*SQRT(01_Inputs!$C$22))</f>
        <v>22.5501200358801</v>
      </c>
      <c r="C20" s="60" t="n">
        <f aca="false">B20*01_Inputs!$C$23</f>
        <v>360.801920574081</v>
      </c>
      <c r="D20" s="95" t="n">
        <f aca="false">B20-07_Black_Scholes!$B$22</f>
        <v>2.88169563685364</v>
      </c>
      <c r="E20" s="31"/>
      <c r="F20" s="31"/>
      <c r="G20" s="33" t="s">
        <v>813</v>
      </c>
    </row>
    <row r="21" customFormat="false" ht="15" hidden="false" customHeight="true" outlineLevel="0" collapsed="false">
      <c r="A21" s="30" t="s">
        <v>814</v>
      </c>
      <c r="B21" s="61" t="n">
        <f aca="false">05_Unit_Economics!$B$15*NORMSDIST((LN(05_Unit_Economics!$B$15/05_Unit_Economics!$B$21)+(01_Inputs!$C$20+(01_Inputs!$C$21+0.05)^2/2)*01_Inputs!$C$22)/((01_Inputs!$C$21+0.05)*SQRT(01_Inputs!$C$22)))-05_Unit_Economics!$B$21*EXP(-01_Inputs!$C$20*01_Inputs!$C$22)*NORMSDIST((LN(05_Unit_Economics!$B$15/05_Unit_Economics!$B$21)+(01_Inputs!$C$20+(01_Inputs!$C$21+0.05)^2/2)*01_Inputs!$C$22)/((01_Inputs!$C$21+0.05)*SQRT(01_Inputs!$C$22))-(01_Inputs!$C$21+0.05)*SQRT(01_Inputs!$C$22))</f>
        <v>20.1392213578533</v>
      </c>
      <c r="C21" s="60" t="n">
        <f aca="false">B21*01_Inputs!$C$23</f>
        <v>322.227541725653</v>
      </c>
      <c r="D21" s="95" t="n">
        <f aca="false">B21-07_Black_Scholes!$B$22</f>
        <v>0.470796958826909</v>
      </c>
      <c r="E21" s="31"/>
      <c r="F21" s="31"/>
      <c r="G21" s="33" t="s">
        <v>815</v>
      </c>
    </row>
    <row r="22" customFormat="false" ht="15" hidden="false" customHeight="true" outlineLevel="0" collapsed="false">
      <c r="A22" s="30" t="s">
        <v>816</v>
      </c>
      <c r="B22" s="61" t="n">
        <f aca="false">(05_Unit_Economics!$B$15*1.2)*NORMSDIST((LN((05_Unit_Economics!$B$15*1.2)/05_Unit_Economics!$B$21)+(01_Inputs!$C$20+01_Inputs!$C$21^2/2)*01_Inputs!$C$22)/(01_Inputs!$C$21*SQRT(01_Inputs!$C$22)))-05_Unit_Economics!$B$21*EXP(-01_Inputs!$C$20*01_Inputs!$C$22)*NORMSDIST((LN((05_Unit_Economics!$B$15*1.2)/05_Unit_Economics!$B$21)+(01_Inputs!$C$20+01_Inputs!$C$21^2/2)*01_Inputs!$C$22)/(01_Inputs!$C$21*SQRT(01_Inputs!$C$22))-01_Inputs!$C$21*SQRT(01_Inputs!$C$22))</f>
        <v>30.0983384087001</v>
      </c>
      <c r="C22" s="60" t="n">
        <f aca="false">B22*01_Inputs!$C$23</f>
        <v>481.573414539201</v>
      </c>
      <c r="D22" s="95" t="n">
        <f aca="false">B22-07_Black_Scholes!$B$22</f>
        <v>10.4299140096736</v>
      </c>
      <c r="E22" s="31"/>
      <c r="F22" s="31"/>
      <c r="G22" s="33" t="s">
        <v>817</v>
      </c>
    </row>
    <row r="23" customFormat="false" ht="15" hidden="false" customHeight="true" outlineLevel="0" collapsed="false">
      <c r="A23" s="30" t="s">
        <v>818</v>
      </c>
      <c r="B23" s="61" t="n">
        <f aca="false">(05_Unit_Economics!$B$15*0.8)*NORMSDIST((LN((05_Unit_Economics!$B$15*0.8)/05_Unit_Economics!$B$21)+(01_Inputs!$C$20+01_Inputs!$C$21^2/2)*01_Inputs!$C$22)/(01_Inputs!$C$21*SQRT(01_Inputs!$C$22)))-05_Unit_Economics!$B$21*EXP(-01_Inputs!$C$20*01_Inputs!$C$22)*NORMSDIST((LN((05_Unit_Economics!$B$15*0.8)/05_Unit_Economics!$B$21)+(01_Inputs!$C$20+01_Inputs!$C$21^2/2)*01_Inputs!$C$22)/(01_Inputs!$C$21*SQRT(01_Inputs!$C$22))-01_Inputs!$C$21*SQRT(01_Inputs!$C$22))</f>
        <v>10.2916602693984</v>
      </c>
      <c r="C23" s="60" t="n">
        <f aca="false">B23*01_Inputs!$C$23</f>
        <v>164.666564310375</v>
      </c>
      <c r="D23" s="95" t="n">
        <f aca="false">B23-07_Black_Scholes!$B$22</f>
        <v>-9.37676412962798</v>
      </c>
      <c r="E23" s="31"/>
      <c r="F23" s="31"/>
      <c r="G23" s="33"/>
    </row>
    <row r="25" customFormat="false" ht="18" hidden="false" customHeight="true" outlineLevel="0" collapsed="false">
      <c r="A25" s="29" t="s">
        <v>819</v>
      </c>
      <c r="B25" s="29"/>
      <c r="C25" s="29"/>
      <c r="D25" s="29"/>
      <c r="E25" s="29"/>
      <c r="F25" s="29"/>
      <c r="G25" s="29"/>
    </row>
    <row r="26" customFormat="false" ht="27.75" hidden="false" customHeight="true" outlineLevel="0" collapsed="false">
      <c r="A26" s="48" t="s">
        <v>820</v>
      </c>
      <c r="B26" s="48"/>
      <c r="C26" s="48"/>
      <c r="D26" s="48"/>
      <c r="E26" s="48"/>
      <c r="F26" s="48"/>
      <c r="G26" s="48"/>
    </row>
    <row r="27" customFormat="false" ht="27.75" hidden="false" customHeight="true" outlineLevel="0" collapsed="false">
      <c r="A27" s="26" t="s">
        <v>803</v>
      </c>
      <c r="B27" s="27" t="s">
        <v>804</v>
      </c>
      <c r="C27" s="27" t="s">
        <v>805</v>
      </c>
      <c r="D27" s="27" t="s">
        <v>806</v>
      </c>
      <c r="E27" s="27"/>
      <c r="F27" s="27"/>
      <c r="G27" s="28" t="s">
        <v>441</v>
      </c>
    </row>
    <row r="28" customFormat="false" ht="26.25" hidden="false" customHeight="true" outlineLevel="0" collapsed="false">
      <c r="A28" s="30" t="s">
        <v>821</v>
      </c>
      <c r="B28" s="61" t="n">
        <f aca="false">(01_Inputs!$C$14*01_Inputs!$C$15/(1+01_Inputs!$C$76)^01_Inputs!$C$16+01_Inputs!$C$14*01_Inputs!$C$15/(1+01_Inputs!$C$76)^01_Inputs!$C$17)*NORMSDIST((LN((01_Inputs!$C$14*01_Inputs!$C$15/(1+01_Inputs!$C$76)^01_Inputs!$C$16+01_Inputs!$C$14*01_Inputs!$C$15/(1+01_Inputs!$C$76)^01_Inputs!$C$17)/(01_Inputs!$C$18*01_Inputs!$C$15*(1-EXP(-01_Inputs!$C$76*01_Inputs!$C$19))))+(01_Inputs!$C$76+01_Inputs!$C$21^2/2)*01_Inputs!$C$22)/(01_Inputs!$C$21*SQRT(01_Inputs!$C$22)))-(01_Inputs!$C$18*01_Inputs!$C$15*(1-EXP(-01_Inputs!$C$76*01_Inputs!$C$19)))*EXP(-01_Inputs!$C$76*01_Inputs!$C$22)*NORMSDIST((LN((01_Inputs!$C$14*01_Inputs!$C$15/(1+01_Inputs!$C$76)^01_Inputs!$C$16+01_Inputs!$C$14*01_Inputs!$C$15/(1+01_Inputs!$C$76)^01_Inputs!$C$17)/(01_Inputs!$C$18*01_Inputs!$C$15*(1-EXP(-01_Inputs!$C$76*01_Inputs!$C$19))))+(01_Inputs!$C$76+01_Inputs!$C$21^2/2)*01_Inputs!$C$22)/(01_Inputs!$C$21*SQRT(01_Inputs!$C$22))-01_Inputs!$C$21*SQRT(01_Inputs!$C$22))</f>
        <v>24.0782842394186</v>
      </c>
      <c r="C28" s="60" t="n">
        <f aca="false">B28*01_Inputs!$C$23</f>
        <v>385.252547830697</v>
      </c>
      <c r="D28" s="95" t="n">
        <f aca="false">B28-07_Black_Scholes!$B$22</f>
        <v>4.40985984039216</v>
      </c>
      <c r="E28" s="31"/>
      <c r="F28" s="31"/>
      <c r="G28" s="40" t="s">
        <v>822</v>
      </c>
    </row>
  </sheetData>
  <mergeCells count="4">
    <mergeCell ref="A1:G1"/>
    <mergeCell ref="A4:G4"/>
    <mergeCell ref="A14:G14"/>
    <mergeCell ref="A26:G26"/>
  </mergeCells>
  <hyperlinks>
    <hyperlink ref="H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4" min="3" style="0" width="14"/>
    <col collapsed="false" customWidth="true" hidden="false" outlineLevel="0" max="5" min="5" style="0" width="40"/>
    <col collapsed="false" customWidth="true" hidden="false" outlineLevel="0" max="6" min="6" style="0" width="11"/>
  </cols>
  <sheetData>
    <row r="1" customFormat="false" ht="39.75" hidden="false" customHeight="true" outlineLevel="0" collapsed="false">
      <c r="A1" s="23" t="s">
        <v>823</v>
      </c>
      <c r="B1" s="23"/>
      <c r="C1" s="23"/>
      <c r="D1" s="23"/>
      <c r="E1" s="23"/>
      <c r="F1" s="24" t="s">
        <v>85</v>
      </c>
      <c r="G1" s="25"/>
    </row>
    <row r="2" customFormat="false" ht="7.5" hidden="false" customHeight="true" outlineLevel="0" collapsed="false"/>
    <row r="3" customFormat="false" ht="18" hidden="false" customHeight="true" outlineLevel="0" collapsed="false">
      <c r="A3" s="29" t="s">
        <v>824</v>
      </c>
      <c r="B3" s="29"/>
      <c r="C3" s="29"/>
      <c r="D3" s="29"/>
      <c r="E3" s="29"/>
    </row>
    <row r="4" customFormat="false" ht="27.75" hidden="false" customHeight="true" outlineLevel="0" collapsed="false">
      <c r="A4" s="26" t="s">
        <v>825</v>
      </c>
      <c r="B4" s="27" t="s">
        <v>826</v>
      </c>
      <c r="C4" s="27" t="s">
        <v>760</v>
      </c>
      <c r="D4" s="27" t="s">
        <v>761</v>
      </c>
      <c r="E4" s="28" t="s">
        <v>4</v>
      </c>
    </row>
    <row r="5" customFormat="false" ht="15" hidden="false" customHeight="true" outlineLevel="0" collapsed="false">
      <c r="A5" s="30" t="s">
        <v>827</v>
      </c>
      <c r="B5" s="31" t="s">
        <v>348</v>
      </c>
      <c r="C5" s="60" t="n">
        <f aca="false">19_Variant_Bridge!$B$9</f>
        <v>276.264000165806</v>
      </c>
      <c r="D5" s="90" t="n">
        <f aca="false">19_Variant_Bridge!$C$9</f>
        <v>276</v>
      </c>
      <c r="E5" s="33" t="s">
        <v>828</v>
      </c>
    </row>
    <row r="6" customFormat="false" ht="15" hidden="false" customHeight="true" outlineLevel="0" collapsed="false">
      <c r="A6" s="30" t="s">
        <v>829</v>
      </c>
      <c r="B6" s="31" t="s">
        <v>349</v>
      </c>
      <c r="C6" s="60" t="n">
        <f aca="false">19_Variant_Bridge!$B$27</f>
        <v>104.38818635926</v>
      </c>
      <c r="D6" s="90" t="n">
        <f aca="false">19_Variant_Bridge!$C$27</f>
        <v>104</v>
      </c>
      <c r="E6" s="33" t="s">
        <v>830</v>
      </c>
    </row>
    <row r="7" customFormat="false" ht="15" hidden="false" customHeight="true" outlineLevel="0" collapsed="false">
      <c r="A7" s="51" t="s">
        <v>831</v>
      </c>
      <c r="B7" s="31"/>
      <c r="C7" s="69" t="n">
        <f aca="false">C5+C6</f>
        <v>380.652186525067</v>
      </c>
      <c r="D7" s="91" t="n">
        <f aca="false">D5+D6</f>
        <v>380</v>
      </c>
      <c r="E7" s="33" t="s">
        <v>832</v>
      </c>
    </row>
    <row r="9" customFormat="false" ht="18" hidden="false" customHeight="true" outlineLevel="0" collapsed="false">
      <c r="A9" s="29" t="s">
        <v>833</v>
      </c>
      <c r="B9" s="29"/>
      <c r="C9" s="29"/>
      <c r="D9" s="29"/>
      <c r="E9" s="29"/>
    </row>
    <row r="10" customFormat="false" ht="16.5" hidden="false" customHeight="true" outlineLevel="0" collapsed="false">
      <c r="A10" s="26" t="s">
        <v>834</v>
      </c>
      <c r="B10" s="27" t="s">
        <v>835</v>
      </c>
      <c r="C10" s="27" t="s">
        <v>760</v>
      </c>
      <c r="D10" s="27"/>
      <c r="E10" s="28" t="s">
        <v>441</v>
      </c>
    </row>
    <row r="11" customFormat="false" ht="15" hidden="false" customHeight="true" outlineLevel="0" collapsed="false">
      <c r="A11" s="30" t="s">
        <v>349</v>
      </c>
      <c r="B11" s="31" t="s">
        <v>836</v>
      </c>
      <c r="C11" s="60" t="n">
        <f aca="false">19_Variant_Bridge!$B$27</f>
        <v>104.38818635926</v>
      </c>
      <c r="D11" s="31"/>
      <c r="E11" s="33"/>
    </row>
    <row r="12" customFormat="false" ht="15" hidden="false" customHeight="true" outlineLevel="0" collapsed="false">
      <c r="A12" s="30" t="s">
        <v>837</v>
      </c>
      <c r="B12" s="31" t="s">
        <v>838</v>
      </c>
      <c r="C12" s="60" t="n">
        <f aca="false">07_Black_Scholes!$B$33</f>
        <v>314.694790384423</v>
      </c>
      <c r="D12" s="31"/>
      <c r="E12" s="33"/>
    </row>
    <row r="13" customFormat="false" ht="15" hidden="false" customHeight="true" outlineLevel="0" collapsed="false">
      <c r="A13" s="30" t="s">
        <v>142</v>
      </c>
      <c r="B13" s="31" t="s">
        <v>839</v>
      </c>
      <c r="C13" s="60" t="n">
        <f aca="false">07_Black_Scholes!$B$34</f>
        <v>-8</v>
      </c>
      <c r="D13" s="31"/>
      <c r="E13" s="33"/>
    </row>
    <row r="14" customFormat="false" ht="15" hidden="false" customHeight="true" outlineLevel="0" collapsed="false">
      <c r="A14" s="30" t="s">
        <v>840</v>
      </c>
      <c r="B14" s="31" t="s">
        <v>841</v>
      </c>
      <c r="C14" s="60" t="n">
        <f aca="false">09_Arrhenius!$B$28</f>
        <v>-30.4307902186163</v>
      </c>
      <c r="D14" s="31"/>
      <c r="E14" s="33"/>
    </row>
    <row r="15" customFormat="false" ht="37.5" hidden="false" customHeight="true" outlineLevel="0" collapsed="false">
      <c r="A15" s="51" t="s">
        <v>842</v>
      </c>
      <c r="B15" s="31"/>
      <c r="C15" s="69" t="n">
        <f aca="false">SUM(C11:C14)</f>
        <v>380.652186525067</v>
      </c>
      <c r="D15" s="31"/>
      <c r="E15" s="40" t="s">
        <v>843</v>
      </c>
    </row>
    <row r="16" customFormat="false" ht="15.75" hidden="false" customHeight="true" outlineLevel="0" collapsed="false">
      <c r="A16" s="48" t="s">
        <v>844</v>
      </c>
      <c r="B16" s="48"/>
      <c r="C16" s="48"/>
      <c r="D16" s="48"/>
      <c r="E16" s="48"/>
    </row>
  </sheetData>
  <mergeCells count="2">
    <mergeCell ref="A1:E1"/>
    <mergeCell ref="A16:E16"/>
  </mergeCells>
  <hyperlinks>
    <hyperlink ref="F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(v39.1)&amp;R&amp;"Arial,Regular"&amp;8 &amp;A |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2026-10-16T03:18:51Z</dcterms:created>
  <dc:creator>openpyxl</dc:creator>
  <dc:description/>
  <dc:language>en-US</dc:language>
  <cp:lastModifiedBy/>
  <dcterms:modified xsi:type="dcterms:W3CDTF">2026-10-16T03:18:52Z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